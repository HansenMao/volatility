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全球市場\衍生產品交易處\股票及外匯衍生業務(H)\Macau and CFB Pricing\"/>
    </mc:Choice>
  </mc:AlternateContent>
  <xr:revisionPtr revIDLastSave="0" documentId="13_ncr:1_{12B2C972-DF0D-4C3A-95A4-1D153E34BCC5}" xr6:coauthVersionLast="36" xr6:coauthVersionMax="36" xr10:uidLastSave="{00000000-0000-0000-0000-000000000000}"/>
  <bookViews>
    <workbookView xWindow="-7125" yWindow="7125" windowWidth="24945" windowHeight="11760" activeTab="1" xr2:uid="{00000000-000D-0000-FFFF-FFFF00000000}"/>
  </bookViews>
  <sheets>
    <sheet name="G7 Input" sheetId="2" r:id="rId1"/>
    <sheet name="G7 Output" sheetId="1" r:id="rId2"/>
    <sheet name="G7 Cross Input" sheetId="4" r:id="rId3"/>
    <sheet name="G7 Cross Output" sheetId="8" r:id="rId4"/>
    <sheet name="EM PM Output" sheetId="9" r:id="rId5"/>
    <sheet name="QuickLink" sheetId="10" r:id="rId6"/>
    <sheet name="Bloomberglist_20220324" sheetId="11" r:id="rId7"/>
  </sheets>
  <externalReferences>
    <externalReference r:id="rId8"/>
    <externalReference r:id="rId9"/>
    <externalReference r:id="rId10"/>
    <externalReference r:id="rId11"/>
  </externalReferences>
  <calcPr calcId="191029"/>
</workbook>
</file>

<file path=xl/calcChain.xml><?xml version="1.0" encoding="utf-8"?>
<calcChain xmlns="http://schemas.openxmlformats.org/spreadsheetml/2006/main">
  <c r="J212" i="4" l="1"/>
  <c r="J213" i="4"/>
  <c r="J214" i="4"/>
  <c r="J215" i="4"/>
  <c r="J216" i="4"/>
  <c r="J217" i="4"/>
  <c r="J218" i="4"/>
  <c r="J219" i="4"/>
  <c r="J220" i="4"/>
  <c r="J186" i="4"/>
  <c r="J187" i="4"/>
  <c r="J188" i="4"/>
  <c r="J189" i="4"/>
  <c r="J190" i="4"/>
  <c r="J191" i="4"/>
  <c r="J192" i="4"/>
  <c r="J193" i="4"/>
  <c r="J194" i="4"/>
  <c r="J172" i="4"/>
  <c r="J173" i="4"/>
  <c r="J174" i="4"/>
  <c r="J175" i="4"/>
  <c r="J176" i="4"/>
  <c r="J177" i="4"/>
  <c r="J178" i="4"/>
  <c r="J179" i="4"/>
  <c r="J180" i="4"/>
  <c r="J158" i="4"/>
  <c r="J159" i="4"/>
  <c r="J160" i="4"/>
  <c r="J161" i="4"/>
  <c r="J162" i="4"/>
  <c r="J163" i="4"/>
  <c r="J164" i="4"/>
  <c r="J165" i="4"/>
  <c r="J166" i="4"/>
  <c r="J144" i="4"/>
  <c r="J145" i="4"/>
  <c r="J146" i="4"/>
  <c r="J147" i="4"/>
  <c r="J148" i="4"/>
  <c r="J149" i="4"/>
  <c r="J150" i="4"/>
  <c r="J151" i="4"/>
  <c r="J152" i="4"/>
  <c r="J130" i="4"/>
  <c r="J131" i="4"/>
  <c r="J132" i="4"/>
  <c r="J133" i="4"/>
  <c r="J134" i="4"/>
  <c r="J135" i="4"/>
  <c r="J136" i="4"/>
  <c r="J137" i="4"/>
  <c r="J138" i="4"/>
  <c r="J116" i="4"/>
  <c r="J117" i="4"/>
  <c r="J118" i="4"/>
  <c r="J119" i="4"/>
  <c r="J120" i="4"/>
  <c r="J121" i="4"/>
  <c r="J122" i="4"/>
  <c r="J123" i="4"/>
  <c r="J124" i="4"/>
  <c r="J102" i="4"/>
  <c r="J103" i="4"/>
  <c r="J104" i="4"/>
  <c r="J105" i="4"/>
  <c r="J106" i="4"/>
  <c r="J107" i="4"/>
  <c r="J108" i="4"/>
  <c r="J109" i="4"/>
  <c r="J110" i="4"/>
  <c r="J88" i="4"/>
  <c r="J89" i="4"/>
  <c r="J90" i="4"/>
  <c r="J91" i="4"/>
  <c r="J92" i="4"/>
  <c r="J93" i="4"/>
  <c r="J94" i="4"/>
  <c r="J95" i="4"/>
  <c r="J96" i="4"/>
  <c r="J74" i="4"/>
  <c r="J75" i="4"/>
  <c r="J76" i="4"/>
  <c r="J77" i="4"/>
  <c r="J78" i="4"/>
  <c r="J79" i="4"/>
  <c r="J80" i="4"/>
  <c r="J81" i="4"/>
  <c r="J82" i="4"/>
  <c r="J60" i="4"/>
  <c r="J61" i="4"/>
  <c r="J62" i="4"/>
  <c r="J63" i="4"/>
  <c r="J64" i="4"/>
  <c r="J65" i="4"/>
  <c r="J66" i="4"/>
  <c r="J67" i="4"/>
  <c r="J68" i="4"/>
  <c r="J46" i="4"/>
  <c r="J47" i="4"/>
  <c r="J48" i="4"/>
  <c r="J49" i="4"/>
  <c r="J50" i="4"/>
  <c r="J51" i="4"/>
  <c r="J52" i="4"/>
  <c r="J53" i="4"/>
  <c r="J54" i="4"/>
  <c r="J32" i="4"/>
  <c r="J33" i="4"/>
  <c r="J34" i="4"/>
  <c r="J35" i="4"/>
  <c r="J36" i="4"/>
  <c r="J37" i="4"/>
  <c r="J38" i="4"/>
  <c r="J39" i="4"/>
  <c r="J40" i="4"/>
  <c r="J18" i="4"/>
  <c r="J19" i="4"/>
  <c r="J20" i="4"/>
  <c r="J21" i="4"/>
  <c r="J22" i="4"/>
  <c r="J23" i="4"/>
  <c r="J24" i="4"/>
  <c r="J25" i="4"/>
  <c r="J26" i="4"/>
  <c r="J4" i="4"/>
  <c r="J5" i="4"/>
  <c r="J6" i="4"/>
  <c r="J7" i="4"/>
  <c r="J8" i="4"/>
  <c r="J9" i="4"/>
  <c r="J10" i="4"/>
  <c r="J11" i="4"/>
  <c r="J12" i="4"/>
  <c r="J186" i="2"/>
  <c r="J187" i="2"/>
  <c r="J188" i="2"/>
  <c r="J189" i="2"/>
  <c r="J190" i="2"/>
  <c r="J191" i="2"/>
  <c r="J192" i="2"/>
  <c r="J193" i="2"/>
  <c r="J194" i="2"/>
  <c r="J172" i="2"/>
  <c r="J173" i="2"/>
  <c r="J174" i="2"/>
  <c r="J175" i="2"/>
  <c r="J176" i="2"/>
  <c r="J177" i="2"/>
  <c r="J178" i="2"/>
  <c r="J179" i="2"/>
  <c r="J180" i="2"/>
  <c r="J158" i="2"/>
  <c r="J159" i="2"/>
  <c r="J160" i="2"/>
  <c r="J161" i="2"/>
  <c r="J162" i="2"/>
  <c r="J163" i="2"/>
  <c r="J164" i="2"/>
  <c r="J165" i="2"/>
  <c r="J166" i="2"/>
  <c r="J144" i="2"/>
  <c r="J145" i="2"/>
  <c r="J146" i="2"/>
  <c r="J147" i="2"/>
  <c r="J148" i="2"/>
  <c r="J149" i="2"/>
  <c r="J150" i="2"/>
  <c r="J151" i="2"/>
  <c r="J152" i="2"/>
  <c r="J130" i="2"/>
  <c r="J131" i="2"/>
  <c r="J132" i="2"/>
  <c r="J133" i="2"/>
  <c r="J134" i="2"/>
  <c r="J135" i="2"/>
  <c r="J136" i="2"/>
  <c r="J137" i="2"/>
  <c r="J138" i="2"/>
  <c r="J116" i="2"/>
  <c r="J117" i="2"/>
  <c r="J118" i="2"/>
  <c r="J119" i="2"/>
  <c r="J120" i="2"/>
  <c r="J121" i="2"/>
  <c r="J122" i="2"/>
  <c r="J123" i="2"/>
  <c r="J124" i="2"/>
  <c r="J102" i="2"/>
  <c r="J103" i="2"/>
  <c r="J104" i="2"/>
  <c r="J105" i="2"/>
  <c r="J106" i="2"/>
  <c r="J107" i="2"/>
  <c r="J108" i="2"/>
  <c r="J109" i="2"/>
  <c r="J110" i="2"/>
  <c r="J88" i="2"/>
  <c r="J89" i="2"/>
  <c r="J90" i="2"/>
  <c r="J91" i="2"/>
  <c r="J92" i="2"/>
  <c r="J93" i="2"/>
  <c r="J94" i="2"/>
  <c r="J95" i="2"/>
  <c r="J96" i="2"/>
  <c r="J74" i="2"/>
  <c r="J75" i="2"/>
  <c r="J76" i="2"/>
  <c r="J77" i="2"/>
  <c r="J78" i="2"/>
  <c r="J79" i="2"/>
  <c r="J80" i="2"/>
  <c r="J81" i="2"/>
  <c r="J82" i="2"/>
  <c r="J60" i="2"/>
  <c r="J61" i="2"/>
  <c r="J62" i="2"/>
  <c r="J63" i="2"/>
  <c r="J64" i="2"/>
  <c r="J65" i="2"/>
  <c r="J66" i="2"/>
  <c r="J67" i="2"/>
  <c r="J68" i="2"/>
  <c r="J46" i="2"/>
  <c r="J47" i="2"/>
  <c r="J48" i="2"/>
  <c r="J49" i="2"/>
  <c r="J50" i="2"/>
  <c r="J51" i="2"/>
  <c r="J52" i="2"/>
  <c r="J53" i="2"/>
  <c r="J54" i="2"/>
  <c r="J4" i="2" l="1"/>
  <c r="J5" i="2"/>
  <c r="J6" i="2"/>
  <c r="J7" i="2"/>
  <c r="J8" i="2"/>
  <c r="J9" i="2"/>
  <c r="J10" i="2"/>
  <c r="J11" i="2"/>
  <c r="J12" i="2"/>
  <c r="J2" i="4" l="1"/>
  <c r="M56" i="9" l="1"/>
  <c r="L56" i="9"/>
  <c r="K56" i="9"/>
  <c r="J56" i="9"/>
  <c r="F56" i="9"/>
  <c r="E56" i="9"/>
  <c r="D56" i="9"/>
  <c r="C56" i="9"/>
  <c r="M55" i="9"/>
  <c r="L55" i="9"/>
  <c r="K55" i="9"/>
  <c r="J55" i="9"/>
  <c r="F55" i="9"/>
  <c r="E55" i="9"/>
  <c r="D55" i="9"/>
  <c r="C55" i="9"/>
  <c r="M54" i="9"/>
  <c r="L54" i="9"/>
  <c r="K54" i="9"/>
  <c r="J54" i="9"/>
  <c r="F54" i="9"/>
  <c r="E54" i="9"/>
  <c r="D54" i="9"/>
  <c r="C54" i="9"/>
  <c r="M53" i="9"/>
  <c r="L53" i="9"/>
  <c r="K53" i="9"/>
  <c r="J53" i="9"/>
  <c r="F53" i="9"/>
  <c r="E53" i="9"/>
  <c r="D53" i="9"/>
  <c r="C53" i="9"/>
  <c r="M52" i="9"/>
  <c r="L52" i="9"/>
  <c r="K52" i="9"/>
  <c r="J52" i="9"/>
  <c r="F52" i="9"/>
  <c r="E52" i="9"/>
  <c r="D52" i="9"/>
  <c r="C52" i="9"/>
  <c r="M51" i="9"/>
  <c r="L51" i="9"/>
  <c r="K51" i="9"/>
  <c r="J51" i="9"/>
  <c r="F51" i="9"/>
  <c r="E51" i="9"/>
  <c r="D51" i="9"/>
  <c r="C51" i="9"/>
  <c r="M50" i="9"/>
  <c r="L50" i="9"/>
  <c r="K50" i="9"/>
  <c r="J50" i="9"/>
  <c r="F50" i="9"/>
  <c r="E50" i="9"/>
  <c r="D50" i="9"/>
  <c r="C50" i="9"/>
  <c r="M49" i="9"/>
  <c r="L49" i="9"/>
  <c r="K49" i="9"/>
  <c r="J49" i="9"/>
  <c r="F49" i="9"/>
  <c r="E49" i="9"/>
  <c r="D49" i="9"/>
  <c r="C49" i="9"/>
  <c r="M48" i="9"/>
  <c r="L48" i="9"/>
  <c r="K48" i="9"/>
  <c r="J48" i="9"/>
  <c r="F48" i="9"/>
  <c r="E48" i="9"/>
  <c r="D48" i="9"/>
  <c r="C48" i="9"/>
  <c r="M43" i="9"/>
  <c r="L43" i="9"/>
  <c r="K43" i="9"/>
  <c r="J43" i="9"/>
  <c r="F43" i="9"/>
  <c r="E43" i="9"/>
  <c r="D43" i="9"/>
  <c r="C43" i="9"/>
  <c r="M42" i="9"/>
  <c r="L42" i="9"/>
  <c r="K42" i="9"/>
  <c r="J42" i="9"/>
  <c r="F42" i="9"/>
  <c r="E42" i="9"/>
  <c r="D42" i="9"/>
  <c r="C42" i="9"/>
  <c r="M41" i="9"/>
  <c r="L41" i="9"/>
  <c r="K41" i="9"/>
  <c r="J41" i="9"/>
  <c r="F41" i="9"/>
  <c r="E41" i="9"/>
  <c r="D41" i="9"/>
  <c r="C41" i="9"/>
  <c r="M40" i="9"/>
  <c r="L40" i="9"/>
  <c r="K40" i="9"/>
  <c r="J40" i="9"/>
  <c r="F40" i="9"/>
  <c r="E40" i="9"/>
  <c r="D40" i="9"/>
  <c r="C40" i="9"/>
  <c r="M39" i="9"/>
  <c r="L39" i="9"/>
  <c r="K39" i="9"/>
  <c r="J39" i="9"/>
  <c r="F39" i="9"/>
  <c r="E39" i="9"/>
  <c r="D39" i="9"/>
  <c r="C39" i="9"/>
  <c r="M38" i="9"/>
  <c r="L38" i="9"/>
  <c r="K38" i="9"/>
  <c r="J38" i="9"/>
  <c r="F38" i="9"/>
  <c r="E38" i="9"/>
  <c r="D38" i="9"/>
  <c r="C38" i="9"/>
  <c r="M37" i="9"/>
  <c r="L37" i="9"/>
  <c r="K37" i="9"/>
  <c r="J37" i="9"/>
  <c r="F37" i="9"/>
  <c r="E37" i="9"/>
  <c r="D37" i="9"/>
  <c r="C37" i="9"/>
  <c r="M36" i="9"/>
  <c r="L36" i="9"/>
  <c r="K36" i="9"/>
  <c r="J36" i="9"/>
  <c r="F36" i="9"/>
  <c r="E36" i="9"/>
  <c r="D36" i="9"/>
  <c r="C36" i="9"/>
  <c r="M35" i="9"/>
  <c r="L35" i="9"/>
  <c r="K35" i="9"/>
  <c r="J35" i="9"/>
  <c r="F35" i="9"/>
  <c r="E35" i="9"/>
  <c r="D35" i="9"/>
  <c r="C35" i="9"/>
  <c r="M34" i="9"/>
  <c r="L34" i="9"/>
  <c r="K34" i="9"/>
  <c r="J34" i="9"/>
  <c r="F34" i="9"/>
  <c r="E34" i="9"/>
  <c r="D34" i="9"/>
  <c r="C34" i="9"/>
  <c r="M33" i="9"/>
  <c r="L33" i="9"/>
  <c r="K33" i="9"/>
  <c r="J33" i="9"/>
  <c r="F33" i="9"/>
  <c r="E33" i="9"/>
  <c r="D33" i="9"/>
  <c r="C33" i="9"/>
  <c r="M28" i="9"/>
  <c r="L28" i="9"/>
  <c r="K28" i="9"/>
  <c r="J28" i="9"/>
  <c r="I28" i="9"/>
  <c r="F28" i="9"/>
  <c r="E28" i="9"/>
  <c r="D28" i="9"/>
  <c r="C28" i="9"/>
  <c r="B28" i="9"/>
  <c r="M27" i="9"/>
  <c r="L27" i="9"/>
  <c r="K27" i="9"/>
  <c r="J27" i="9"/>
  <c r="I27" i="9"/>
  <c r="F27" i="9"/>
  <c r="E27" i="9"/>
  <c r="D27" i="9"/>
  <c r="C27" i="9"/>
  <c r="B27" i="9"/>
  <c r="M26" i="9"/>
  <c r="L26" i="9"/>
  <c r="K26" i="9"/>
  <c r="J26" i="9"/>
  <c r="I26" i="9"/>
  <c r="F26" i="9"/>
  <c r="E26" i="9"/>
  <c r="D26" i="9"/>
  <c r="C26" i="9"/>
  <c r="B26" i="9"/>
  <c r="M25" i="9"/>
  <c r="L25" i="9"/>
  <c r="K25" i="9"/>
  <c r="J25" i="9"/>
  <c r="I25" i="9"/>
  <c r="F25" i="9"/>
  <c r="E25" i="9"/>
  <c r="D25" i="9"/>
  <c r="C25" i="9"/>
  <c r="B25" i="9"/>
  <c r="M24" i="9"/>
  <c r="L24" i="9"/>
  <c r="K24" i="9"/>
  <c r="J24" i="9"/>
  <c r="I24" i="9"/>
  <c r="F24" i="9"/>
  <c r="E24" i="9"/>
  <c r="D24" i="9"/>
  <c r="C24" i="9"/>
  <c r="B24" i="9"/>
  <c r="M23" i="9"/>
  <c r="L23" i="9"/>
  <c r="K23" i="9"/>
  <c r="J23" i="9"/>
  <c r="I23" i="9"/>
  <c r="F23" i="9"/>
  <c r="E23" i="9"/>
  <c r="D23" i="9"/>
  <c r="C23" i="9"/>
  <c r="B23" i="9"/>
  <c r="M22" i="9"/>
  <c r="L22" i="9"/>
  <c r="K22" i="9"/>
  <c r="J22" i="9"/>
  <c r="I22" i="9"/>
  <c r="F22" i="9"/>
  <c r="E22" i="9"/>
  <c r="D22" i="9"/>
  <c r="C22" i="9"/>
  <c r="B22" i="9"/>
  <c r="M21" i="9"/>
  <c r="L21" i="9"/>
  <c r="K21" i="9"/>
  <c r="J21" i="9"/>
  <c r="I21" i="9"/>
  <c r="F21" i="9"/>
  <c r="E21" i="9"/>
  <c r="D21" i="9"/>
  <c r="C21" i="9"/>
  <c r="B21" i="9"/>
  <c r="M20" i="9"/>
  <c r="L20" i="9"/>
  <c r="K20" i="9"/>
  <c r="J20" i="9"/>
  <c r="I20" i="9"/>
  <c r="F20" i="9"/>
  <c r="E20" i="9"/>
  <c r="D20" i="9"/>
  <c r="C20" i="9"/>
  <c r="B20" i="9"/>
  <c r="M19" i="9"/>
  <c r="L19" i="9"/>
  <c r="K19" i="9"/>
  <c r="J19" i="9"/>
  <c r="I19" i="9"/>
  <c r="F19" i="9"/>
  <c r="E19" i="9"/>
  <c r="D19" i="9"/>
  <c r="C19" i="9"/>
  <c r="B19" i="9"/>
  <c r="M18" i="9"/>
  <c r="L18" i="9"/>
  <c r="K18" i="9"/>
  <c r="J18" i="9"/>
  <c r="I18" i="9"/>
  <c r="F18" i="9"/>
  <c r="E18" i="9"/>
  <c r="D18" i="9"/>
  <c r="C18" i="9"/>
  <c r="B18" i="9"/>
  <c r="M13" i="9"/>
  <c r="L13" i="9"/>
  <c r="K13" i="9"/>
  <c r="J13" i="9"/>
  <c r="F13" i="9"/>
  <c r="E13" i="9"/>
  <c r="D13" i="9"/>
  <c r="C13" i="9"/>
  <c r="M12" i="9"/>
  <c r="L12" i="9"/>
  <c r="K12" i="9"/>
  <c r="J12" i="9"/>
  <c r="I12" i="9"/>
  <c r="F12" i="9"/>
  <c r="E12" i="9"/>
  <c r="D12" i="9"/>
  <c r="C12" i="9"/>
  <c r="B12" i="9"/>
  <c r="M11" i="9"/>
  <c r="L11" i="9"/>
  <c r="K11" i="9"/>
  <c r="J11" i="9"/>
  <c r="F11" i="9"/>
  <c r="E11" i="9"/>
  <c r="D11" i="9"/>
  <c r="C11" i="9"/>
  <c r="M10" i="9"/>
  <c r="L10" i="9"/>
  <c r="K10" i="9"/>
  <c r="J10" i="9"/>
  <c r="F10" i="9"/>
  <c r="E10" i="9"/>
  <c r="D10" i="9"/>
  <c r="C10" i="9"/>
  <c r="M9" i="9"/>
  <c r="L9" i="9"/>
  <c r="K9" i="9"/>
  <c r="J9" i="9"/>
  <c r="F9" i="9"/>
  <c r="E9" i="9"/>
  <c r="D9" i="9"/>
  <c r="C9" i="9"/>
  <c r="M8" i="9"/>
  <c r="L8" i="9"/>
  <c r="K8" i="9"/>
  <c r="J8" i="9"/>
  <c r="F8" i="9"/>
  <c r="E8" i="9"/>
  <c r="D8" i="9"/>
  <c r="C8" i="9"/>
  <c r="M7" i="9"/>
  <c r="L7" i="9"/>
  <c r="K7" i="9"/>
  <c r="J7" i="9"/>
  <c r="F7" i="9"/>
  <c r="E7" i="9"/>
  <c r="D7" i="9"/>
  <c r="C7" i="9"/>
  <c r="M6" i="9"/>
  <c r="L6" i="9"/>
  <c r="K6" i="9"/>
  <c r="J6" i="9"/>
  <c r="F6" i="9"/>
  <c r="E6" i="9"/>
  <c r="D6" i="9"/>
  <c r="C6" i="9"/>
  <c r="M5" i="9"/>
  <c r="L5" i="9"/>
  <c r="K5" i="9"/>
  <c r="J5" i="9"/>
  <c r="F5" i="9"/>
  <c r="E5" i="9"/>
  <c r="D5" i="9"/>
  <c r="C5" i="9"/>
  <c r="M4" i="9"/>
  <c r="L4" i="9"/>
  <c r="K4" i="9"/>
  <c r="J4" i="9"/>
  <c r="F4" i="9"/>
  <c r="E4" i="9"/>
  <c r="D4" i="9"/>
  <c r="C4" i="9"/>
  <c r="M3" i="9"/>
  <c r="L3" i="9"/>
  <c r="K3" i="9"/>
  <c r="J3" i="9"/>
  <c r="F3" i="9"/>
  <c r="E3" i="9"/>
  <c r="D3" i="9"/>
  <c r="C3" i="9"/>
  <c r="J25" i="2"/>
  <c r="J26" i="2"/>
  <c r="J211" i="4"/>
  <c r="J210" i="4"/>
  <c r="J185" i="4"/>
  <c r="J184" i="4"/>
  <c r="J171" i="4"/>
  <c r="J170" i="4"/>
  <c r="J157" i="4"/>
  <c r="J156" i="4"/>
  <c r="J143" i="4"/>
  <c r="J142" i="4"/>
  <c r="J129" i="4"/>
  <c r="J128" i="4"/>
  <c r="J115" i="4"/>
  <c r="J114" i="4"/>
  <c r="J101" i="4"/>
  <c r="J100" i="4"/>
  <c r="J87" i="4"/>
  <c r="J86" i="4"/>
  <c r="J73" i="4"/>
  <c r="J72" i="4"/>
  <c r="J59" i="4"/>
  <c r="J58" i="4"/>
  <c r="J45" i="4"/>
  <c r="J44" i="4"/>
  <c r="J31" i="4"/>
  <c r="J30" i="4"/>
  <c r="J17" i="4"/>
  <c r="J16" i="4"/>
  <c r="J3" i="4"/>
  <c r="J184" i="2"/>
  <c r="J171" i="2"/>
  <c r="J170" i="2"/>
  <c r="J156" i="2"/>
  <c r="J143" i="2"/>
  <c r="J142" i="2"/>
  <c r="J128" i="2"/>
  <c r="J115" i="2"/>
  <c r="J114" i="2"/>
  <c r="J101" i="2"/>
  <c r="J100" i="2"/>
  <c r="J87" i="2"/>
  <c r="J86" i="2"/>
  <c r="J72" i="2"/>
  <c r="J59" i="2"/>
  <c r="J58" i="2"/>
  <c r="J45" i="2"/>
  <c r="J44" i="2"/>
  <c r="J31" i="2"/>
  <c r="J32" i="2"/>
  <c r="J33" i="2"/>
  <c r="J34" i="2"/>
  <c r="J35" i="2"/>
  <c r="J36" i="2"/>
  <c r="J37" i="2"/>
  <c r="J38" i="2"/>
  <c r="J39" i="2"/>
  <c r="J40" i="2"/>
  <c r="J30" i="2"/>
  <c r="J18" i="2"/>
  <c r="J19" i="2"/>
  <c r="J20" i="2"/>
  <c r="J21" i="2"/>
  <c r="J22" i="2"/>
  <c r="J23" i="2"/>
  <c r="J24" i="2"/>
  <c r="J16" i="2"/>
  <c r="J3" i="2"/>
  <c r="J2" i="2"/>
  <c r="D198" i="4"/>
  <c r="E198" i="4"/>
  <c r="F198" i="4"/>
  <c r="G198" i="4"/>
  <c r="AB198" i="4"/>
  <c r="D199" i="4"/>
  <c r="E199" i="4"/>
  <c r="Z199" i="4"/>
  <c r="F199" i="4"/>
  <c r="G199" i="4"/>
  <c r="D200" i="4"/>
  <c r="R200" i="4"/>
  <c r="E200" i="4"/>
  <c r="F200" i="4"/>
  <c r="T200" i="4"/>
  <c r="G200" i="4"/>
  <c r="D201" i="4"/>
  <c r="R201" i="4"/>
  <c r="E201" i="4"/>
  <c r="S201" i="4"/>
  <c r="F201" i="4"/>
  <c r="AA201" i="4"/>
  <c r="G201" i="4"/>
  <c r="AB201" i="4"/>
  <c r="D202" i="4"/>
  <c r="Y202" i="4"/>
  <c r="E202" i="4"/>
  <c r="Z202" i="4"/>
  <c r="F202" i="4"/>
  <c r="T202" i="4"/>
  <c r="G202" i="4"/>
  <c r="AB202" i="4"/>
  <c r="D203" i="4"/>
  <c r="R203" i="4"/>
  <c r="E203" i="4"/>
  <c r="S203" i="4"/>
  <c r="F203" i="4"/>
  <c r="T203" i="4"/>
  <c r="G203" i="4"/>
  <c r="U203" i="4"/>
  <c r="D204" i="4"/>
  <c r="R204" i="4"/>
  <c r="E204" i="4"/>
  <c r="Z204" i="4"/>
  <c r="F204" i="4"/>
  <c r="G204" i="4"/>
  <c r="U204" i="4"/>
  <c r="D205" i="4"/>
  <c r="Y205" i="4"/>
  <c r="E205" i="4"/>
  <c r="S205" i="4"/>
  <c r="F205" i="4"/>
  <c r="AA205" i="4"/>
  <c r="G205" i="4"/>
  <c r="U205" i="4"/>
  <c r="D206" i="4"/>
  <c r="Y206" i="4"/>
  <c r="E206" i="4"/>
  <c r="F206" i="4"/>
  <c r="G206" i="4"/>
  <c r="U206" i="4"/>
  <c r="D207" i="4"/>
  <c r="R207" i="4"/>
  <c r="E207" i="4"/>
  <c r="Z207" i="4"/>
  <c r="F207" i="4"/>
  <c r="G207" i="4"/>
  <c r="AB207" i="4"/>
  <c r="D208" i="4"/>
  <c r="E208" i="4"/>
  <c r="F208" i="4"/>
  <c r="G208" i="4"/>
  <c r="U208" i="4"/>
  <c r="C199" i="4"/>
  <c r="C200" i="4"/>
  <c r="C201" i="4"/>
  <c r="X201" i="4"/>
  <c r="C202" i="4"/>
  <c r="C203" i="4"/>
  <c r="C204" i="4"/>
  <c r="C205" i="4"/>
  <c r="C206" i="4"/>
  <c r="C207" i="4"/>
  <c r="C208" i="4"/>
  <c r="C198" i="4"/>
  <c r="J201" i="4"/>
  <c r="J202" i="4"/>
  <c r="X202" i="4"/>
  <c r="J203" i="4"/>
  <c r="J208" i="4"/>
  <c r="J207" i="4"/>
  <c r="J206" i="4"/>
  <c r="X206" i="4"/>
  <c r="J205" i="4"/>
  <c r="J204" i="4"/>
  <c r="J198" i="4"/>
  <c r="J200" i="4"/>
  <c r="X200" i="4"/>
  <c r="J199" i="4"/>
  <c r="X199" i="4"/>
  <c r="T205" i="4"/>
  <c r="U198" i="4"/>
  <c r="S202" i="4"/>
  <c r="S204" i="4"/>
  <c r="AA202" i="4"/>
  <c r="Y201" i="4"/>
  <c r="U201" i="4"/>
  <c r="T201" i="4"/>
  <c r="AB203" i="4"/>
  <c r="Z203" i="4"/>
  <c r="Y207" i="4"/>
  <c r="S199" i="4"/>
  <c r="S207" i="4"/>
  <c r="Q203" i="4"/>
  <c r="Q208" i="4"/>
  <c r="R202" i="4"/>
  <c r="AA200" i="4"/>
  <c r="R206" i="4"/>
  <c r="AB205" i="4"/>
  <c r="X208" i="4"/>
  <c r="X203" i="4"/>
  <c r="AB204" i="4"/>
  <c r="T198" i="4"/>
  <c r="AA198" i="4"/>
  <c r="AB208" i="4"/>
  <c r="AB206" i="4"/>
  <c r="Y203" i="4"/>
  <c r="AB199" i="4"/>
  <c r="U199" i="4"/>
  <c r="U202" i="4"/>
  <c r="Y204" i="4"/>
  <c r="Z201" i="4"/>
  <c r="Z208" i="4"/>
  <c r="S208" i="4"/>
  <c r="S206" i="4"/>
  <c r="Z206" i="4"/>
  <c r="AA204" i="4"/>
  <c r="T204" i="4"/>
  <c r="Y200" i="4"/>
  <c r="AA203" i="4"/>
  <c r="Z205" i="4"/>
  <c r="AA208" i="4"/>
  <c r="T208" i="4"/>
  <c r="AA206" i="4"/>
  <c r="T206" i="4"/>
  <c r="U207" i="4"/>
  <c r="AA207" i="4"/>
  <c r="T207" i="4"/>
  <c r="Y198" i="4"/>
  <c r="R198" i="4"/>
  <c r="Q199" i="4"/>
  <c r="Q202" i="4"/>
  <c r="X204" i="4"/>
  <c r="Q204" i="4"/>
  <c r="Q200" i="4"/>
  <c r="Q206" i="4"/>
  <c r="Q207" i="4"/>
  <c r="X207" i="4"/>
  <c r="Q198" i="4"/>
  <c r="X198" i="4"/>
  <c r="R205" i="4"/>
  <c r="AA199" i="4"/>
  <c r="T199" i="4"/>
  <c r="Q205" i="4"/>
  <c r="X205" i="4"/>
  <c r="AB200" i="4"/>
  <c r="U200" i="4"/>
  <c r="Q201" i="4"/>
  <c r="R208" i="4"/>
  <c r="Y208" i="4"/>
  <c r="R199" i="4"/>
  <c r="Y199" i="4"/>
  <c r="Z198" i="4"/>
  <c r="S198" i="4"/>
  <c r="S200" i="4"/>
  <c r="Z200" i="4"/>
  <c r="J185" i="2"/>
  <c r="J157" i="2"/>
  <c r="J129" i="2"/>
  <c r="J73" i="2"/>
  <c r="J17" i="2"/>
  <c r="B3" i="9"/>
  <c r="I13" i="9"/>
  <c r="B13" i="9"/>
  <c r="I11" i="9"/>
  <c r="B11" i="9"/>
  <c r="I10" i="9"/>
  <c r="B10" i="9"/>
  <c r="I9" i="9"/>
  <c r="B9" i="9"/>
  <c r="I8" i="9"/>
  <c r="B8" i="9"/>
  <c r="I7" i="9"/>
  <c r="B7" i="9"/>
  <c r="I6" i="9"/>
  <c r="B6" i="9"/>
  <c r="I5" i="9"/>
  <c r="B5" i="9"/>
  <c r="I4" i="9"/>
  <c r="B4" i="9"/>
  <c r="I3" i="9"/>
  <c r="G138" i="4"/>
  <c r="D194" i="4"/>
  <c r="R194" i="4" s="1"/>
  <c r="C208" i="8" s="1"/>
  <c r="G194" i="4"/>
  <c r="AB194" i="4" s="1"/>
  <c r="M208" i="8" s="1"/>
  <c r="D180" i="4"/>
  <c r="E180" i="4"/>
  <c r="F180" i="4"/>
  <c r="D166" i="4"/>
  <c r="E166" i="4"/>
  <c r="F166" i="4"/>
  <c r="AA166" i="4" s="1"/>
  <c r="L178" i="8" s="1"/>
  <c r="G166" i="4"/>
  <c r="U166" i="4" s="1"/>
  <c r="F178" i="8" s="1"/>
  <c r="C166" i="4"/>
  <c r="D152" i="4"/>
  <c r="R152" i="4" s="1"/>
  <c r="C163" i="8" s="1"/>
  <c r="E152" i="4"/>
  <c r="F152" i="4"/>
  <c r="G152" i="4"/>
  <c r="D124" i="4"/>
  <c r="E124" i="4"/>
  <c r="Z124" i="4" s="1"/>
  <c r="K133" i="8" s="1"/>
  <c r="F124" i="4"/>
  <c r="AA124" i="4" s="1"/>
  <c r="L133" i="8" s="1"/>
  <c r="G124" i="4"/>
  <c r="AB124" i="4" s="1"/>
  <c r="M133" i="8" s="1"/>
  <c r="D110" i="4"/>
  <c r="E110" i="4"/>
  <c r="F110" i="4"/>
  <c r="C110" i="4"/>
  <c r="E96" i="4"/>
  <c r="F96" i="4"/>
  <c r="T96" i="4" s="1"/>
  <c r="E103" i="8" s="1"/>
  <c r="G96" i="4"/>
  <c r="U96" i="4" s="1"/>
  <c r="F103" i="8" s="1"/>
  <c r="D82" i="4"/>
  <c r="Y82" i="4" s="1"/>
  <c r="J88" i="8" s="1"/>
  <c r="E82" i="4"/>
  <c r="F82" i="4"/>
  <c r="G82" i="4"/>
  <c r="D68" i="4"/>
  <c r="E68" i="4"/>
  <c r="F68" i="4"/>
  <c r="T68" i="4" s="1"/>
  <c r="E73" i="8" s="1"/>
  <c r="G68" i="4"/>
  <c r="AB68" i="4" s="1"/>
  <c r="M73" i="8" s="1"/>
  <c r="D54" i="4"/>
  <c r="R54" i="4" s="1"/>
  <c r="C58" i="8" s="1"/>
  <c r="F54" i="4"/>
  <c r="AA54" i="4" s="1"/>
  <c r="L58" i="8" s="1"/>
  <c r="G54" i="4"/>
  <c r="D40" i="4"/>
  <c r="E40" i="4"/>
  <c r="F40" i="4"/>
  <c r="G40" i="4"/>
  <c r="U40" i="4" s="1"/>
  <c r="F43" i="8" s="1"/>
  <c r="D26" i="4"/>
  <c r="R26" i="4" s="1"/>
  <c r="C28" i="8" s="1"/>
  <c r="E26" i="4"/>
  <c r="Z26" i="4" s="1"/>
  <c r="K28" i="8" s="1"/>
  <c r="F26" i="4"/>
  <c r="AA26" i="4" s="1"/>
  <c r="L28" i="8" s="1"/>
  <c r="G26" i="4"/>
  <c r="D12" i="4"/>
  <c r="E12" i="4"/>
  <c r="G12" i="4"/>
  <c r="D220" i="4"/>
  <c r="R220" i="4" s="1"/>
  <c r="C223" i="8" s="1"/>
  <c r="E220" i="4"/>
  <c r="F220" i="4"/>
  <c r="AA220" i="4" s="1"/>
  <c r="L223" i="8" s="1"/>
  <c r="G220" i="4"/>
  <c r="C194" i="2"/>
  <c r="D180" i="2"/>
  <c r="E180" i="2"/>
  <c r="F180" i="2"/>
  <c r="G180" i="2"/>
  <c r="U180" i="2" s="1"/>
  <c r="F193" i="1" s="1"/>
  <c r="D152" i="2"/>
  <c r="R152" i="2" s="1"/>
  <c r="C163" i="1" s="1"/>
  <c r="E152" i="2"/>
  <c r="Z152" i="2" s="1"/>
  <c r="K163" i="1" s="1"/>
  <c r="D124" i="2"/>
  <c r="R124" i="2" s="1"/>
  <c r="C133" i="1" s="1"/>
  <c r="E124" i="2"/>
  <c r="F124" i="2"/>
  <c r="T124" i="2" s="1"/>
  <c r="E133" i="1" s="1"/>
  <c r="G124" i="2"/>
  <c r="D96" i="2"/>
  <c r="E96" i="2"/>
  <c r="S96" i="2" s="1"/>
  <c r="D103" i="1" s="1"/>
  <c r="G96" i="2"/>
  <c r="U96" i="2" s="1"/>
  <c r="F103" i="1" s="1"/>
  <c r="D68" i="2"/>
  <c r="Y68" i="2" s="1"/>
  <c r="J73" i="1" s="1"/>
  <c r="E68" i="2"/>
  <c r="F68" i="2"/>
  <c r="C68" i="2"/>
  <c r="D40" i="2"/>
  <c r="F40" i="2"/>
  <c r="G40" i="2"/>
  <c r="D12" i="2"/>
  <c r="Y12" i="2" s="1"/>
  <c r="J13" i="1" s="1"/>
  <c r="E12" i="2"/>
  <c r="Z12" i="2" s="1"/>
  <c r="K13" i="1" s="1"/>
  <c r="F12" i="2"/>
  <c r="T12" i="2" s="1"/>
  <c r="E13" i="1" s="1"/>
  <c r="G12" i="2"/>
  <c r="C12" i="2"/>
  <c r="D193" i="4"/>
  <c r="E193" i="4"/>
  <c r="F193" i="4"/>
  <c r="AA193" i="4" s="1"/>
  <c r="L207" i="8" s="1"/>
  <c r="G193" i="4"/>
  <c r="AB193" i="4" s="1"/>
  <c r="M207" i="8" s="1"/>
  <c r="D179" i="4"/>
  <c r="R179" i="4" s="1"/>
  <c r="C192" i="8" s="1"/>
  <c r="E179" i="4"/>
  <c r="F179" i="4"/>
  <c r="AA179" i="4" s="1"/>
  <c r="L192" i="8" s="1"/>
  <c r="G179" i="4"/>
  <c r="D165" i="4"/>
  <c r="E165" i="4"/>
  <c r="F165" i="4"/>
  <c r="T165" i="4" s="1"/>
  <c r="E177" i="8" s="1"/>
  <c r="D151" i="4"/>
  <c r="R151" i="4" s="1"/>
  <c r="C162" i="8" s="1"/>
  <c r="E151" i="4"/>
  <c r="S151" i="4" s="1"/>
  <c r="D162" i="8" s="1"/>
  <c r="F151" i="4"/>
  <c r="AA151" i="4" s="1"/>
  <c r="L162" i="8" s="1"/>
  <c r="G151" i="4"/>
  <c r="C151" i="4"/>
  <c r="D123" i="4"/>
  <c r="E123" i="4"/>
  <c r="D109" i="4"/>
  <c r="Y109" i="4" s="1"/>
  <c r="J117" i="8" s="1"/>
  <c r="E109" i="4"/>
  <c r="S109" i="4" s="1"/>
  <c r="D117" i="8" s="1"/>
  <c r="F109" i="4"/>
  <c r="AA109" i="4" s="1"/>
  <c r="L117" i="8" s="1"/>
  <c r="D95" i="4"/>
  <c r="Y95" i="4" s="1"/>
  <c r="J102" i="8" s="1"/>
  <c r="E95" i="4"/>
  <c r="F95" i="4"/>
  <c r="G95" i="4"/>
  <c r="E81" i="4"/>
  <c r="F81" i="4"/>
  <c r="D67" i="4"/>
  <c r="R67" i="4" s="1"/>
  <c r="C72" i="8" s="1"/>
  <c r="E67" i="4"/>
  <c r="S67" i="4" s="1"/>
  <c r="D72" i="8" s="1"/>
  <c r="F67" i="4"/>
  <c r="G67" i="4"/>
  <c r="C68" i="4"/>
  <c r="D53" i="4"/>
  <c r="G53" i="4"/>
  <c r="E39" i="4"/>
  <c r="S39" i="4" s="1"/>
  <c r="D42" i="8" s="1"/>
  <c r="F39" i="4"/>
  <c r="G39" i="4"/>
  <c r="AB39" i="4" s="1"/>
  <c r="M42" i="8" s="1"/>
  <c r="D25" i="4"/>
  <c r="E25" i="4"/>
  <c r="G25" i="4"/>
  <c r="D11" i="4"/>
  <c r="F11" i="4"/>
  <c r="D219" i="4"/>
  <c r="R219" i="4" s="1"/>
  <c r="C222" i="8" s="1"/>
  <c r="E219" i="4"/>
  <c r="S219" i="4" s="1"/>
  <c r="D222" i="8" s="1"/>
  <c r="F219" i="4"/>
  <c r="T219" i="4" s="1"/>
  <c r="E222" i="8" s="1"/>
  <c r="E179" i="2"/>
  <c r="F179" i="2"/>
  <c r="F166" i="2"/>
  <c r="D151" i="2"/>
  <c r="E151" i="2"/>
  <c r="G151" i="2"/>
  <c r="U151" i="2" s="1"/>
  <c r="F162" i="1" s="1"/>
  <c r="D123" i="2"/>
  <c r="R123" i="2" s="1"/>
  <c r="C132" i="1" s="1"/>
  <c r="E123" i="2"/>
  <c r="F123" i="2"/>
  <c r="AA123" i="2" s="1"/>
  <c r="L132" i="1" s="1"/>
  <c r="G123" i="2"/>
  <c r="U123" i="2" s="1"/>
  <c r="F132" i="1" s="1"/>
  <c r="F109" i="2"/>
  <c r="D95" i="2"/>
  <c r="E95" i="2"/>
  <c r="F95" i="2"/>
  <c r="G95" i="2"/>
  <c r="G82" i="2"/>
  <c r="U82" i="2" s="1"/>
  <c r="F88" i="1" s="1"/>
  <c r="D67" i="2"/>
  <c r="Y67" i="2" s="1"/>
  <c r="J72" i="1" s="1"/>
  <c r="E67" i="2"/>
  <c r="F67" i="2"/>
  <c r="G67" i="2"/>
  <c r="D39" i="2"/>
  <c r="E39" i="2"/>
  <c r="F39" i="2"/>
  <c r="T39" i="2" s="1"/>
  <c r="E42" i="1" s="1"/>
  <c r="G39" i="2"/>
  <c r="U39" i="2" s="1"/>
  <c r="F42" i="1" s="1"/>
  <c r="C39" i="2"/>
  <c r="E26" i="2"/>
  <c r="D11" i="2"/>
  <c r="E11" i="2"/>
  <c r="F11" i="2"/>
  <c r="G11" i="2"/>
  <c r="AB11" i="2" s="1"/>
  <c r="M12" i="1" s="1"/>
  <c r="G136" i="4"/>
  <c r="U136" i="4" s="1"/>
  <c r="F146" i="8" s="1"/>
  <c r="D192" i="4"/>
  <c r="E192" i="4"/>
  <c r="S192" i="4" s="1"/>
  <c r="D206" i="8" s="1"/>
  <c r="F192" i="4"/>
  <c r="G192" i="4"/>
  <c r="C192" i="4"/>
  <c r="D178" i="4"/>
  <c r="E178" i="4"/>
  <c r="S178" i="4" s="1"/>
  <c r="D191" i="8" s="1"/>
  <c r="F178" i="4"/>
  <c r="G178" i="4"/>
  <c r="U178" i="4" s="1"/>
  <c r="F191" i="8" s="1"/>
  <c r="C179" i="4"/>
  <c r="D164" i="4"/>
  <c r="E164" i="4"/>
  <c r="G164" i="4"/>
  <c r="D150" i="4"/>
  <c r="E150" i="4"/>
  <c r="Z150" i="4" s="1"/>
  <c r="K161" i="8" s="1"/>
  <c r="G150" i="4"/>
  <c r="U150" i="4" s="1"/>
  <c r="F161" i="8" s="1"/>
  <c r="D122" i="4"/>
  <c r="G122" i="4"/>
  <c r="U122" i="4" s="1"/>
  <c r="F131" i="8" s="1"/>
  <c r="D108" i="4"/>
  <c r="E108" i="4"/>
  <c r="F108" i="4"/>
  <c r="G108" i="4"/>
  <c r="D94" i="4"/>
  <c r="R94" i="4" s="1"/>
  <c r="C101" i="8" s="1"/>
  <c r="E94" i="4"/>
  <c r="S94" i="4" s="1"/>
  <c r="D101" i="8" s="1"/>
  <c r="F94" i="4"/>
  <c r="AA94" i="4" s="1"/>
  <c r="L101" i="8" s="1"/>
  <c r="G94" i="4"/>
  <c r="AB94" i="4" s="1"/>
  <c r="M101" i="8" s="1"/>
  <c r="D80" i="4"/>
  <c r="E80" i="4"/>
  <c r="F80" i="4"/>
  <c r="G80" i="4"/>
  <c r="D66" i="4"/>
  <c r="R66" i="4" s="1"/>
  <c r="C71" i="8" s="1"/>
  <c r="E66" i="4"/>
  <c r="F66" i="4"/>
  <c r="T66" i="4" s="1"/>
  <c r="E71" i="8" s="1"/>
  <c r="G66" i="4"/>
  <c r="AB66" i="4" s="1"/>
  <c r="M71" i="8" s="1"/>
  <c r="D52" i="4"/>
  <c r="E52" i="4"/>
  <c r="F52" i="4"/>
  <c r="G52" i="4"/>
  <c r="D38" i="4"/>
  <c r="R38" i="4" s="1"/>
  <c r="C41" i="8" s="1"/>
  <c r="F38" i="4"/>
  <c r="AA38" i="4" s="1"/>
  <c r="L41" i="8" s="1"/>
  <c r="G38" i="4"/>
  <c r="U38" i="4" s="1"/>
  <c r="F41" i="8" s="1"/>
  <c r="D24" i="4"/>
  <c r="E24" i="4"/>
  <c r="F24" i="4"/>
  <c r="AA24" i="4" s="1"/>
  <c r="L26" i="8" s="1"/>
  <c r="G24" i="4"/>
  <c r="D10" i="4"/>
  <c r="E10" i="4"/>
  <c r="Z10" i="4" s="1"/>
  <c r="K11" i="8" s="1"/>
  <c r="F10" i="4"/>
  <c r="AA10" i="4" s="1"/>
  <c r="L11" i="8" s="1"/>
  <c r="G10" i="4"/>
  <c r="D218" i="4"/>
  <c r="E218" i="4"/>
  <c r="F218" i="4"/>
  <c r="G218" i="4"/>
  <c r="E193" i="2"/>
  <c r="D178" i="2"/>
  <c r="R178" i="2" s="1"/>
  <c r="C191" i="1" s="1"/>
  <c r="E178" i="2"/>
  <c r="F178" i="2"/>
  <c r="T178" i="2" s="1"/>
  <c r="E191" i="1" s="1"/>
  <c r="G178" i="2"/>
  <c r="AB178" i="2" s="1"/>
  <c r="M191" i="1" s="1"/>
  <c r="C164" i="2"/>
  <c r="D150" i="2"/>
  <c r="E150" i="2"/>
  <c r="F150" i="2"/>
  <c r="F137" i="2"/>
  <c r="AA137" i="2" s="1"/>
  <c r="L147" i="1" s="1"/>
  <c r="D122" i="2"/>
  <c r="E122" i="2"/>
  <c r="Z122" i="2" s="1"/>
  <c r="K131" i="1" s="1"/>
  <c r="F122" i="2"/>
  <c r="G122" i="2"/>
  <c r="C122" i="2"/>
  <c r="D94" i="2"/>
  <c r="E94" i="2"/>
  <c r="F94" i="2"/>
  <c r="AA94" i="2" s="1"/>
  <c r="L101" i="1" s="1"/>
  <c r="G94" i="2"/>
  <c r="U94" i="2" s="1"/>
  <c r="F101" i="1" s="1"/>
  <c r="E66" i="2"/>
  <c r="Z66" i="2" s="1"/>
  <c r="K71" i="1" s="1"/>
  <c r="G66" i="2"/>
  <c r="D38" i="2"/>
  <c r="E38" i="2"/>
  <c r="F38" i="2"/>
  <c r="G38" i="2"/>
  <c r="E25" i="2"/>
  <c r="D10" i="2"/>
  <c r="E10" i="2"/>
  <c r="Z10" i="2" s="1"/>
  <c r="K11" i="1" s="1"/>
  <c r="F10" i="2"/>
  <c r="G10" i="2"/>
  <c r="C11" i="2"/>
  <c r="G135" i="4"/>
  <c r="D191" i="4"/>
  <c r="E191" i="4"/>
  <c r="Z191" i="4" s="1"/>
  <c r="K205" i="8" s="1"/>
  <c r="F191" i="4"/>
  <c r="T191" i="4" s="1"/>
  <c r="E205" i="8" s="1"/>
  <c r="G191" i="4"/>
  <c r="D177" i="4"/>
  <c r="Y177" i="4" s="1"/>
  <c r="J190" i="8" s="1"/>
  <c r="D163" i="4"/>
  <c r="E163" i="4"/>
  <c r="F163" i="4"/>
  <c r="C163" i="4"/>
  <c r="D149" i="4"/>
  <c r="R149" i="4" s="1"/>
  <c r="C160" i="8" s="1"/>
  <c r="E149" i="4"/>
  <c r="Z149" i="4" s="1"/>
  <c r="K160" i="8" s="1"/>
  <c r="F149" i="4"/>
  <c r="AA149" i="4" s="1"/>
  <c r="L160" i="8" s="1"/>
  <c r="G149" i="4"/>
  <c r="AB149" i="4" s="1"/>
  <c r="M160" i="8" s="1"/>
  <c r="C150" i="4"/>
  <c r="D121" i="4"/>
  <c r="E121" i="4"/>
  <c r="F121" i="4"/>
  <c r="G121" i="4"/>
  <c r="D107" i="4"/>
  <c r="R107" i="4" s="1"/>
  <c r="C115" i="8" s="1"/>
  <c r="E107" i="4"/>
  <c r="Z107" i="4" s="1"/>
  <c r="K115" i="8" s="1"/>
  <c r="F107" i="4"/>
  <c r="AA107" i="4" s="1"/>
  <c r="L115" i="8" s="1"/>
  <c r="G107" i="4"/>
  <c r="E93" i="4"/>
  <c r="F93" i="4"/>
  <c r="G93" i="4"/>
  <c r="D79" i="4"/>
  <c r="Y79" i="4" s="1"/>
  <c r="J85" i="8" s="1"/>
  <c r="E79" i="4"/>
  <c r="F79" i="4"/>
  <c r="T79" i="4" s="1"/>
  <c r="E85" i="8" s="1"/>
  <c r="G79" i="4"/>
  <c r="D65" i="4"/>
  <c r="E65" i="4"/>
  <c r="F65" i="4"/>
  <c r="G65" i="4"/>
  <c r="D51" i="4"/>
  <c r="R51" i="4" s="1"/>
  <c r="C55" i="8" s="1"/>
  <c r="E51" i="4"/>
  <c r="S51" i="4" s="1"/>
  <c r="D55" i="8" s="1"/>
  <c r="G51" i="4"/>
  <c r="AB51" i="4" s="1"/>
  <c r="M55" i="8" s="1"/>
  <c r="E37" i="4"/>
  <c r="Z37" i="4" s="1"/>
  <c r="K40" i="8" s="1"/>
  <c r="F37" i="4"/>
  <c r="G37" i="4"/>
  <c r="D23" i="4"/>
  <c r="E23" i="4"/>
  <c r="F23" i="4"/>
  <c r="AA23" i="4" s="1"/>
  <c r="L25" i="8" s="1"/>
  <c r="G23" i="4"/>
  <c r="U23" i="4" s="1"/>
  <c r="F25" i="8" s="1"/>
  <c r="D9" i="4"/>
  <c r="Y9" i="4" s="1"/>
  <c r="J10" i="8" s="1"/>
  <c r="E9" i="4"/>
  <c r="Z9" i="4" s="1"/>
  <c r="K10" i="8" s="1"/>
  <c r="G9" i="4"/>
  <c r="D217" i="4"/>
  <c r="E217" i="4"/>
  <c r="F217" i="4"/>
  <c r="G217" i="4"/>
  <c r="D177" i="2"/>
  <c r="R177" i="2" s="1"/>
  <c r="C190" i="1" s="1"/>
  <c r="E177" i="2"/>
  <c r="S177" i="2" s="1"/>
  <c r="D190" i="1" s="1"/>
  <c r="F177" i="2"/>
  <c r="AA177" i="2" s="1"/>
  <c r="L190" i="1" s="1"/>
  <c r="G177" i="2"/>
  <c r="E164" i="2"/>
  <c r="E149" i="2"/>
  <c r="F149" i="2"/>
  <c r="AA149" i="2" s="1"/>
  <c r="L160" i="1" s="1"/>
  <c r="G149" i="2"/>
  <c r="AB149" i="2" s="1"/>
  <c r="M160" i="1" s="1"/>
  <c r="D121" i="2"/>
  <c r="R121" i="2" s="1"/>
  <c r="C130" i="1" s="1"/>
  <c r="E121" i="2"/>
  <c r="S121" i="2" s="1"/>
  <c r="D130" i="1" s="1"/>
  <c r="F121" i="2"/>
  <c r="AA121" i="2" s="1"/>
  <c r="L130" i="1" s="1"/>
  <c r="G121" i="2"/>
  <c r="D93" i="2"/>
  <c r="E93" i="2"/>
  <c r="F93" i="2"/>
  <c r="G93" i="2"/>
  <c r="U93" i="2" s="1"/>
  <c r="F100" i="1" s="1"/>
  <c r="C94" i="2"/>
  <c r="D65" i="2"/>
  <c r="Y65" i="2" s="1"/>
  <c r="J70" i="1" s="1"/>
  <c r="E65" i="2"/>
  <c r="F65" i="2"/>
  <c r="E52" i="2"/>
  <c r="S52" i="2" s="1"/>
  <c r="D56" i="1" s="1"/>
  <c r="D37" i="2"/>
  <c r="F37" i="2"/>
  <c r="G37" i="2"/>
  <c r="D9" i="2"/>
  <c r="R9" i="2" s="1"/>
  <c r="C10" i="1" s="1"/>
  <c r="E9" i="2"/>
  <c r="Z9" i="2" s="1"/>
  <c r="K10" i="1" s="1"/>
  <c r="F9" i="2"/>
  <c r="T9" i="2" s="1"/>
  <c r="E10" i="1" s="1"/>
  <c r="G9" i="2"/>
  <c r="G134" i="4"/>
  <c r="D190" i="4"/>
  <c r="F190" i="4"/>
  <c r="G190" i="4"/>
  <c r="AB190" i="4" s="1"/>
  <c r="M204" i="8" s="1"/>
  <c r="D176" i="4"/>
  <c r="Y176" i="4" s="1"/>
  <c r="J189" i="8" s="1"/>
  <c r="E176" i="4"/>
  <c r="Z176" i="4" s="1"/>
  <c r="K189" i="8" s="1"/>
  <c r="F176" i="4"/>
  <c r="AA176" i="4" s="1"/>
  <c r="L189" i="8" s="1"/>
  <c r="D162" i="4"/>
  <c r="E162" i="4"/>
  <c r="F162" i="4"/>
  <c r="G162" i="4"/>
  <c r="D148" i="4"/>
  <c r="R148" i="4" s="1"/>
  <c r="C159" i="8" s="1"/>
  <c r="E148" i="4"/>
  <c r="S148" i="4" s="1"/>
  <c r="D159" i="8" s="1"/>
  <c r="F148" i="4"/>
  <c r="T148" i="4" s="1"/>
  <c r="E159" i="8" s="1"/>
  <c r="G148" i="4"/>
  <c r="AB148" i="4" s="1"/>
  <c r="M159" i="8" s="1"/>
  <c r="D120" i="4"/>
  <c r="E120" i="4"/>
  <c r="F120" i="4"/>
  <c r="G120" i="4"/>
  <c r="E106" i="4"/>
  <c r="Z106" i="4" s="1"/>
  <c r="K114" i="8" s="1"/>
  <c r="F106" i="4"/>
  <c r="G106" i="4"/>
  <c r="AB106" i="4" s="1"/>
  <c r="M114" i="8" s="1"/>
  <c r="D92" i="4"/>
  <c r="Y92" i="4" s="1"/>
  <c r="J99" i="8" s="1"/>
  <c r="E92" i="4"/>
  <c r="F92" i="4"/>
  <c r="C92" i="4"/>
  <c r="D78" i="4"/>
  <c r="E78" i="4"/>
  <c r="S78" i="4" s="1"/>
  <c r="D84" i="8" s="1"/>
  <c r="F78" i="4"/>
  <c r="AA78" i="4" s="1"/>
  <c r="L84" i="8" s="1"/>
  <c r="G78" i="4"/>
  <c r="AB78" i="4" s="1"/>
  <c r="M84" i="8" s="1"/>
  <c r="D64" i="4"/>
  <c r="E64" i="4"/>
  <c r="F64" i="4"/>
  <c r="E50" i="4"/>
  <c r="F50" i="4"/>
  <c r="G50" i="4"/>
  <c r="C50" i="4"/>
  <c r="D36" i="4"/>
  <c r="R36" i="4" s="1"/>
  <c r="C39" i="8" s="1"/>
  <c r="E36" i="4"/>
  <c r="Z36" i="4" s="1"/>
  <c r="K39" i="8" s="1"/>
  <c r="F36" i="4"/>
  <c r="G36" i="4"/>
  <c r="D22" i="4"/>
  <c r="E22" i="4"/>
  <c r="F22" i="4"/>
  <c r="T22" i="4" s="1"/>
  <c r="E24" i="8" s="1"/>
  <c r="G22" i="4"/>
  <c r="AB22" i="4" s="1"/>
  <c r="M24" i="8" s="1"/>
  <c r="D8" i="4"/>
  <c r="Y8" i="4" s="1"/>
  <c r="J9" i="8" s="1"/>
  <c r="E8" i="4"/>
  <c r="F8" i="4"/>
  <c r="AA8" i="4" s="1"/>
  <c r="L9" i="8" s="1"/>
  <c r="G8" i="4"/>
  <c r="U8" i="4" s="1"/>
  <c r="F9" i="8" s="1"/>
  <c r="D216" i="4"/>
  <c r="E216" i="4"/>
  <c r="F216" i="4"/>
  <c r="AA216" i="4" s="1"/>
  <c r="L219" i="8" s="1"/>
  <c r="G216" i="4"/>
  <c r="D176" i="2"/>
  <c r="R176" i="2" s="1"/>
  <c r="C189" i="1" s="1"/>
  <c r="E176" i="2"/>
  <c r="F176" i="2"/>
  <c r="G176" i="2"/>
  <c r="E162" i="2"/>
  <c r="D148" i="2"/>
  <c r="E148" i="2"/>
  <c r="S148" i="2" s="1"/>
  <c r="D159" i="1" s="1"/>
  <c r="F148" i="2"/>
  <c r="T148" i="2" s="1"/>
  <c r="E159" i="1" s="1"/>
  <c r="G148" i="2"/>
  <c r="U148" i="2" s="1"/>
  <c r="F159" i="1" s="1"/>
  <c r="C148" i="2"/>
  <c r="C135" i="2"/>
  <c r="D120" i="2"/>
  <c r="E120" i="2"/>
  <c r="F120" i="2"/>
  <c r="T120" i="2" s="1"/>
  <c r="E129" i="1" s="1"/>
  <c r="G120" i="2"/>
  <c r="AB120" i="2" s="1"/>
  <c r="M129" i="1" s="1"/>
  <c r="D92" i="2"/>
  <c r="R92" i="2" s="1"/>
  <c r="C99" i="1" s="1"/>
  <c r="F92" i="2"/>
  <c r="T92" i="2" s="1"/>
  <c r="E99" i="1" s="1"/>
  <c r="G92" i="2"/>
  <c r="D78" i="2"/>
  <c r="R78" i="2" s="1"/>
  <c r="C84" i="1" s="1"/>
  <c r="F79" i="2"/>
  <c r="D64" i="2"/>
  <c r="E64" i="2"/>
  <c r="D36" i="2"/>
  <c r="R36" i="2" s="1"/>
  <c r="C39" i="1" s="1"/>
  <c r="E36" i="2"/>
  <c r="S36" i="2" s="1"/>
  <c r="D39" i="1" s="1"/>
  <c r="F36" i="2"/>
  <c r="AA36" i="2" s="1"/>
  <c r="L39" i="1" s="1"/>
  <c r="G36" i="2"/>
  <c r="U36" i="2" s="1"/>
  <c r="F39" i="1" s="1"/>
  <c r="D8" i="2"/>
  <c r="E8" i="2"/>
  <c r="S8" i="2" s="1"/>
  <c r="D9" i="1" s="1"/>
  <c r="F8" i="2"/>
  <c r="G133" i="4"/>
  <c r="D189" i="4"/>
  <c r="R189" i="4" s="1"/>
  <c r="C203" i="8" s="1"/>
  <c r="E189" i="4"/>
  <c r="S189" i="4" s="1"/>
  <c r="D203" i="8" s="1"/>
  <c r="F189" i="4"/>
  <c r="AA189" i="4" s="1"/>
  <c r="L203" i="8" s="1"/>
  <c r="G189" i="4"/>
  <c r="AB189" i="4" s="1"/>
  <c r="M203" i="8" s="1"/>
  <c r="D175" i="4"/>
  <c r="R175" i="4" s="1"/>
  <c r="C188" i="8" s="1"/>
  <c r="E175" i="4"/>
  <c r="F175" i="4"/>
  <c r="G175" i="4"/>
  <c r="D161" i="4"/>
  <c r="R161" i="4" s="1"/>
  <c r="C173" i="8" s="1"/>
  <c r="E161" i="4"/>
  <c r="F161" i="4"/>
  <c r="AA161" i="4" s="1"/>
  <c r="L173" i="8" s="1"/>
  <c r="G161" i="4"/>
  <c r="D147" i="4"/>
  <c r="E147" i="4"/>
  <c r="F147" i="4"/>
  <c r="G147" i="4"/>
  <c r="E119" i="4"/>
  <c r="Z119" i="4" s="1"/>
  <c r="K128" i="8" s="1"/>
  <c r="F119" i="4"/>
  <c r="AA119" i="4" s="1"/>
  <c r="L128" i="8" s="1"/>
  <c r="D105" i="4"/>
  <c r="Y105" i="4" s="1"/>
  <c r="J113" i="8" s="1"/>
  <c r="G105" i="4"/>
  <c r="D91" i="4"/>
  <c r="E91" i="4"/>
  <c r="F91" i="4"/>
  <c r="G91" i="4"/>
  <c r="D77" i="4"/>
  <c r="R77" i="4" s="1"/>
  <c r="C83" i="8" s="1"/>
  <c r="E77" i="4"/>
  <c r="S77" i="4" s="1"/>
  <c r="D83" i="8" s="1"/>
  <c r="F77" i="4"/>
  <c r="G77" i="4"/>
  <c r="E63" i="4"/>
  <c r="F63" i="4"/>
  <c r="G63" i="4"/>
  <c r="D49" i="4"/>
  <c r="E49" i="4"/>
  <c r="Z49" i="4" s="1"/>
  <c r="K53" i="8" s="1"/>
  <c r="F49" i="4"/>
  <c r="T49" i="4" s="1"/>
  <c r="E53" i="8" s="1"/>
  <c r="G49" i="4"/>
  <c r="D35" i="4"/>
  <c r="E35" i="4"/>
  <c r="S35" i="4" s="1"/>
  <c r="D38" i="8" s="1"/>
  <c r="F35" i="4"/>
  <c r="G35" i="4"/>
  <c r="D21" i="4"/>
  <c r="E21" i="4"/>
  <c r="S21" i="4" s="1"/>
  <c r="D23" i="8" s="1"/>
  <c r="F21" i="4"/>
  <c r="T21" i="4" s="1"/>
  <c r="E23" i="8" s="1"/>
  <c r="G21" i="4"/>
  <c r="D7" i="4"/>
  <c r="E7" i="4"/>
  <c r="F7" i="4"/>
  <c r="D215" i="4"/>
  <c r="E215" i="4"/>
  <c r="S215" i="4" s="1"/>
  <c r="D218" i="8" s="1"/>
  <c r="F215" i="4"/>
  <c r="T215" i="4" s="1"/>
  <c r="E218" i="8" s="1"/>
  <c r="G215" i="4"/>
  <c r="AB215" i="4" s="1"/>
  <c r="M218" i="8" s="1"/>
  <c r="F190" i="2"/>
  <c r="AA190" i="2" s="1"/>
  <c r="L204" i="1" s="1"/>
  <c r="D175" i="2"/>
  <c r="E175" i="2"/>
  <c r="F175" i="2"/>
  <c r="G175" i="2"/>
  <c r="D147" i="2"/>
  <c r="E147" i="2"/>
  <c r="S147" i="2" s="1"/>
  <c r="D158" i="1" s="1"/>
  <c r="F147" i="2"/>
  <c r="G147" i="2"/>
  <c r="D119" i="2"/>
  <c r="F119" i="2"/>
  <c r="G119" i="2"/>
  <c r="D105" i="2"/>
  <c r="C105" i="2"/>
  <c r="D91" i="2"/>
  <c r="R91" i="2" s="1"/>
  <c r="C98" i="1" s="1"/>
  <c r="E91" i="2"/>
  <c r="Z91" i="2" s="1"/>
  <c r="K98" i="1" s="1"/>
  <c r="F91" i="2"/>
  <c r="G91" i="2"/>
  <c r="U91" i="2" s="1"/>
  <c r="F98" i="1" s="1"/>
  <c r="C91" i="2"/>
  <c r="D63" i="2"/>
  <c r="E63" i="2"/>
  <c r="F63" i="2"/>
  <c r="G63" i="2"/>
  <c r="U63" i="2" s="1"/>
  <c r="F68" i="1" s="1"/>
  <c r="G49" i="2"/>
  <c r="E35" i="2"/>
  <c r="S35" i="2" s="1"/>
  <c r="D38" i="1" s="1"/>
  <c r="F35" i="2"/>
  <c r="G35" i="2"/>
  <c r="AB35" i="2" s="1"/>
  <c r="M38" i="1" s="1"/>
  <c r="D21" i="2"/>
  <c r="R21" i="2" s="1"/>
  <c r="C23" i="1" s="1"/>
  <c r="D7" i="2"/>
  <c r="E7" i="2"/>
  <c r="F7" i="2"/>
  <c r="AA7" i="2" s="1"/>
  <c r="L8" i="1" s="1"/>
  <c r="G7" i="2"/>
  <c r="U7" i="2" s="1"/>
  <c r="F8" i="1" s="1"/>
  <c r="C8" i="2"/>
  <c r="G132" i="4"/>
  <c r="U132" i="4" s="1"/>
  <c r="F142" i="8" s="1"/>
  <c r="E188" i="4"/>
  <c r="F188" i="4"/>
  <c r="T188" i="4" s="1"/>
  <c r="E202" i="8" s="1"/>
  <c r="D174" i="4"/>
  <c r="E174" i="4"/>
  <c r="F174" i="4"/>
  <c r="T174" i="4" s="1"/>
  <c r="E187" i="8" s="1"/>
  <c r="D160" i="4"/>
  <c r="Y160" i="4" s="1"/>
  <c r="J172" i="8" s="1"/>
  <c r="E160" i="4"/>
  <c r="F160" i="4"/>
  <c r="G160" i="4"/>
  <c r="U160" i="4" s="1"/>
  <c r="F172" i="8" s="1"/>
  <c r="D146" i="4"/>
  <c r="E146" i="4"/>
  <c r="F146" i="4"/>
  <c r="G146" i="4"/>
  <c r="AB146" i="4" s="1"/>
  <c r="M157" i="8" s="1"/>
  <c r="D118" i="4"/>
  <c r="R118" i="4" s="1"/>
  <c r="C127" i="8" s="1"/>
  <c r="F118" i="4"/>
  <c r="G118" i="4"/>
  <c r="E104" i="4"/>
  <c r="G104" i="4"/>
  <c r="D90" i="4"/>
  <c r="G90" i="4"/>
  <c r="D76" i="4"/>
  <c r="Y76" i="4" s="1"/>
  <c r="J82" i="8" s="1"/>
  <c r="F76" i="4"/>
  <c r="G76" i="4"/>
  <c r="U76" i="4" s="1"/>
  <c r="F82" i="8" s="1"/>
  <c r="D62" i="4"/>
  <c r="E62" i="4"/>
  <c r="S62" i="4" s="1"/>
  <c r="D67" i="8" s="1"/>
  <c r="F62" i="4"/>
  <c r="T62" i="4" s="1"/>
  <c r="E67" i="8" s="1"/>
  <c r="G62" i="4"/>
  <c r="D48" i="4"/>
  <c r="E48" i="4"/>
  <c r="Z48" i="4" s="1"/>
  <c r="K52" i="8" s="1"/>
  <c r="F34" i="4"/>
  <c r="AA34" i="4" s="1"/>
  <c r="L37" i="8" s="1"/>
  <c r="G34" i="4"/>
  <c r="AB34" i="4" s="1"/>
  <c r="M37" i="8" s="1"/>
  <c r="F20" i="4"/>
  <c r="G20" i="4"/>
  <c r="AB20" i="4" s="1"/>
  <c r="M22" i="8" s="1"/>
  <c r="D6" i="4"/>
  <c r="E6" i="4"/>
  <c r="F6" i="4"/>
  <c r="G6" i="4"/>
  <c r="AB6" i="4" s="1"/>
  <c r="M7" i="8" s="1"/>
  <c r="E214" i="4"/>
  <c r="S214" i="4" s="1"/>
  <c r="D217" i="8" s="1"/>
  <c r="G214" i="4"/>
  <c r="U214" i="4" s="1"/>
  <c r="F217" i="8" s="1"/>
  <c r="E189" i="2"/>
  <c r="E174" i="2"/>
  <c r="F174" i="2"/>
  <c r="G174" i="2"/>
  <c r="C175" i="2"/>
  <c r="D160" i="2"/>
  <c r="Y160" i="2" s="1"/>
  <c r="J172" i="1" s="1"/>
  <c r="D146" i="2"/>
  <c r="E146" i="2"/>
  <c r="G146" i="2"/>
  <c r="D118" i="2"/>
  <c r="R118" i="2" s="1"/>
  <c r="C127" i="1" s="1"/>
  <c r="E118" i="2"/>
  <c r="F118" i="2"/>
  <c r="G118" i="2"/>
  <c r="D90" i="2"/>
  <c r="Y90" i="2" s="1"/>
  <c r="J97" i="1" s="1"/>
  <c r="E90" i="2"/>
  <c r="S90" i="2" s="1"/>
  <c r="D97" i="1" s="1"/>
  <c r="F90" i="2"/>
  <c r="AA90" i="2" s="1"/>
  <c r="L97" i="1" s="1"/>
  <c r="G90" i="2"/>
  <c r="D62" i="2"/>
  <c r="E62" i="2"/>
  <c r="F62" i="2"/>
  <c r="G62" i="2"/>
  <c r="G48" i="2"/>
  <c r="U48" i="2" s="1"/>
  <c r="F52" i="1" s="1"/>
  <c r="D34" i="2"/>
  <c r="Y34" i="2" s="1"/>
  <c r="J37" i="1" s="1"/>
  <c r="F34" i="2"/>
  <c r="AA34" i="2" s="1"/>
  <c r="L37" i="1" s="1"/>
  <c r="G34" i="2"/>
  <c r="C35" i="2"/>
  <c r="D20" i="2"/>
  <c r="E6" i="2"/>
  <c r="F6" i="2"/>
  <c r="G6" i="2"/>
  <c r="AB6" i="2" s="1"/>
  <c r="M7" i="1" s="1"/>
  <c r="G131" i="4"/>
  <c r="AB131" i="4" s="1"/>
  <c r="M141" i="8" s="1"/>
  <c r="D187" i="4"/>
  <c r="Y187" i="4" s="1"/>
  <c r="J201" i="8" s="1"/>
  <c r="E187" i="4"/>
  <c r="F187" i="4"/>
  <c r="G187" i="4"/>
  <c r="E173" i="4"/>
  <c r="F173" i="4"/>
  <c r="G173" i="4"/>
  <c r="E159" i="4"/>
  <c r="F159" i="4"/>
  <c r="T159" i="4" s="1"/>
  <c r="E171" i="8" s="1"/>
  <c r="G159" i="4"/>
  <c r="D145" i="4"/>
  <c r="E145" i="4"/>
  <c r="F145" i="4"/>
  <c r="G145" i="4"/>
  <c r="D117" i="4"/>
  <c r="R117" i="4" s="1"/>
  <c r="C126" i="8" s="1"/>
  <c r="E117" i="4"/>
  <c r="F117" i="4"/>
  <c r="AA117" i="4" s="1"/>
  <c r="L126" i="8" s="1"/>
  <c r="G117" i="4"/>
  <c r="AB117" i="4" s="1"/>
  <c r="M126" i="8" s="1"/>
  <c r="D103" i="4"/>
  <c r="E103" i="4"/>
  <c r="F103" i="4"/>
  <c r="G103" i="4"/>
  <c r="D89" i="4"/>
  <c r="R89" i="4" s="1"/>
  <c r="C96" i="8" s="1"/>
  <c r="E89" i="4"/>
  <c r="F89" i="4"/>
  <c r="G89" i="4"/>
  <c r="D75" i="4"/>
  <c r="Y75" i="4" s="1"/>
  <c r="J81" i="8" s="1"/>
  <c r="E75" i="4"/>
  <c r="F75" i="4"/>
  <c r="G75" i="4"/>
  <c r="D61" i="4"/>
  <c r="Y61" i="4" s="1"/>
  <c r="J66" i="8" s="1"/>
  <c r="E61" i="4"/>
  <c r="F61" i="4"/>
  <c r="T61" i="4" s="1"/>
  <c r="E66" i="8" s="1"/>
  <c r="G61" i="4"/>
  <c r="AB61" i="4" s="1"/>
  <c r="M66" i="8" s="1"/>
  <c r="D47" i="4"/>
  <c r="E47" i="4"/>
  <c r="G47" i="4"/>
  <c r="C48" i="4"/>
  <c r="D33" i="4"/>
  <c r="Y33" i="4" s="1"/>
  <c r="J36" i="8" s="1"/>
  <c r="E33" i="4"/>
  <c r="G33" i="4"/>
  <c r="D19" i="4"/>
  <c r="E19" i="4"/>
  <c r="F19" i="4"/>
  <c r="G19" i="4"/>
  <c r="D5" i="4"/>
  <c r="E5" i="4"/>
  <c r="S5" i="4" s="1"/>
  <c r="D6" i="8" s="1"/>
  <c r="F5" i="4"/>
  <c r="T5" i="4" s="1"/>
  <c r="E6" i="8" s="1"/>
  <c r="G5" i="4"/>
  <c r="AB5" i="4" s="1"/>
  <c r="M6" i="8" s="1"/>
  <c r="C5" i="4"/>
  <c r="D213" i="4"/>
  <c r="R213" i="4" s="1"/>
  <c r="C216" i="8" s="1"/>
  <c r="E213" i="4"/>
  <c r="F213" i="4"/>
  <c r="F187" i="2"/>
  <c r="D173" i="2"/>
  <c r="R173" i="2" s="1"/>
  <c r="C186" i="1" s="1"/>
  <c r="E173" i="2"/>
  <c r="F173" i="2"/>
  <c r="T173" i="2" s="1"/>
  <c r="E186" i="1" s="1"/>
  <c r="G173" i="2"/>
  <c r="F160" i="2"/>
  <c r="T160" i="2" s="1"/>
  <c r="E172" i="1" s="1"/>
  <c r="G159" i="2"/>
  <c r="F145" i="2"/>
  <c r="D117" i="2"/>
  <c r="E117" i="2"/>
  <c r="Z117" i="2" s="1"/>
  <c r="K126" i="1" s="1"/>
  <c r="G117" i="2"/>
  <c r="AB117" i="2" s="1"/>
  <c r="M126" i="1" s="1"/>
  <c r="F103" i="2"/>
  <c r="D89" i="2"/>
  <c r="Y89" i="2" s="1"/>
  <c r="J96" i="1" s="1"/>
  <c r="G89" i="2"/>
  <c r="U89" i="2" s="1"/>
  <c r="F96" i="1" s="1"/>
  <c r="D61" i="2"/>
  <c r="E61" i="2"/>
  <c r="F61" i="2"/>
  <c r="G61" i="2"/>
  <c r="U61" i="2" s="1"/>
  <c r="F66" i="1" s="1"/>
  <c r="C62" i="2"/>
  <c r="C47" i="2"/>
  <c r="D33" i="2"/>
  <c r="Y33" i="2" s="1"/>
  <c r="J36" i="1" s="1"/>
  <c r="F33" i="2"/>
  <c r="T33" i="2" s="1"/>
  <c r="E36" i="1" s="1"/>
  <c r="E19" i="2"/>
  <c r="D5" i="2"/>
  <c r="E5" i="2"/>
  <c r="G5" i="2"/>
  <c r="U5" i="2" s="1"/>
  <c r="F6" i="1" s="1"/>
  <c r="C5" i="2"/>
  <c r="G130" i="4"/>
  <c r="C131" i="4"/>
  <c r="D186" i="4"/>
  <c r="E186" i="4"/>
  <c r="F186" i="4"/>
  <c r="G186" i="4"/>
  <c r="D172" i="4"/>
  <c r="Y172" i="4" s="1"/>
  <c r="J185" i="8" s="1"/>
  <c r="E172" i="4"/>
  <c r="F172" i="4"/>
  <c r="D158" i="4"/>
  <c r="R158" i="4" s="1"/>
  <c r="C170" i="8" s="1"/>
  <c r="E158" i="4"/>
  <c r="Z158" i="4" s="1"/>
  <c r="K170" i="8" s="1"/>
  <c r="F158" i="4"/>
  <c r="D144" i="4"/>
  <c r="E144" i="4"/>
  <c r="F144" i="4"/>
  <c r="T144" i="4" s="1"/>
  <c r="E155" i="8" s="1"/>
  <c r="G144" i="4"/>
  <c r="AB144" i="4" s="1"/>
  <c r="M155" i="8" s="1"/>
  <c r="D116" i="4"/>
  <c r="Y116" i="4" s="1"/>
  <c r="J125" i="8" s="1"/>
  <c r="F116" i="4"/>
  <c r="G116" i="4"/>
  <c r="AB116" i="4" s="1"/>
  <c r="M125" i="8" s="1"/>
  <c r="D102" i="4"/>
  <c r="E102" i="4"/>
  <c r="F102" i="4"/>
  <c r="G102" i="4"/>
  <c r="AB102" i="4" s="1"/>
  <c r="M110" i="8" s="1"/>
  <c r="E88" i="4"/>
  <c r="Z88" i="4" s="1"/>
  <c r="K95" i="8" s="1"/>
  <c r="F88" i="4"/>
  <c r="G88" i="4"/>
  <c r="C89" i="4"/>
  <c r="E74" i="4"/>
  <c r="F74" i="4"/>
  <c r="G74" i="4"/>
  <c r="D60" i="4"/>
  <c r="E60" i="4"/>
  <c r="F60" i="4"/>
  <c r="AA60" i="4" s="1"/>
  <c r="L65" i="8" s="1"/>
  <c r="G60" i="4"/>
  <c r="U60" i="4" s="1"/>
  <c r="F65" i="8" s="1"/>
  <c r="D46" i="4"/>
  <c r="E46" i="4"/>
  <c r="F46" i="4"/>
  <c r="G46" i="4"/>
  <c r="E32" i="4"/>
  <c r="S32" i="4" s="1"/>
  <c r="D35" i="8" s="1"/>
  <c r="F32" i="4"/>
  <c r="G32" i="4"/>
  <c r="D18" i="4"/>
  <c r="Y18" i="4" s="1"/>
  <c r="J20" i="8" s="1"/>
  <c r="E18" i="4"/>
  <c r="Z18" i="4" s="1"/>
  <c r="K20" i="8" s="1"/>
  <c r="F18" i="4"/>
  <c r="G18" i="4"/>
  <c r="E4" i="4"/>
  <c r="F4" i="4"/>
  <c r="AA4" i="4" s="1"/>
  <c r="L5" i="8" s="1"/>
  <c r="G4" i="4"/>
  <c r="E212" i="4"/>
  <c r="F212" i="4"/>
  <c r="G212" i="4"/>
  <c r="U212" i="4" s="1"/>
  <c r="F215" i="8" s="1"/>
  <c r="D172" i="2"/>
  <c r="F172" i="2"/>
  <c r="G172" i="2"/>
  <c r="C173" i="2"/>
  <c r="Q173" i="2" s="1"/>
  <c r="B186" i="1" s="1"/>
  <c r="D144" i="2"/>
  <c r="E144" i="2"/>
  <c r="S144" i="2" s="1"/>
  <c r="D155" i="1" s="1"/>
  <c r="F144" i="2"/>
  <c r="G144" i="2"/>
  <c r="U144" i="2" s="1"/>
  <c r="F155" i="1" s="1"/>
  <c r="D116" i="2"/>
  <c r="Y116" i="2" s="1"/>
  <c r="J125" i="1" s="1"/>
  <c r="E116" i="2"/>
  <c r="F116" i="2"/>
  <c r="G116" i="2"/>
  <c r="AB116" i="2" s="1"/>
  <c r="M125" i="1" s="1"/>
  <c r="D88" i="2"/>
  <c r="R88" i="2" s="1"/>
  <c r="C95" i="1" s="1"/>
  <c r="E88" i="2"/>
  <c r="F88" i="2"/>
  <c r="T88" i="2" s="1"/>
  <c r="E95" i="1" s="1"/>
  <c r="G88" i="2"/>
  <c r="D60" i="2"/>
  <c r="E60" i="2"/>
  <c r="F60" i="2"/>
  <c r="C61" i="2"/>
  <c r="D32" i="2"/>
  <c r="R32" i="2" s="1"/>
  <c r="C35" i="1" s="1"/>
  <c r="E32" i="2"/>
  <c r="F32" i="2"/>
  <c r="G32" i="2"/>
  <c r="AB32" i="2" s="1"/>
  <c r="M35" i="1" s="1"/>
  <c r="D4" i="2"/>
  <c r="E4" i="2"/>
  <c r="F4" i="2"/>
  <c r="G4" i="2"/>
  <c r="G129" i="4"/>
  <c r="C129" i="4"/>
  <c r="D185" i="4"/>
  <c r="Y185" i="4" s="1"/>
  <c r="J199" i="8" s="1"/>
  <c r="E185" i="4"/>
  <c r="S185" i="4" s="1"/>
  <c r="D199" i="8" s="1"/>
  <c r="F185" i="4"/>
  <c r="G185" i="4"/>
  <c r="D171" i="4"/>
  <c r="E171" i="4"/>
  <c r="S171" i="4" s="1"/>
  <c r="D184" i="8" s="1"/>
  <c r="F171" i="4"/>
  <c r="AA171" i="4" s="1"/>
  <c r="L184" i="8" s="1"/>
  <c r="G171" i="4"/>
  <c r="D157" i="4"/>
  <c r="E157" i="4"/>
  <c r="Z157" i="4" s="1"/>
  <c r="K169" i="8" s="1"/>
  <c r="F157" i="4"/>
  <c r="G157" i="4"/>
  <c r="C157" i="4"/>
  <c r="E143" i="4"/>
  <c r="S143" i="4" s="1"/>
  <c r="D154" i="8" s="1"/>
  <c r="G143" i="4"/>
  <c r="D115" i="4"/>
  <c r="E115" i="4"/>
  <c r="F115" i="4"/>
  <c r="G115" i="4"/>
  <c r="D101" i="4"/>
  <c r="E101" i="4"/>
  <c r="F101" i="4"/>
  <c r="AA101" i="4" s="1"/>
  <c r="L109" i="8" s="1"/>
  <c r="D87" i="4"/>
  <c r="R87" i="4" s="1"/>
  <c r="C94" i="8" s="1"/>
  <c r="E87" i="4"/>
  <c r="S87" i="4" s="1"/>
  <c r="D94" i="8" s="1"/>
  <c r="F87" i="4"/>
  <c r="G87" i="4"/>
  <c r="D73" i="4"/>
  <c r="E73" i="4"/>
  <c r="G73" i="4"/>
  <c r="D59" i="4"/>
  <c r="R59" i="4" s="1"/>
  <c r="C64" i="8" s="1"/>
  <c r="E59" i="4"/>
  <c r="F59" i="4"/>
  <c r="AA59" i="4" s="1"/>
  <c r="L64" i="8" s="1"/>
  <c r="G59" i="4"/>
  <c r="U59" i="4" s="1"/>
  <c r="F64" i="8" s="1"/>
  <c r="C59" i="4"/>
  <c r="D45" i="4"/>
  <c r="F45" i="4"/>
  <c r="D31" i="4"/>
  <c r="E31" i="4"/>
  <c r="S31" i="4" s="1"/>
  <c r="D34" i="8" s="1"/>
  <c r="F31" i="4"/>
  <c r="AA31" i="4" s="1"/>
  <c r="L34" i="8" s="1"/>
  <c r="G31" i="4"/>
  <c r="U31" i="4" s="1"/>
  <c r="F34" i="8" s="1"/>
  <c r="D17" i="4"/>
  <c r="Y17" i="4" s="1"/>
  <c r="J19" i="8" s="1"/>
  <c r="E17" i="4"/>
  <c r="S17" i="4" s="1"/>
  <c r="D19" i="8" s="1"/>
  <c r="F17" i="4"/>
  <c r="D3" i="4"/>
  <c r="E3" i="4"/>
  <c r="F3" i="4"/>
  <c r="T3" i="4" s="1"/>
  <c r="E4" i="8" s="1"/>
  <c r="G3" i="4"/>
  <c r="U3" i="4" s="1"/>
  <c r="F4" i="8" s="1"/>
  <c r="D211" i="4"/>
  <c r="Y211" i="4" s="1"/>
  <c r="J214" i="8" s="1"/>
  <c r="E211" i="4"/>
  <c r="F211" i="4"/>
  <c r="AA211" i="4" s="1"/>
  <c r="L214" i="8" s="1"/>
  <c r="G211" i="4"/>
  <c r="D171" i="2"/>
  <c r="E171" i="2"/>
  <c r="F171" i="2"/>
  <c r="T171" i="2" s="1"/>
  <c r="E184" i="1" s="1"/>
  <c r="G171" i="2"/>
  <c r="E143" i="2"/>
  <c r="F143" i="2"/>
  <c r="C143" i="2"/>
  <c r="Q143" i="2" s="1"/>
  <c r="B154" i="1" s="1"/>
  <c r="C130" i="2"/>
  <c r="D115" i="2"/>
  <c r="E115" i="2"/>
  <c r="F115" i="2"/>
  <c r="AA115" i="2" s="1"/>
  <c r="L124" i="1" s="1"/>
  <c r="G115" i="2"/>
  <c r="AB115" i="2" s="1"/>
  <c r="M124" i="1" s="1"/>
  <c r="F101" i="2"/>
  <c r="D87" i="2"/>
  <c r="E87" i="2"/>
  <c r="F87" i="2"/>
  <c r="G87" i="2"/>
  <c r="E59" i="2"/>
  <c r="F59" i="2"/>
  <c r="AA59" i="2" s="1"/>
  <c r="L64" i="1" s="1"/>
  <c r="G59" i="2"/>
  <c r="D31" i="2"/>
  <c r="R31" i="2" s="1"/>
  <c r="C34" i="1" s="1"/>
  <c r="E31" i="2"/>
  <c r="G31" i="2"/>
  <c r="U31" i="2" s="1"/>
  <c r="F34" i="1" s="1"/>
  <c r="G18" i="2"/>
  <c r="D3" i="2"/>
  <c r="E3" i="2"/>
  <c r="F3" i="2"/>
  <c r="T3" i="2" s="1"/>
  <c r="E4" i="1" s="1"/>
  <c r="G3" i="2"/>
  <c r="U3" i="2" s="1"/>
  <c r="F4" i="1" s="1"/>
  <c r="G128" i="4"/>
  <c r="AB128" i="4" s="1"/>
  <c r="M138" i="8" s="1"/>
  <c r="D184" i="4"/>
  <c r="E184" i="4"/>
  <c r="S184" i="4" s="1"/>
  <c r="D198" i="8" s="1"/>
  <c r="F184" i="4"/>
  <c r="G184" i="4"/>
  <c r="C184" i="4"/>
  <c r="D170" i="4"/>
  <c r="R170" i="4" s="1"/>
  <c r="C183" i="8" s="1"/>
  <c r="E170" i="4"/>
  <c r="F170" i="4"/>
  <c r="G170" i="4"/>
  <c r="U170" i="4" s="1"/>
  <c r="F183" i="8" s="1"/>
  <c r="D156" i="4"/>
  <c r="Y156" i="4" s="1"/>
  <c r="J168" i="8" s="1"/>
  <c r="E156" i="4"/>
  <c r="F156" i="4"/>
  <c r="E142" i="4"/>
  <c r="G142" i="4"/>
  <c r="U142" i="4" s="1"/>
  <c r="F153" i="8" s="1"/>
  <c r="D114" i="4"/>
  <c r="R114" i="4" s="1"/>
  <c r="C123" i="8" s="1"/>
  <c r="E114" i="4"/>
  <c r="Z114" i="4" s="1"/>
  <c r="K123" i="8" s="1"/>
  <c r="F114" i="4"/>
  <c r="G114" i="4"/>
  <c r="D100" i="4"/>
  <c r="E100" i="4"/>
  <c r="F100" i="4"/>
  <c r="G100" i="4"/>
  <c r="AB100" i="4" s="1"/>
  <c r="M108" i="8" s="1"/>
  <c r="D86" i="4"/>
  <c r="F86" i="4"/>
  <c r="T86" i="4" s="1"/>
  <c r="E93" i="8" s="1"/>
  <c r="G86" i="4"/>
  <c r="E72" i="4"/>
  <c r="F72" i="4"/>
  <c r="G72" i="4"/>
  <c r="E58" i="4"/>
  <c r="F58" i="4"/>
  <c r="AA58" i="4" s="1"/>
  <c r="L63" i="8" s="1"/>
  <c r="G58" i="4"/>
  <c r="AB58" i="4" s="1"/>
  <c r="M63" i="8" s="1"/>
  <c r="D44" i="4"/>
  <c r="R44" i="4" s="1"/>
  <c r="C48" i="8" s="1"/>
  <c r="E44" i="4"/>
  <c r="F44" i="4"/>
  <c r="G44" i="4"/>
  <c r="D30" i="4"/>
  <c r="E30" i="4"/>
  <c r="F30" i="4"/>
  <c r="T30" i="4" s="1"/>
  <c r="E33" i="8" s="1"/>
  <c r="G30" i="4"/>
  <c r="D16" i="4"/>
  <c r="E16" i="4"/>
  <c r="Z16" i="4" s="1"/>
  <c r="K18" i="8" s="1"/>
  <c r="F16" i="4"/>
  <c r="G16" i="4"/>
  <c r="D2" i="4"/>
  <c r="F2" i="4"/>
  <c r="D210" i="4"/>
  <c r="R210" i="4" s="1"/>
  <c r="C213" i="8" s="1"/>
  <c r="F210" i="4"/>
  <c r="AA210" i="4" s="1"/>
  <c r="L213" i="8" s="1"/>
  <c r="G210" i="4"/>
  <c r="U210" i="4" s="1"/>
  <c r="F213" i="8" s="1"/>
  <c r="F184" i="2"/>
  <c r="D170" i="2"/>
  <c r="R170" i="2" s="1"/>
  <c r="C183" i="1" s="1"/>
  <c r="E170" i="2"/>
  <c r="F170" i="2"/>
  <c r="G170" i="2"/>
  <c r="C156" i="2"/>
  <c r="D142" i="2"/>
  <c r="G142" i="2"/>
  <c r="G128" i="2"/>
  <c r="D114" i="2"/>
  <c r="E114" i="2"/>
  <c r="G114" i="2"/>
  <c r="D100" i="2"/>
  <c r="E101" i="2"/>
  <c r="Z101" i="2" s="1"/>
  <c r="K109" i="1" s="1"/>
  <c r="G101" i="2"/>
  <c r="U101" i="2" s="1"/>
  <c r="F109" i="1" s="1"/>
  <c r="E86" i="2"/>
  <c r="Z86" i="2" s="1"/>
  <c r="K93" i="1" s="1"/>
  <c r="F86" i="2"/>
  <c r="G86" i="2"/>
  <c r="E72" i="2"/>
  <c r="F58" i="2"/>
  <c r="G58" i="2"/>
  <c r="F44" i="2"/>
  <c r="AA44" i="2" s="1"/>
  <c r="L48" i="1" s="1"/>
  <c r="C44" i="2"/>
  <c r="D30" i="2"/>
  <c r="E30" i="2"/>
  <c r="S30" i="2" s="1"/>
  <c r="D33" i="1" s="1"/>
  <c r="D17" i="2"/>
  <c r="R17" i="2" s="1"/>
  <c r="C19" i="1" s="1"/>
  <c r="G16" i="2"/>
  <c r="C17" i="2"/>
  <c r="G2" i="2"/>
  <c r="C180" i="4"/>
  <c r="D96" i="4"/>
  <c r="F12" i="4"/>
  <c r="T12" i="4" s="1"/>
  <c r="E13" i="8" s="1"/>
  <c r="D166" i="2"/>
  <c r="G166" i="2"/>
  <c r="F96" i="2"/>
  <c r="C96" i="2"/>
  <c r="D82" i="2"/>
  <c r="G68" i="2"/>
  <c r="U68" i="2" s="1"/>
  <c r="F73" i="1" s="1"/>
  <c r="E54" i="2"/>
  <c r="G137" i="4"/>
  <c r="F123" i="4"/>
  <c r="G123" i="4"/>
  <c r="AB123" i="4" s="1"/>
  <c r="M132" i="8" s="1"/>
  <c r="G81" i="4"/>
  <c r="F53" i="4"/>
  <c r="E11" i="4"/>
  <c r="G11" i="4"/>
  <c r="U11" i="4" s="1"/>
  <c r="F12" i="8" s="1"/>
  <c r="G219" i="4"/>
  <c r="AB219" i="4" s="1"/>
  <c r="M222" i="8" s="1"/>
  <c r="F151" i="2"/>
  <c r="D26" i="2"/>
  <c r="F164" i="4"/>
  <c r="T164" i="4" s="1"/>
  <c r="E176" i="8" s="1"/>
  <c r="E122" i="4"/>
  <c r="F122" i="4"/>
  <c r="E38" i="4"/>
  <c r="G165" i="2"/>
  <c r="U165" i="2" s="1"/>
  <c r="F177" i="1" s="1"/>
  <c r="F66" i="2"/>
  <c r="G163" i="4"/>
  <c r="D93" i="4"/>
  <c r="D163" i="2"/>
  <c r="D149" i="2"/>
  <c r="G65" i="2"/>
  <c r="E37" i="2"/>
  <c r="S37" i="2" s="1"/>
  <c r="D40" i="1" s="1"/>
  <c r="G92" i="4"/>
  <c r="U92" i="4" s="1"/>
  <c r="F99" i="8" s="1"/>
  <c r="C49" i="2"/>
  <c r="C170" i="4"/>
  <c r="E156" i="2"/>
  <c r="S156" i="2" s="1"/>
  <c r="D168" i="1" s="1"/>
  <c r="D72" i="2"/>
  <c r="Y72" i="2" s="1"/>
  <c r="J78" i="1" s="1"/>
  <c r="G72" i="2"/>
  <c r="C179" i="2"/>
  <c r="F107" i="2"/>
  <c r="C124" i="4"/>
  <c r="C191" i="2"/>
  <c r="C193" i="2"/>
  <c r="C176" i="2"/>
  <c r="G191" i="2"/>
  <c r="U191" i="2" s="1"/>
  <c r="F205" i="1" s="1"/>
  <c r="D108" i="2"/>
  <c r="C36" i="2"/>
  <c r="D109" i="2"/>
  <c r="C23" i="2"/>
  <c r="D110" i="2"/>
  <c r="R110" i="2" s="1"/>
  <c r="C118" i="1" s="1"/>
  <c r="G22" i="2"/>
  <c r="U22" i="2" s="1"/>
  <c r="F24" i="1" s="1"/>
  <c r="F165" i="2"/>
  <c r="AA165" i="2" s="1"/>
  <c r="L177" i="1" s="1"/>
  <c r="D190" i="2"/>
  <c r="R190" i="2" s="1"/>
  <c r="C204" i="1" s="1"/>
  <c r="D134" i="2"/>
  <c r="E190" i="2"/>
  <c r="C109" i="4"/>
  <c r="F52" i="2"/>
  <c r="AA52" i="2" s="1"/>
  <c r="L56" i="1" s="1"/>
  <c r="D54" i="2"/>
  <c r="Y54" i="2" s="1"/>
  <c r="J58" i="1" s="1"/>
  <c r="C192" i="2"/>
  <c r="F25" i="2"/>
  <c r="C52" i="2"/>
  <c r="C194" i="4"/>
  <c r="X194" i="4" s="1"/>
  <c r="I208" i="8" s="1"/>
  <c r="C152" i="2"/>
  <c r="G54" i="2"/>
  <c r="G53" i="2"/>
  <c r="AB53" i="2" s="1"/>
  <c r="M57" i="1" s="1"/>
  <c r="C137" i="2"/>
  <c r="G24" i="2"/>
  <c r="AB24" i="2" s="1"/>
  <c r="M26" i="1" s="1"/>
  <c r="D135" i="2"/>
  <c r="E109" i="2"/>
  <c r="Z109" i="2" s="1"/>
  <c r="K117" i="1" s="1"/>
  <c r="C95" i="2"/>
  <c r="F53" i="2"/>
  <c r="E78" i="2"/>
  <c r="D138" i="2"/>
  <c r="Y138" i="2" s="1"/>
  <c r="J148" i="1" s="1"/>
  <c r="F23" i="2"/>
  <c r="C53" i="2"/>
  <c r="G161" i="2"/>
  <c r="G52" i="2"/>
  <c r="AB52" i="2" s="1"/>
  <c r="M56" i="1" s="1"/>
  <c r="C110" i="2"/>
  <c r="D165" i="2"/>
  <c r="C23" i="4"/>
  <c r="C40" i="4"/>
  <c r="C26" i="4"/>
  <c r="E77" i="2"/>
  <c r="G78" i="2"/>
  <c r="AB78" i="2" s="1"/>
  <c r="M84" i="1" s="1"/>
  <c r="C38" i="4"/>
  <c r="C65" i="4"/>
  <c r="C82" i="2"/>
  <c r="E110" i="2"/>
  <c r="F51" i="2"/>
  <c r="T51" i="2" s="1"/>
  <c r="E55" i="1" s="1"/>
  <c r="C119" i="2"/>
  <c r="C78" i="4"/>
  <c r="D136" i="2"/>
  <c r="C174" i="2"/>
  <c r="X174" i="2" s="1"/>
  <c r="I187" i="1" s="1"/>
  <c r="C39" i="4"/>
  <c r="C25" i="4"/>
  <c r="C64" i="4"/>
  <c r="C175" i="4"/>
  <c r="F162" i="2"/>
  <c r="E24" i="2"/>
  <c r="F161" i="2"/>
  <c r="C166" i="2"/>
  <c r="G189" i="2"/>
  <c r="C37" i="4"/>
  <c r="D137" i="2"/>
  <c r="C66" i="4"/>
  <c r="C135" i="4"/>
  <c r="C191" i="4"/>
  <c r="C67" i="2"/>
  <c r="G193" i="2"/>
  <c r="U193" i="2" s="1"/>
  <c r="F207" i="1" s="1"/>
  <c r="G25" i="2"/>
  <c r="D162" i="2"/>
  <c r="G194" i="2"/>
  <c r="F138" i="2"/>
  <c r="AA138" i="2" s="1"/>
  <c r="L148" i="1" s="1"/>
  <c r="C35" i="4"/>
  <c r="C36" i="4"/>
  <c r="C216" i="4"/>
  <c r="C177" i="4"/>
  <c r="X177" i="4" s="1"/>
  <c r="I190" i="8" s="1"/>
  <c r="C176" i="4"/>
  <c r="E82" i="2"/>
  <c r="E81" i="2"/>
  <c r="C81" i="2"/>
  <c r="G80" i="2"/>
  <c r="C95" i="4"/>
  <c r="D194" i="2"/>
  <c r="E137" i="2"/>
  <c r="Z137" i="2" s="1"/>
  <c r="K147" i="1" s="1"/>
  <c r="C77" i="4"/>
  <c r="C66" i="2"/>
  <c r="C134" i="4"/>
  <c r="D53" i="2"/>
  <c r="Y53" i="2" s="1"/>
  <c r="J57" i="1" s="1"/>
  <c r="E191" i="2"/>
  <c r="G135" i="2"/>
  <c r="AB135" i="2" s="1"/>
  <c r="M145" i="1" s="1"/>
  <c r="G26" i="2"/>
  <c r="AB26" i="2" s="1"/>
  <c r="M28" i="1" s="1"/>
  <c r="C118" i="4"/>
  <c r="C7" i="4"/>
  <c r="C8" i="4"/>
  <c r="F194" i="2"/>
  <c r="D159" i="2"/>
  <c r="R159" i="2" s="1"/>
  <c r="C171" i="1" s="1"/>
  <c r="C33" i="4"/>
  <c r="C158" i="4"/>
  <c r="G46" i="2"/>
  <c r="U46" i="2" s="1"/>
  <c r="F50" i="1" s="1"/>
  <c r="C79" i="4"/>
  <c r="D107" i="2"/>
  <c r="C106" i="2"/>
  <c r="C124" i="2"/>
  <c r="C54" i="2"/>
  <c r="D133" i="2"/>
  <c r="Y133" i="2" s="1"/>
  <c r="J143" i="1" s="1"/>
  <c r="C24" i="2"/>
  <c r="G163" i="2"/>
  <c r="G162" i="2"/>
  <c r="F24" i="2"/>
  <c r="G106" i="2"/>
  <c r="C161" i="4"/>
  <c r="C119" i="4"/>
  <c r="F193" i="2"/>
  <c r="G192" i="2"/>
  <c r="F82" i="2"/>
  <c r="D193" i="2"/>
  <c r="R193" i="2" s="1"/>
  <c r="C207" i="1" s="1"/>
  <c r="C137" i="4"/>
  <c r="F26" i="2"/>
  <c r="F54" i="2"/>
  <c r="C172" i="4"/>
  <c r="C178" i="2"/>
  <c r="C52" i="4"/>
  <c r="F50" i="2"/>
  <c r="D80" i="2"/>
  <c r="Y80" i="2" s="1"/>
  <c r="J86" i="1" s="1"/>
  <c r="C214" i="4"/>
  <c r="C76" i="2"/>
  <c r="E134" i="2"/>
  <c r="G79" i="2"/>
  <c r="AB79" i="2" s="1"/>
  <c r="M85" i="1" s="1"/>
  <c r="C24" i="4"/>
  <c r="E53" i="2"/>
  <c r="S53" i="2" s="1"/>
  <c r="D57" i="1" s="1"/>
  <c r="C180" i="2"/>
  <c r="C136" i="4"/>
  <c r="E165" i="2"/>
  <c r="C54" i="4"/>
  <c r="G136" i="2"/>
  <c r="C2" i="4"/>
  <c r="C90" i="4"/>
  <c r="C53" i="4"/>
  <c r="F100" i="2"/>
  <c r="C108" i="2"/>
  <c r="C109" i="2"/>
  <c r="E186" i="2"/>
  <c r="D132" i="2"/>
  <c r="D131" i="2"/>
  <c r="Y131" i="2" s="1"/>
  <c r="J141" i="1" s="1"/>
  <c r="C12" i="4"/>
  <c r="E136" i="2"/>
  <c r="C116" i="2"/>
  <c r="C37" i="2"/>
  <c r="C38" i="2"/>
  <c r="E21" i="2"/>
  <c r="C47" i="4"/>
  <c r="C151" i="2"/>
  <c r="Q151" i="2" s="1"/>
  <c r="B162" i="1" s="1"/>
  <c r="C120" i="4"/>
  <c r="C138" i="2"/>
  <c r="G134" i="2"/>
  <c r="AB134" i="2" s="1"/>
  <c r="M144" i="1" s="1"/>
  <c r="F108" i="2"/>
  <c r="AA108" i="2" s="1"/>
  <c r="L116" i="1" s="1"/>
  <c r="G110" i="2"/>
  <c r="E138" i="2"/>
  <c r="D164" i="2"/>
  <c r="C213" i="4"/>
  <c r="F186" i="2"/>
  <c r="AA186" i="2" s="1"/>
  <c r="L200" i="1" s="1"/>
  <c r="C32" i="2"/>
  <c r="C33" i="2"/>
  <c r="C73" i="4"/>
  <c r="C22" i="2"/>
  <c r="C21" i="2"/>
  <c r="C49" i="4"/>
  <c r="G187" i="2"/>
  <c r="AB187" i="2" s="1"/>
  <c r="M201" i="1" s="1"/>
  <c r="G188" i="2"/>
  <c r="C60" i="2"/>
  <c r="F164" i="2"/>
  <c r="F163" i="2"/>
  <c r="C94" i="4"/>
  <c r="C108" i="4"/>
  <c r="C107" i="4"/>
  <c r="C123" i="4"/>
  <c r="C122" i="4"/>
  <c r="G109" i="2"/>
  <c r="F74" i="2"/>
  <c r="AA74" i="2" s="1"/>
  <c r="L80" i="1" s="1"/>
  <c r="C75" i="2"/>
  <c r="F47" i="2"/>
  <c r="D106" i="2"/>
  <c r="C132" i="2"/>
  <c r="C131" i="2"/>
  <c r="D50" i="2"/>
  <c r="C114" i="4"/>
  <c r="D18" i="2"/>
  <c r="C86" i="4"/>
  <c r="G100" i="2"/>
  <c r="C74" i="4"/>
  <c r="E80" i="2"/>
  <c r="D192" i="2"/>
  <c r="Y192" i="2" s="1"/>
  <c r="J206" i="1" s="1"/>
  <c r="D158" i="2"/>
  <c r="G190" i="2"/>
  <c r="F80" i="2"/>
  <c r="E135" i="2"/>
  <c r="S135" i="2" s="1"/>
  <c r="D145" i="1" s="1"/>
  <c r="C92" i="2"/>
  <c r="D81" i="2"/>
  <c r="C17" i="4"/>
  <c r="C2" i="2"/>
  <c r="C162" i="2"/>
  <c r="C163" i="2"/>
  <c r="E46" i="2"/>
  <c r="C188" i="2"/>
  <c r="G102" i="2"/>
  <c r="C174" i="4"/>
  <c r="F22" i="2"/>
  <c r="E79" i="2"/>
  <c r="S79" i="2" s="1"/>
  <c r="D85" i="1" s="1"/>
  <c r="C11" i="4"/>
  <c r="E166" i="2"/>
  <c r="S166" i="2" s="1"/>
  <c r="D178" i="1" s="1"/>
  <c r="C188" i="4"/>
  <c r="D184" i="2"/>
  <c r="G19" i="2"/>
  <c r="C104" i="2"/>
  <c r="F133" i="2"/>
  <c r="C147" i="4"/>
  <c r="C146" i="4"/>
  <c r="C20" i="4"/>
  <c r="C19" i="4"/>
  <c r="F76" i="2"/>
  <c r="C161" i="2"/>
  <c r="C160" i="2"/>
  <c r="C63" i="4"/>
  <c r="C62" i="4"/>
  <c r="C184" i="2"/>
  <c r="F21" i="2"/>
  <c r="AA21" i="2" s="1"/>
  <c r="L23" i="1" s="1"/>
  <c r="F20" i="2"/>
  <c r="AA20" i="2" s="1"/>
  <c r="L22" i="1" s="1"/>
  <c r="D19" i="2"/>
  <c r="Y19" i="2" s="1"/>
  <c r="J21" i="1" s="1"/>
  <c r="C3" i="2"/>
  <c r="D48" i="2"/>
  <c r="F135" i="2"/>
  <c r="G23" i="2"/>
  <c r="AB23" i="2" s="1"/>
  <c r="M25" i="1" s="1"/>
  <c r="D49" i="2"/>
  <c r="F158" i="2"/>
  <c r="T158" i="2" s="1"/>
  <c r="E170" i="1" s="1"/>
  <c r="C157" i="2"/>
  <c r="C189" i="4"/>
  <c r="D191" i="2"/>
  <c r="E50" i="2"/>
  <c r="D79" i="2"/>
  <c r="C121" i="4"/>
  <c r="F81" i="2"/>
  <c r="T81" i="2" s="1"/>
  <c r="E87" i="1" s="1"/>
  <c r="E194" i="2"/>
  <c r="S194" i="2" s="1"/>
  <c r="D208" i="1" s="1"/>
  <c r="G158" i="2"/>
  <c r="C18" i="2"/>
  <c r="C19" i="2"/>
  <c r="G77" i="2"/>
  <c r="G132" i="2"/>
  <c r="G133" i="2"/>
  <c r="AB133" i="2" s="1"/>
  <c r="M143" i="1" s="1"/>
  <c r="D51" i="2"/>
  <c r="R51" i="2" s="1"/>
  <c r="C55" i="1" s="1"/>
  <c r="D52" i="2"/>
  <c r="R52" i="2" s="1"/>
  <c r="C56" i="1" s="1"/>
  <c r="C34" i="2"/>
  <c r="D128" i="2"/>
  <c r="C218" i="4"/>
  <c r="E130" i="2"/>
  <c r="C93" i="2"/>
  <c r="G137" i="2"/>
  <c r="U137" i="2" s="1"/>
  <c r="F147" i="1" s="1"/>
  <c r="C147" i="2"/>
  <c r="C211" i="4"/>
  <c r="Q211" i="4" s="1"/>
  <c r="C189" i="2"/>
  <c r="C190" i="2"/>
  <c r="F105" i="2"/>
  <c r="C105" i="4"/>
  <c r="C106" i="4"/>
  <c r="D23" i="2"/>
  <c r="Y23" i="2" s="1"/>
  <c r="J25" i="1" s="1"/>
  <c r="D24" i="2"/>
  <c r="R24" i="2" s="1"/>
  <c r="C26" i="1" s="1"/>
  <c r="E104" i="2"/>
  <c r="C159" i="2"/>
  <c r="C21" i="4"/>
  <c r="C22" i="4"/>
  <c r="C80" i="4"/>
  <c r="C172" i="2"/>
  <c r="C145" i="4"/>
  <c r="C80" i="2"/>
  <c r="C149" i="2"/>
  <c r="C150" i="2"/>
  <c r="C90" i="2"/>
  <c r="E131" i="2"/>
  <c r="C156" i="4"/>
  <c r="G47" i="2"/>
  <c r="G186" i="2"/>
  <c r="AB186" i="2" s="1"/>
  <c r="M200" i="1" s="1"/>
  <c r="C16" i="2"/>
  <c r="D47" i="2"/>
  <c r="D187" i="2"/>
  <c r="F129" i="2"/>
  <c r="E161" i="2"/>
  <c r="C121" i="2"/>
  <c r="C185" i="4"/>
  <c r="G185" i="2"/>
  <c r="AB185" i="2" s="1"/>
  <c r="M199" i="1" s="1"/>
  <c r="F131" i="2"/>
  <c r="AA131" i="2" s="1"/>
  <c r="L141" i="1" s="1"/>
  <c r="C103" i="2"/>
  <c r="C16" i="4"/>
  <c r="G81" i="2"/>
  <c r="C148" i="4"/>
  <c r="C115" i="4"/>
  <c r="F104" i="2"/>
  <c r="C58" i="2"/>
  <c r="C59" i="2"/>
  <c r="E157" i="2"/>
  <c r="E76" i="2"/>
  <c r="Z76" i="2" s="1"/>
  <c r="K82" i="1" s="1"/>
  <c r="E108" i="2"/>
  <c r="Z108" i="2" s="1"/>
  <c r="K116" i="1" s="1"/>
  <c r="F128" i="2"/>
  <c r="G44" i="2"/>
  <c r="C87" i="2"/>
  <c r="C75" i="4"/>
  <c r="F189" i="2"/>
  <c r="AA189" i="2" s="1"/>
  <c r="L203" i="1" s="1"/>
  <c r="C31" i="2"/>
  <c r="D103" i="2"/>
  <c r="C76" i="4"/>
  <c r="C170" i="2"/>
  <c r="G45" i="2"/>
  <c r="C18" i="4"/>
  <c r="C104" i="4"/>
  <c r="C46" i="4"/>
  <c r="C89" i="2"/>
  <c r="D189" i="2"/>
  <c r="C146" i="2"/>
  <c r="C107" i="2"/>
  <c r="C82" i="4"/>
  <c r="C136" i="2"/>
  <c r="E17" i="2"/>
  <c r="S17" i="2" s="1"/>
  <c r="D19" i="1" s="1"/>
  <c r="E16" i="2"/>
  <c r="C186" i="4"/>
  <c r="C187" i="4"/>
  <c r="D76" i="2"/>
  <c r="R76" i="2" s="1"/>
  <c r="C82" i="1" s="1"/>
  <c r="D77" i="2"/>
  <c r="E100" i="2"/>
  <c r="C100" i="2"/>
  <c r="C45" i="2"/>
  <c r="G107" i="2"/>
  <c r="C79" i="2"/>
  <c r="G73" i="2"/>
  <c r="C72" i="2"/>
  <c r="C128" i="4"/>
  <c r="C64" i="2"/>
  <c r="C3" i="4"/>
  <c r="C61" i="4"/>
  <c r="C63" i="2"/>
  <c r="F45" i="2"/>
  <c r="AA45" i="2" s="1"/>
  <c r="L49" i="1" s="1"/>
  <c r="C173" i="4"/>
  <c r="C115" i="2"/>
  <c r="E185" i="2"/>
  <c r="E103" i="2"/>
  <c r="C220" i="4"/>
  <c r="G157" i="2"/>
  <c r="AB157" i="2" s="1"/>
  <c r="M169" i="1" s="1"/>
  <c r="C187" i="2"/>
  <c r="F156" i="2"/>
  <c r="T156" i="2" s="1"/>
  <c r="E168" i="1" s="1"/>
  <c r="C128" i="2"/>
  <c r="C171" i="4"/>
  <c r="D186" i="2"/>
  <c r="C46" i="2"/>
  <c r="C4" i="4"/>
  <c r="C20" i="2"/>
  <c r="D104" i="2"/>
  <c r="R104" i="2" s="1"/>
  <c r="C112" i="1" s="1"/>
  <c r="E74" i="2"/>
  <c r="F75" i="2"/>
  <c r="C116" i="4"/>
  <c r="E105" i="2"/>
  <c r="D102" i="2"/>
  <c r="E160" i="2"/>
  <c r="F134" i="2"/>
  <c r="AA134" i="2" s="1"/>
  <c r="L144" i="1" s="1"/>
  <c r="C81" i="4"/>
  <c r="C190" i="4"/>
  <c r="C217" i="4"/>
  <c r="C177" i="2"/>
  <c r="C165" i="4"/>
  <c r="D2" i="2"/>
  <c r="R2" i="2" s="1"/>
  <c r="C3" i="1" s="1"/>
  <c r="E2" i="4"/>
  <c r="Z2" i="4" s="1"/>
  <c r="K3" i="8" s="1"/>
  <c r="E51" i="2"/>
  <c r="C6" i="4"/>
  <c r="X6" i="4" s="1"/>
  <c r="I7" i="8" s="1"/>
  <c r="C152" i="4"/>
  <c r="E210" i="4"/>
  <c r="D25" i="2"/>
  <c r="Y25" i="2" s="1"/>
  <c r="J27" i="1" s="1"/>
  <c r="C48" i="2"/>
  <c r="E45" i="2"/>
  <c r="S45" i="2" s="1"/>
  <c r="D49" i="1" s="1"/>
  <c r="C45" i="4"/>
  <c r="G156" i="4"/>
  <c r="U156" i="4" s="1"/>
  <c r="F168" i="8" s="1"/>
  <c r="E128" i="4"/>
  <c r="Z128" i="4" s="1"/>
  <c r="K138" i="8" s="1"/>
  <c r="F157" i="2"/>
  <c r="T157" i="2" s="1"/>
  <c r="E169" i="1" s="1"/>
  <c r="G60" i="2"/>
  <c r="C160" i="4"/>
  <c r="F188" i="2"/>
  <c r="AA188" i="2" s="1"/>
  <c r="L202" i="1" s="1"/>
  <c r="G50" i="2"/>
  <c r="U50" i="2" s="1"/>
  <c r="F54" i="1" s="1"/>
  <c r="C58" i="4"/>
  <c r="F16" i="2"/>
  <c r="AA16" i="2" s="1"/>
  <c r="L18" i="1" s="1"/>
  <c r="C86" i="2"/>
  <c r="D156" i="2"/>
  <c r="R156" i="2" s="1"/>
  <c r="C168" i="1" s="1"/>
  <c r="C210" i="4"/>
  <c r="E73" i="2"/>
  <c r="S73" i="2" s="1"/>
  <c r="D79" i="1" s="1"/>
  <c r="C193" i="4"/>
  <c r="D22" i="2"/>
  <c r="R22" i="2" s="1"/>
  <c r="C24" i="1" s="1"/>
  <c r="C178" i="4"/>
  <c r="C88" i="4"/>
  <c r="C50" i="2"/>
  <c r="G164" i="2"/>
  <c r="D44" i="2"/>
  <c r="E129" i="2"/>
  <c r="C102" i="2"/>
  <c r="G213" i="4"/>
  <c r="AB213" i="4" s="1"/>
  <c r="M216" i="8" s="1"/>
  <c r="C34" i="4"/>
  <c r="C40" i="2"/>
  <c r="C67" i="4"/>
  <c r="C44" i="4"/>
  <c r="G184" i="2"/>
  <c r="D143" i="2"/>
  <c r="F77" i="2"/>
  <c r="C101" i="2"/>
  <c r="E145" i="2"/>
  <c r="F185" i="2"/>
  <c r="C130" i="4"/>
  <c r="C30" i="2"/>
  <c r="F72" i="2"/>
  <c r="G156" i="2"/>
  <c r="U156" i="2" s="1"/>
  <c r="F168" i="1" s="1"/>
  <c r="C72" i="4"/>
  <c r="C100" i="4"/>
  <c r="F18" i="2"/>
  <c r="T18" i="2" s="1"/>
  <c r="E20" i="1" s="1"/>
  <c r="C4" i="2"/>
  <c r="G130" i="2"/>
  <c r="U130" i="2" s="1"/>
  <c r="F140" i="1" s="1"/>
  <c r="C120" i="2"/>
  <c r="C158" i="2"/>
  <c r="D185" i="2"/>
  <c r="F130" i="2"/>
  <c r="T130" i="2" s="1"/>
  <c r="E140" i="1" s="1"/>
  <c r="F191" i="2"/>
  <c r="C9" i="4"/>
  <c r="C26" i="2"/>
  <c r="C142" i="4"/>
  <c r="D46" i="2"/>
  <c r="D73" i="2"/>
  <c r="C143" i="4"/>
  <c r="E18" i="2"/>
  <c r="Z18" i="2" s="1"/>
  <c r="K20" i="1" s="1"/>
  <c r="F46" i="2"/>
  <c r="T46" i="2" s="1"/>
  <c r="E50" i="1" s="1"/>
  <c r="G75" i="2"/>
  <c r="C6" i="2"/>
  <c r="G20" i="2"/>
  <c r="AB20" i="2" s="1"/>
  <c r="M22" i="1" s="1"/>
  <c r="F48" i="2"/>
  <c r="E49" i="2"/>
  <c r="E106" i="2"/>
  <c r="S106" i="2" s="1"/>
  <c r="D114" i="1" s="1"/>
  <c r="C10" i="2"/>
  <c r="C60" i="4"/>
  <c r="F19" i="2"/>
  <c r="T19" i="2" s="1"/>
  <c r="E21" i="1" s="1"/>
  <c r="D75" i="2"/>
  <c r="C118" i="2"/>
  <c r="X118" i="2" s="1"/>
  <c r="I127" i="1" s="1"/>
  <c r="C117" i="4"/>
  <c r="Q117" i="4" s="1"/>
  <c r="B126" i="8" s="1"/>
  <c r="C32" i="4"/>
  <c r="E20" i="2"/>
  <c r="Z20" i="2" s="1"/>
  <c r="K22" i="1" s="1"/>
  <c r="G76" i="2"/>
  <c r="C132" i="4"/>
  <c r="C73" i="2"/>
  <c r="C87" i="4"/>
  <c r="C144" i="2"/>
  <c r="E158" i="2"/>
  <c r="E47" i="2"/>
  <c r="S47" i="2" s="1"/>
  <c r="D51" i="1" s="1"/>
  <c r="G103" i="2"/>
  <c r="E187" i="2"/>
  <c r="S187" i="2" s="1"/>
  <c r="D201" i="1" s="1"/>
  <c r="D129" i="2"/>
  <c r="E102" i="2"/>
  <c r="C102" i="4"/>
  <c r="C159" i="4"/>
  <c r="C133" i="2"/>
  <c r="G138" i="2"/>
  <c r="G108" i="2"/>
  <c r="Y152" i="2"/>
  <c r="J163" i="1" s="1"/>
  <c r="C219" i="4"/>
  <c r="C138" i="4"/>
  <c r="C215" i="4"/>
  <c r="C65" i="2"/>
  <c r="Y123" i="2"/>
  <c r="J132" i="1" s="1"/>
  <c r="C96" i="4"/>
  <c r="T38" i="4"/>
  <c r="E41" i="8" s="1"/>
  <c r="E2" i="2"/>
  <c r="S2" i="2" s="1"/>
  <c r="D3" i="1" s="1"/>
  <c r="D131" i="4"/>
  <c r="F131" i="4"/>
  <c r="D58" i="2"/>
  <c r="D129" i="4"/>
  <c r="G30" i="2"/>
  <c r="AB30" i="2" s="1"/>
  <c r="M33" i="1" s="1"/>
  <c r="D74" i="4"/>
  <c r="R74" i="4" s="1"/>
  <c r="C80" i="8" s="1"/>
  <c r="E129" i="4"/>
  <c r="S129" i="4" s="1"/>
  <c r="D139" i="8" s="1"/>
  <c r="D135" i="4"/>
  <c r="R135" i="4" s="1"/>
  <c r="C145" i="8" s="1"/>
  <c r="C149" i="4"/>
  <c r="D16" i="2"/>
  <c r="E48" i="2"/>
  <c r="Z48" i="2" s="1"/>
  <c r="K52" i="1" s="1"/>
  <c r="C123" i="2"/>
  <c r="E135" i="4"/>
  <c r="Z135" i="4" s="1"/>
  <c r="K145" i="8" s="1"/>
  <c r="F78" i="2"/>
  <c r="AA78" i="2" s="1"/>
  <c r="L84" i="1" s="1"/>
  <c r="G8" i="2"/>
  <c r="U8" i="2" s="1"/>
  <c r="F9" i="1" s="1"/>
  <c r="F9" i="4"/>
  <c r="AA9" i="4" s="1"/>
  <c r="L10" i="8" s="1"/>
  <c r="C114" i="2"/>
  <c r="D142" i="4"/>
  <c r="G17" i="2"/>
  <c r="G17" i="4"/>
  <c r="AB17" i="4" s="1"/>
  <c r="M19" i="8" s="1"/>
  <c r="C31" i="4"/>
  <c r="Q31" i="4" s="1"/>
  <c r="B34" i="8" s="1"/>
  <c r="D143" i="4"/>
  <c r="C144" i="4"/>
  <c r="G158" i="4"/>
  <c r="U158" i="4" s="1"/>
  <c r="F170" i="8" s="1"/>
  <c r="G172" i="4"/>
  <c r="D214" i="4"/>
  <c r="D20" i="4"/>
  <c r="R20" i="4" s="1"/>
  <c r="C22" i="8" s="1"/>
  <c r="E76" i="4"/>
  <c r="D188" i="4"/>
  <c r="R188" i="4" s="1"/>
  <c r="C202" i="8" s="1"/>
  <c r="G48" i="4"/>
  <c r="G165" i="4"/>
  <c r="D134" i="4"/>
  <c r="R134" i="4" s="1"/>
  <c r="C144" i="8" s="1"/>
  <c r="D179" i="2"/>
  <c r="G104" i="2"/>
  <c r="G119" i="4"/>
  <c r="C74" i="2"/>
  <c r="C51" i="2"/>
  <c r="E44" i="2"/>
  <c r="S44" i="2" s="1"/>
  <c r="D48" i="1" s="1"/>
  <c r="D45" i="2"/>
  <c r="Y45" i="2" s="1"/>
  <c r="J49" i="1" s="1"/>
  <c r="E128" i="2"/>
  <c r="Z128" i="2" s="1"/>
  <c r="K138" i="1" s="1"/>
  <c r="F49" i="2"/>
  <c r="T49" i="2" s="1"/>
  <c r="E53" i="1" s="1"/>
  <c r="C103" i="4"/>
  <c r="E192" i="2"/>
  <c r="D137" i="4"/>
  <c r="R137" i="4" s="1"/>
  <c r="C147" i="8" s="1"/>
  <c r="D138" i="4"/>
  <c r="Y138" i="4" s="1"/>
  <c r="J148" i="8" s="1"/>
  <c r="G2" i="4"/>
  <c r="U2" i="4" s="1"/>
  <c r="F3" i="8" s="1"/>
  <c r="D58" i="4"/>
  <c r="Y58" i="4" s="1"/>
  <c r="J63" i="8" s="1"/>
  <c r="G45" i="4"/>
  <c r="U45" i="4" s="1"/>
  <c r="F49" i="8" s="1"/>
  <c r="E172" i="2"/>
  <c r="S172" i="2" s="1"/>
  <c r="D185" i="1" s="1"/>
  <c r="E34" i="2"/>
  <c r="D174" i="2"/>
  <c r="D188" i="2"/>
  <c r="F48" i="4"/>
  <c r="G21" i="2"/>
  <c r="AB21" i="2" s="1"/>
  <c r="M23" i="1" s="1"/>
  <c r="E92" i="2"/>
  <c r="S92" i="2" s="1"/>
  <c r="D99" i="1" s="1"/>
  <c r="F137" i="4"/>
  <c r="T137" i="4" s="1"/>
  <c r="E147" i="8" s="1"/>
  <c r="E133" i="4"/>
  <c r="S133" i="4" s="1"/>
  <c r="D143" i="8" s="1"/>
  <c r="C164" i="4"/>
  <c r="C129" i="2"/>
  <c r="E188" i="2"/>
  <c r="Z188" i="2" s="1"/>
  <c r="K202" i="1" s="1"/>
  <c r="F159" i="2"/>
  <c r="T159" i="2" s="1"/>
  <c r="E171" i="1" s="1"/>
  <c r="C117" i="2"/>
  <c r="G74" i="2"/>
  <c r="U74" i="2" s="1"/>
  <c r="F80" i="1" s="1"/>
  <c r="C51" i="4"/>
  <c r="F135" i="4"/>
  <c r="C7" i="2"/>
  <c r="F136" i="2"/>
  <c r="AA136" i="2" s="1"/>
  <c r="L146" i="1" s="1"/>
  <c r="E86" i="4"/>
  <c r="S86" i="4" s="1"/>
  <c r="D93" i="8" s="1"/>
  <c r="D32" i="4"/>
  <c r="Y32" i="4" s="1"/>
  <c r="J35" i="8" s="1"/>
  <c r="G33" i="2"/>
  <c r="U33" i="2" s="1"/>
  <c r="F36" i="1" s="1"/>
  <c r="D173" i="4"/>
  <c r="Y173" i="4" s="1"/>
  <c r="J186" i="8" s="1"/>
  <c r="F104" i="4"/>
  <c r="AA104" i="4" s="1"/>
  <c r="L112" i="8" s="1"/>
  <c r="G105" i="2"/>
  <c r="AB105" i="2" s="1"/>
  <c r="M113" i="1" s="1"/>
  <c r="F64" i="2"/>
  <c r="E137" i="4"/>
  <c r="S137" i="4" s="1"/>
  <c r="D147" i="8" s="1"/>
  <c r="F2" i="2"/>
  <c r="AA2" i="2" s="1"/>
  <c r="L3" i="1" s="1"/>
  <c r="F73" i="2"/>
  <c r="AA73" i="2" s="1"/>
  <c r="L79" i="1" s="1"/>
  <c r="D130" i="2"/>
  <c r="C30" i="4"/>
  <c r="C101" i="4"/>
  <c r="D101" i="2"/>
  <c r="Y101" i="2" s="1"/>
  <c r="J109" i="1" s="1"/>
  <c r="C93" i="4"/>
  <c r="C165" i="2"/>
  <c r="C133" i="4"/>
  <c r="F110" i="2"/>
  <c r="AA110" i="2" s="1"/>
  <c r="L118" i="1" s="1"/>
  <c r="F142" i="4"/>
  <c r="T142" i="4" s="1"/>
  <c r="E153" i="8" s="1"/>
  <c r="G143" i="2"/>
  <c r="AB143" i="2" s="1"/>
  <c r="M154" i="1" s="1"/>
  <c r="E45" i="4"/>
  <c r="Z45" i="4" s="1"/>
  <c r="K49" i="8" s="1"/>
  <c r="F143" i="4"/>
  <c r="D4" i="4"/>
  <c r="F5" i="2"/>
  <c r="T5" i="2" s="1"/>
  <c r="E6" i="1" s="1"/>
  <c r="F89" i="2"/>
  <c r="T89" i="2" s="1"/>
  <c r="E96" i="1" s="1"/>
  <c r="D6" i="2"/>
  <c r="F132" i="2"/>
  <c r="E118" i="4"/>
  <c r="Z118" i="4" s="1"/>
  <c r="K127" i="8" s="1"/>
  <c r="E22" i="2"/>
  <c r="S22" i="2" s="1"/>
  <c r="D24" i="1" s="1"/>
  <c r="E23" i="2"/>
  <c r="Z23" i="2" s="1"/>
  <c r="K25" i="1" s="1"/>
  <c r="D133" i="4"/>
  <c r="G109" i="4"/>
  <c r="E58" i="2"/>
  <c r="Z58" i="2" s="1"/>
  <c r="K63" i="1" s="1"/>
  <c r="F129" i="4"/>
  <c r="AA129" i="4" s="1"/>
  <c r="L139" i="8" s="1"/>
  <c r="F117" i="2"/>
  <c r="G64" i="4"/>
  <c r="AB64" i="4" s="1"/>
  <c r="M69" i="8" s="1"/>
  <c r="D37" i="4"/>
  <c r="D132" i="4"/>
  <c r="Y132" i="4" s="1"/>
  <c r="J142" i="8" s="1"/>
  <c r="C142" i="2"/>
  <c r="G131" i="2"/>
  <c r="AB131" i="2" s="1"/>
  <c r="M141" i="1" s="1"/>
  <c r="C25" i="2"/>
  <c r="F17" i="2"/>
  <c r="AA17" i="2" s="1"/>
  <c r="L19" i="1" s="1"/>
  <c r="D74" i="2"/>
  <c r="Y74" i="2" s="1"/>
  <c r="J80" i="1" s="1"/>
  <c r="E163" i="2"/>
  <c r="C134" i="2"/>
  <c r="G160" i="2"/>
  <c r="U160" i="2" s="1"/>
  <c r="F172" i="1" s="1"/>
  <c r="F192" i="2"/>
  <c r="C10" i="4"/>
  <c r="F30" i="2"/>
  <c r="T30" i="2" s="1"/>
  <c r="E33" i="1" s="1"/>
  <c r="F142" i="2"/>
  <c r="AA142" i="2" s="1"/>
  <c r="L153" i="1" s="1"/>
  <c r="D88" i="4"/>
  <c r="Y88" i="4" s="1"/>
  <c r="J95" i="8" s="1"/>
  <c r="E116" i="4"/>
  <c r="S116" i="4" s="1"/>
  <c r="D125" i="8" s="1"/>
  <c r="E131" i="4"/>
  <c r="Z131" i="4" s="1"/>
  <c r="K141" i="8" s="1"/>
  <c r="E75" i="2"/>
  <c r="D145" i="2"/>
  <c r="F47" i="4"/>
  <c r="D159" i="4"/>
  <c r="F146" i="2"/>
  <c r="E34" i="4"/>
  <c r="Z34" i="4" s="1"/>
  <c r="K37" i="8" s="1"/>
  <c r="F90" i="4"/>
  <c r="AA90" i="4" s="1"/>
  <c r="L97" i="8" s="1"/>
  <c r="D104" i="4"/>
  <c r="Y104" i="4" s="1"/>
  <c r="J112" i="8" s="1"/>
  <c r="G174" i="4"/>
  <c r="U174" i="4" s="1"/>
  <c r="F187" i="8" s="1"/>
  <c r="G188" i="4"/>
  <c r="D35" i="2"/>
  <c r="E119" i="2"/>
  <c r="F105" i="4"/>
  <c r="T105" i="4" s="1"/>
  <c r="E113" i="8" s="1"/>
  <c r="C9" i="2"/>
  <c r="F138" i="4"/>
  <c r="T138" i="4" s="1"/>
  <c r="E148" i="8" s="1"/>
  <c r="D128" i="4"/>
  <c r="Y128" i="4" s="1"/>
  <c r="J138" i="8" s="1"/>
  <c r="G177" i="4"/>
  <c r="G150" i="2"/>
  <c r="G129" i="2"/>
  <c r="D157" i="2"/>
  <c r="E184" i="2"/>
  <c r="Z184" i="2" s="1"/>
  <c r="K198" i="1" s="1"/>
  <c r="D86" i="2"/>
  <c r="Y86" i="2" s="1"/>
  <c r="J93" i="1" s="1"/>
  <c r="F114" i="2"/>
  <c r="AA114" i="2" s="1"/>
  <c r="L123" i="1" s="1"/>
  <c r="D72" i="4"/>
  <c r="Y72" i="4" s="1"/>
  <c r="J78" i="8" s="1"/>
  <c r="E107" i="2"/>
  <c r="Z107" i="2" s="1"/>
  <c r="K115" i="1" s="1"/>
  <c r="E159" i="2"/>
  <c r="F102" i="2"/>
  <c r="C145" i="2"/>
  <c r="D161" i="2"/>
  <c r="Y161" i="2" s="1"/>
  <c r="J173" i="1" s="1"/>
  <c r="E142" i="2"/>
  <c r="Z142" i="2" s="1"/>
  <c r="K153" i="1" s="1"/>
  <c r="D59" i="2"/>
  <c r="R59" i="2" s="1"/>
  <c r="C64" i="1" s="1"/>
  <c r="C171" i="2"/>
  <c r="F73" i="4"/>
  <c r="AA73" i="4" s="1"/>
  <c r="L79" i="8" s="1"/>
  <c r="G101" i="4"/>
  <c r="C88" i="2"/>
  <c r="C212" i="4"/>
  <c r="D212" i="4"/>
  <c r="R212" i="4" s="1"/>
  <c r="C215" i="8" s="1"/>
  <c r="E130" i="4"/>
  <c r="S130" i="4" s="1"/>
  <c r="D140" i="8" s="1"/>
  <c r="E89" i="2"/>
  <c r="S89" i="2" s="1"/>
  <c r="D96" i="1" s="1"/>
  <c r="F33" i="4"/>
  <c r="T33" i="4" s="1"/>
  <c r="E36" i="8" s="1"/>
  <c r="E132" i="2"/>
  <c r="S132" i="2" s="1"/>
  <c r="D142" i="1" s="1"/>
  <c r="E133" i="2"/>
  <c r="F214" i="4"/>
  <c r="D34" i="4"/>
  <c r="E90" i="4"/>
  <c r="S90" i="4" s="1"/>
  <c r="D97" i="8" s="1"/>
  <c r="D119" i="4"/>
  <c r="Y119" i="4" s="1"/>
  <c r="J128" i="8" s="1"/>
  <c r="F31" i="2"/>
  <c r="T31" i="2" s="1"/>
  <c r="E34" i="1" s="1"/>
  <c r="C185" i="2"/>
  <c r="C186" i="2"/>
  <c r="E33" i="2"/>
  <c r="G145" i="2"/>
  <c r="E20" i="4"/>
  <c r="S20" i="4" s="1"/>
  <c r="D22" i="8" s="1"/>
  <c r="C77" i="2"/>
  <c r="C78" i="2"/>
  <c r="G7" i="4"/>
  <c r="AB7" i="4" s="1"/>
  <c r="M8" i="8" s="1"/>
  <c r="F134" i="4"/>
  <c r="AA134" i="4" s="1"/>
  <c r="L144" i="8" s="1"/>
  <c r="D63" i="4"/>
  <c r="F177" i="4"/>
  <c r="F136" i="4"/>
  <c r="T136" i="4" s="1"/>
  <c r="E146" i="8" s="1"/>
  <c r="E138" i="4"/>
  <c r="S138" i="4" s="1"/>
  <c r="D148" i="8" s="1"/>
  <c r="E136" i="4"/>
  <c r="Z136" i="4" s="1"/>
  <c r="K146" i="8" s="1"/>
  <c r="C162" i="4"/>
  <c r="F25" i="4"/>
  <c r="AA25" i="4" s="1"/>
  <c r="L27" i="8" s="1"/>
  <c r="E105" i="4"/>
  <c r="S105" i="4" s="1"/>
  <c r="D113" i="8" s="1"/>
  <c r="D106" i="4"/>
  <c r="G176" i="4"/>
  <c r="G152" i="2"/>
  <c r="U152" i="2" s="1"/>
  <c r="F163" i="1" s="1"/>
  <c r="G110" i="4"/>
  <c r="U110" i="4" s="1"/>
  <c r="F118" i="8" s="1"/>
  <c r="D136" i="4"/>
  <c r="R136" i="4" s="1"/>
  <c r="C146" i="8" s="1"/>
  <c r="F106" i="2"/>
  <c r="T106" i="2" s="1"/>
  <c r="E114" i="1" s="1"/>
  <c r="D50" i="4"/>
  <c r="R50" i="4" s="1"/>
  <c r="C54" i="8" s="1"/>
  <c r="E190" i="4"/>
  <c r="S190" i="4" s="1"/>
  <c r="D204" i="8" s="1"/>
  <c r="G51" i="2"/>
  <c r="D66" i="2"/>
  <c r="C91" i="4"/>
  <c r="G64" i="2"/>
  <c r="AB64" i="2" s="1"/>
  <c r="M69" i="1" s="1"/>
  <c r="G179" i="2"/>
  <c r="U179" i="2" s="1"/>
  <c r="F192" i="1" s="1"/>
  <c r="D81" i="4"/>
  <c r="E177" i="4"/>
  <c r="Z177" i="4" s="1"/>
  <c r="K190" i="8" s="1"/>
  <c r="E53" i="4"/>
  <c r="S53" i="4" s="1"/>
  <c r="D57" i="8" s="1"/>
  <c r="E54" i="4"/>
  <c r="F194" i="4"/>
  <c r="F150" i="4"/>
  <c r="T150" i="4" s="1"/>
  <c r="E161" i="8" s="1"/>
  <c r="D39" i="4"/>
  <c r="R39" i="4" s="1"/>
  <c r="C42" i="8" s="1"/>
  <c r="E194" i="4"/>
  <c r="Z194" i="4" s="1"/>
  <c r="K208" i="8" s="1"/>
  <c r="E40" i="2"/>
  <c r="G180" i="4"/>
  <c r="AB180" i="4" s="1"/>
  <c r="M193" i="8" s="1"/>
  <c r="F51" i="4"/>
  <c r="AA51" i="4" s="1"/>
  <c r="L55" i="8" s="1"/>
  <c r="F152" i="2"/>
  <c r="AA152" i="2" s="1"/>
  <c r="L163" i="1" s="1"/>
  <c r="F130" i="4"/>
  <c r="AA130" i="4" s="1"/>
  <c r="L140" i="8" s="1"/>
  <c r="F132" i="4"/>
  <c r="AA132" i="4" s="1"/>
  <c r="L142" i="8" s="1"/>
  <c r="F133" i="4"/>
  <c r="T133" i="4" s="1"/>
  <c r="E143" i="8" s="1"/>
  <c r="E134" i="4"/>
  <c r="D130" i="4"/>
  <c r="Y130" i="4" s="1"/>
  <c r="J140" i="8" s="1"/>
  <c r="E132" i="4"/>
  <c r="F128" i="4"/>
  <c r="T128" i="4" s="1"/>
  <c r="E138" i="8" s="1"/>
  <c r="Z50" i="9"/>
  <c r="AC203" i="8"/>
  <c r="AB34" i="1"/>
  <c r="T138" i="8"/>
  <c r="Z35" i="9"/>
  <c r="AB13" i="9"/>
  <c r="AC3" i="9"/>
  <c r="T55" i="9"/>
  <c r="Y12" i="9"/>
  <c r="V97" i="8"/>
  <c r="W147" i="1"/>
  <c r="T20" i="8"/>
  <c r="Z115" i="8"/>
  <c r="AC63" i="8"/>
  <c r="Z65" i="8"/>
  <c r="W38" i="9"/>
  <c r="Z49" i="9"/>
  <c r="Y10" i="1"/>
  <c r="V204" i="8"/>
  <c r="W42" i="9"/>
  <c r="Q28" i="9"/>
  <c r="Z130" i="1"/>
  <c r="P9" i="9"/>
  <c r="AB49" i="8"/>
  <c r="S170" i="8"/>
  <c r="T93" i="1"/>
  <c r="Y93" i="8"/>
  <c r="AB54" i="9"/>
  <c r="V6" i="9"/>
  <c r="W169" i="8"/>
  <c r="Q10" i="9"/>
  <c r="Z126" i="8"/>
  <c r="W28" i="9"/>
  <c r="V155" i="1"/>
  <c r="Z10" i="8"/>
  <c r="T25" i="9"/>
  <c r="T128" i="8"/>
  <c r="V36" i="9"/>
  <c r="V38" i="8"/>
  <c r="S27" i="9"/>
  <c r="AC52" i="9"/>
  <c r="W163" i="1"/>
  <c r="V4" i="9"/>
  <c r="Z160" i="1"/>
  <c r="AB41" i="9"/>
  <c r="V67" i="8"/>
  <c r="V24" i="1"/>
  <c r="W49" i="8"/>
  <c r="AB101" i="1"/>
  <c r="AB172" i="8"/>
  <c r="Y20" i="1"/>
  <c r="Z203" i="8"/>
  <c r="W93" i="1"/>
  <c r="Z33" i="9"/>
  <c r="P19" i="9"/>
  <c r="T113" i="8"/>
  <c r="S25" i="9"/>
  <c r="AB192" i="1"/>
  <c r="P5" i="9"/>
  <c r="S146" i="8"/>
  <c r="Y28" i="9"/>
  <c r="T4" i="9"/>
  <c r="AC55" i="9"/>
  <c r="T173" i="1"/>
  <c r="V56" i="1"/>
  <c r="Z192" i="8"/>
  <c r="S19" i="9"/>
  <c r="V55" i="9"/>
  <c r="Z20" i="9"/>
  <c r="Z141" i="1"/>
  <c r="Z51" i="9"/>
  <c r="Q12" i="9"/>
  <c r="AB10" i="9"/>
  <c r="AC50" i="9"/>
  <c r="AB131" i="8"/>
  <c r="AB207" i="1"/>
  <c r="Z189" i="8"/>
  <c r="W20" i="9"/>
  <c r="Q24" i="9"/>
  <c r="AB43" i="9"/>
  <c r="AC35" i="1"/>
  <c r="AB33" i="9"/>
  <c r="Z153" i="1"/>
  <c r="Z112" i="8"/>
  <c r="W35" i="9"/>
  <c r="V8" i="9"/>
  <c r="AB132" i="1"/>
  <c r="V34" i="9"/>
  <c r="T78" i="1"/>
  <c r="S21" i="9"/>
  <c r="P3" i="9"/>
  <c r="W9" i="9"/>
  <c r="Z10" i="9"/>
  <c r="AB38" i="9"/>
  <c r="AB51" i="9"/>
  <c r="AB178" i="8"/>
  <c r="Z22" i="1"/>
  <c r="W11" i="1"/>
  <c r="S127" i="1"/>
  <c r="Y24" i="9"/>
  <c r="Z177" i="1"/>
  <c r="V168" i="1"/>
  <c r="Z97" i="1"/>
  <c r="Y23" i="9"/>
  <c r="AC10" i="9"/>
  <c r="AB5" i="9"/>
  <c r="W39" i="8"/>
  <c r="T199" i="8"/>
  <c r="AC126" i="8"/>
  <c r="T42" i="9"/>
  <c r="AB34" i="8"/>
  <c r="Y21" i="1"/>
  <c r="Y53" i="8"/>
  <c r="T140" i="8"/>
  <c r="W25" i="9"/>
  <c r="Z3" i="1"/>
  <c r="Y140" i="1"/>
  <c r="Z39" i="9"/>
  <c r="T10" i="8"/>
  <c r="Q11" i="9"/>
  <c r="T50" i="9"/>
  <c r="V39" i="9"/>
  <c r="S115" i="8"/>
  <c r="Y205" i="8"/>
  <c r="AB53" i="9"/>
  <c r="W18" i="9"/>
  <c r="AB142" i="8"/>
  <c r="Y21" i="9"/>
  <c r="V217" i="8"/>
  <c r="AC19" i="9"/>
  <c r="V26" i="9"/>
  <c r="Z140" i="8"/>
  <c r="AC38" i="1"/>
  <c r="AC33" i="9"/>
  <c r="V9" i="1"/>
  <c r="AC84" i="1"/>
  <c r="S10" i="1"/>
  <c r="P126" i="8"/>
  <c r="AC101" i="8"/>
  <c r="AC208" i="8"/>
  <c r="V54" i="9"/>
  <c r="V145" i="1"/>
  <c r="W22" i="9"/>
  <c r="Z144" i="8"/>
  <c r="T201" i="8"/>
  <c r="S123" i="8"/>
  <c r="AB8" i="9"/>
  <c r="W13" i="9"/>
  <c r="AC53" i="9"/>
  <c r="W71" i="1"/>
  <c r="AB36" i="9"/>
  <c r="AB22" i="9"/>
  <c r="AC34" i="9"/>
  <c r="S80" i="8"/>
  <c r="T21" i="9"/>
  <c r="AB42" i="9"/>
  <c r="Z133" i="8"/>
  <c r="V208" i="1"/>
  <c r="AC38" i="9"/>
  <c r="V201" i="1"/>
  <c r="W170" i="8"/>
  <c r="S188" i="8"/>
  <c r="W50" i="9"/>
  <c r="S189" i="1"/>
  <c r="V41" i="9"/>
  <c r="T13" i="9"/>
  <c r="T41" i="9"/>
  <c r="Z173" i="8"/>
  <c r="AC37" i="8"/>
  <c r="AB213" i="8"/>
  <c r="AC41" i="9"/>
  <c r="V19" i="8"/>
  <c r="T37" i="1"/>
  <c r="T172" i="8"/>
  <c r="W141" i="8"/>
  <c r="T99" i="8"/>
  <c r="Q13" i="9"/>
  <c r="W23" i="9"/>
  <c r="Q21" i="9"/>
  <c r="AB6" i="9"/>
  <c r="S163" i="1"/>
  <c r="W5" i="9"/>
  <c r="T54" i="9"/>
  <c r="P24" i="9"/>
  <c r="AB3" i="9"/>
  <c r="S35" i="1"/>
  <c r="AC23" i="1"/>
  <c r="T37" i="9"/>
  <c r="Z8" i="9"/>
  <c r="V206" i="8"/>
  <c r="T70" i="1"/>
  <c r="W20" i="8"/>
  <c r="AC56" i="1"/>
  <c r="T95" i="8"/>
  <c r="V19" i="9"/>
  <c r="V199" i="8"/>
  <c r="W26" i="9"/>
  <c r="Q25" i="9"/>
  <c r="AB39" i="9"/>
  <c r="Z116" i="1"/>
  <c r="Z23" i="1"/>
  <c r="AC22" i="9"/>
  <c r="Y67" i="8"/>
  <c r="T12" i="9"/>
  <c r="AB24" i="1"/>
  <c r="AB183" i="8"/>
  <c r="S12" i="9"/>
  <c r="AC20" i="9"/>
  <c r="S133" i="1"/>
  <c r="Z49" i="1"/>
  <c r="W202" i="1"/>
  <c r="Q26" i="9"/>
  <c r="AC28" i="1"/>
  <c r="AC26" i="9"/>
  <c r="T49" i="9"/>
  <c r="Y20" i="9"/>
  <c r="AC36" i="9"/>
  <c r="AC18" i="9"/>
  <c r="Z184" i="8"/>
  <c r="V10" i="9"/>
  <c r="Y26" i="9"/>
  <c r="AC23" i="9"/>
  <c r="T86" i="1"/>
  <c r="Y159" i="8"/>
  <c r="AC159" i="8"/>
  <c r="AC73" i="8"/>
  <c r="W13" i="1"/>
  <c r="Y96" i="1"/>
  <c r="S94" i="8"/>
  <c r="Z40" i="9"/>
  <c r="S127" i="8"/>
  <c r="Y176" i="8"/>
  <c r="S162" i="8"/>
  <c r="AC43" i="9"/>
  <c r="AC8" i="9"/>
  <c r="AC39" i="9"/>
  <c r="Y87" i="1"/>
  <c r="AC191" i="1"/>
  <c r="Q18" i="9"/>
  <c r="W82" i="1"/>
  <c r="AC133" i="8"/>
  <c r="T148" i="8"/>
  <c r="W198" i="1"/>
  <c r="Y159" i="1"/>
  <c r="AC69" i="1"/>
  <c r="S42" i="8"/>
  <c r="Y143" i="8"/>
  <c r="Y186" i="1"/>
  <c r="T48" i="9"/>
  <c r="Z101" i="8"/>
  <c r="Q208" i="8"/>
  <c r="AC51" i="9"/>
  <c r="AC19" i="8"/>
  <c r="W6" i="9"/>
  <c r="Q187" i="1"/>
  <c r="T78" i="8"/>
  <c r="S204" i="1"/>
  <c r="AB26" i="9"/>
  <c r="W39" i="9"/>
  <c r="W10" i="1"/>
  <c r="V49" i="9"/>
  <c r="Z41" i="8"/>
  <c r="T52" i="9"/>
  <c r="S132" i="1"/>
  <c r="AC42" i="8"/>
  <c r="S130" i="1"/>
  <c r="AC114" i="8"/>
  <c r="S28" i="9"/>
  <c r="Z4" i="9"/>
  <c r="V51" i="1"/>
  <c r="T143" i="1"/>
  <c r="V3" i="1"/>
  <c r="AC37" i="9"/>
  <c r="AB21" i="9"/>
  <c r="T72" i="1"/>
  <c r="Y171" i="1"/>
  <c r="W55" i="9"/>
  <c r="Y114" i="1"/>
  <c r="AB12" i="9"/>
  <c r="W123" i="8"/>
  <c r="S118" i="1"/>
  <c r="W98" i="1"/>
  <c r="Z39" i="1"/>
  <c r="T38" i="9"/>
  <c r="V33" i="1"/>
  <c r="Z214" i="8"/>
  <c r="V37" i="9"/>
  <c r="W52" i="9"/>
  <c r="T88" i="8"/>
  <c r="T35" i="9"/>
  <c r="V57" i="8"/>
  <c r="AB41" i="8"/>
  <c r="Z202" i="1"/>
  <c r="W4" i="9"/>
  <c r="Y35" i="9"/>
  <c r="P154" i="1"/>
  <c r="Z18" i="9"/>
  <c r="AB191" i="8"/>
  <c r="Y3" i="9"/>
  <c r="AB161" i="8"/>
  <c r="V12" i="9"/>
  <c r="AB88" i="1"/>
  <c r="Y34" i="9"/>
  <c r="T21" i="1"/>
  <c r="Q127" i="1"/>
  <c r="Y9" i="9"/>
  <c r="V40" i="9"/>
  <c r="W21" i="9"/>
  <c r="AC25" i="9"/>
  <c r="S13" i="9"/>
  <c r="W25" i="1"/>
  <c r="AC207" i="8"/>
  <c r="V178" i="1"/>
  <c r="Z38" i="9"/>
  <c r="P18" i="9"/>
  <c r="Y4" i="9"/>
  <c r="V185" i="1"/>
  <c r="W19" i="9"/>
  <c r="Z200" i="1"/>
  <c r="Y222" i="8"/>
  <c r="AC69" i="8"/>
  <c r="W33" i="9"/>
  <c r="P28" i="9"/>
  <c r="Y42" i="1"/>
  <c r="S82" i="1"/>
  <c r="AC71" i="8"/>
  <c r="Y153" i="8"/>
  <c r="Y40" i="9"/>
  <c r="AC22" i="8"/>
  <c r="AB103" i="8"/>
  <c r="AB36" i="1"/>
  <c r="V7" i="9"/>
  <c r="AB98" i="1"/>
  <c r="V40" i="1"/>
  <c r="Q7" i="8"/>
  <c r="AC141" i="8"/>
  <c r="AB172" i="1"/>
  <c r="S48" i="9"/>
  <c r="AB27" i="9"/>
  <c r="V198" i="8"/>
  <c r="AC42" i="9"/>
  <c r="S95" i="1"/>
  <c r="Z223" i="8"/>
  <c r="S112" i="1"/>
  <c r="AC40" i="9"/>
  <c r="V97" i="1"/>
  <c r="Y36" i="1"/>
  <c r="T102" i="8"/>
  <c r="V9" i="9"/>
  <c r="Z42" i="9"/>
  <c r="Z43" i="9"/>
  <c r="T189" i="8"/>
  <c r="V11" i="9"/>
  <c r="T190" i="8"/>
  <c r="W138" i="8"/>
  <c r="AB11" i="9"/>
  <c r="AB56" i="9"/>
  <c r="AC33" i="1"/>
  <c r="Q190" i="8"/>
  <c r="S34" i="1"/>
  <c r="V33" i="9"/>
  <c r="AC6" i="9"/>
  <c r="V51" i="9"/>
  <c r="Q22" i="9"/>
  <c r="Y19" i="9"/>
  <c r="S26" i="9"/>
  <c r="AB25" i="8"/>
  <c r="S19" i="1"/>
  <c r="Y170" i="1"/>
  <c r="P23" i="9"/>
  <c r="W37" i="9"/>
  <c r="Z64" i="8"/>
  <c r="W131" i="1"/>
  <c r="Z19" i="1"/>
  <c r="T10" i="9"/>
  <c r="V130" i="1"/>
  <c r="S190" i="1"/>
  <c r="Y129" i="1"/>
  <c r="V18" i="9"/>
  <c r="S54" i="8"/>
  <c r="AC66" i="8"/>
  <c r="V52" i="9"/>
  <c r="AC8" i="8"/>
  <c r="Z23" i="9"/>
  <c r="S39" i="8"/>
  <c r="V42" i="9"/>
  <c r="W3" i="8"/>
  <c r="W54" i="9"/>
  <c r="V148" i="8"/>
  <c r="T27" i="9"/>
  <c r="Y36" i="9"/>
  <c r="Y7" i="9"/>
  <c r="V5" i="9"/>
  <c r="S3" i="1"/>
  <c r="W53" i="9"/>
  <c r="Y8" i="9"/>
  <c r="W10" i="8"/>
  <c r="V25" i="9"/>
  <c r="W34" i="9"/>
  <c r="V190" i="1"/>
  <c r="Z5" i="9"/>
  <c r="Y23" i="8"/>
  <c r="V49" i="1"/>
  <c r="W51" i="9"/>
  <c r="Y13" i="9"/>
  <c r="AC126" i="1"/>
  <c r="AC12" i="9"/>
  <c r="W48" i="9"/>
  <c r="Z58" i="8"/>
  <c r="Z53" i="9"/>
  <c r="AB205" i="1"/>
  <c r="S145" i="8"/>
  <c r="AB146" i="8"/>
  <c r="W40" i="8"/>
  <c r="V57" i="1"/>
  <c r="T80" i="1"/>
  <c r="W146" i="8"/>
  <c r="Q5" i="9"/>
  <c r="T51" i="9"/>
  <c r="Y55" i="9"/>
  <c r="Y42" i="9"/>
  <c r="Z79" i="1"/>
  <c r="S41" i="9"/>
  <c r="Z12" i="9"/>
  <c r="AC145" i="1"/>
  <c r="AB9" i="9"/>
  <c r="AB34" i="9"/>
  <c r="P20" i="9"/>
  <c r="V23" i="9"/>
  <c r="V222" i="8"/>
  <c r="Z84" i="8"/>
  <c r="Y172" i="1"/>
  <c r="W10" i="9"/>
  <c r="P10" i="9"/>
  <c r="S207" i="1"/>
  <c r="S20" i="9"/>
  <c r="T39" i="9"/>
  <c r="Y95" i="1"/>
  <c r="V93" i="8"/>
  <c r="T112" i="8"/>
  <c r="W115" i="8"/>
  <c r="T9" i="8"/>
  <c r="S22" i="9"/>
  <c r="Z190" i="1"/>
  <c r="Z7" i="9"/>
  <c r="Z204" i="1"/>
  <c r="Z162" i="8"/>
  <c r="Z160" i="8"/>
  <c r="T168" i="8"/>
  <c r="W37" i="8"/>
  <c r="Q7" i="9"/>
  <c r="V99" i="1"/>
  <c r="AC125" i="8"/>
  <c r="W20" i="1"/>
  <c r="W22" i="1"/>
  <c r="Z80" i="1"/>
  <c r="Z34" i="8"/>
  <c r="AC49" i="9"/>
  <c r="AC222" i="8"/>
  <c r="T125" i="1"/>
  <c r="W11" i="9"/>
  <c r="AC160" i="8"/>
  <c r="AC56" i="9"/>
  <c r="Y36" i="8"/>
  <c r="W56" i="9"/>
  <c r="Q8" i="9"/>
  <c r="T3" i="9"/>
  <c r="V38" i="1"/>
  <c r="S215" i="8"/>
  <c r="Y27" i="9"/>
  <c r="Z36" i="9"/>
  <c r="AC84" i="8"/>
  <c r="P27" i="9"/>
  <c r="Y71" i="8"/>
  <c r="AB20" i="9"/>
  <c r="Z34" i="9"/>
  <c r="P13" i="9"/>
  <c r="AB8" i="1"/>
  <c r="Z22" i="9"/>
  <c r="AB48" i="9"/>
  <c r="P22" i="9"/>
  <c r="Y138" i="8"/>
  <c r="AB50" i="9"/>
  <c r="T19" i="8"/>
  <c r="Q6" i="9"/>
  <c r="Y11" i="9"/>
  <c r="Y51" i="9"/>
  <c r="AB39" i="1"/>
  <c r="W208" i="8"/>
  <c r="T28" i="9"/>
  <c r="T96" i="1"/>
  <c r="AB3" i="8"/>
  <c r="T53" i="9"/>
  <c r="Z56" i="9"/>
  <c r="S84" i="1"/>
  <c r="Z203" i="1"/>
  <c r="Z117" i="8"/>
  <c r="V35" i="9"/>
  <c r="Z118" i="1"/>
  <c r="Y33" i="9"/>
  <c r="W117" i="1"/>
  <c r="S52" i="9"/>
  <c r="V79" i="1"/>
  <c r="AB168" i="1"/>
  <c r="Y41" i="8"/>
  <c r="T49" i="1"/>
  <c r="T63" i="8"/>
  <c r="AB80" i="1"/>
  <c r="W127" i="8"/>
  <c r="Z97" i="8"/>
  <c r="Y34" i="1"/>
  <c r="Z27" i="8"/>
  <c r="W190" i="8"/>
  <c r="Z55" i="9"/>
  <c r="Y33" i="1"/>
  <c r="T56" i="9"/>
  <c r="S64" i="1"/>
  <c r="W7" i="9"/>
  <c r="P34" i="8"/>
  <c r="AB42" i="1"/>
  <c r="W12" i="9"/>
  <c r="Z9" i="8"/>
  <c r="V50" i="9"/>
  <c r="AC22" i="1"/>
  <c r="Z48" i="9"/>
  <c r="Z54" i="9"/>
  <c r="V27" i="9"/>
  <c r="W8" i="9"/>
  <c r="V39" i="1"/>
  <c r="T6" i="9"/>
  <c r="T40" i="9"/>
  <c r="AC144" i="1"/>
  <c r="W3" i="9"/>
  <c r="V72" i="8"/>
  <c r="Q27" i="9"/>
  <c r="Y6" i="8"/>
  <c r="V43" i="9"/>
  <c r="AB159" i="1"/>
  <c r="V203" i="8"/>
  <c r="W145" i="8"/>
  <c r="V162" i="8"/>
  <c r="T24" i="9"/>
  <c r="S48" i="8"/>
  <c r="Y171" i="8"/>
  <c r="Z3" i="9"/>
  <c r="AB9" i="1"/>
  <c r="W95" i="8"/>
  <c r="Y22" i="9"/>
  <c r="AB65" i="8"/>
  <c r="Q4" i="9"/>
  <c r="W40" i="9"/>
  <c r="V159" i="8"/>
  <c r="T36" i="9"/>
  <c r="T125" i="8"/>
  <c r="Y113" i="8"/>
  <c r="AB40" i="9"/>
  <c r="W18" i="8"/>
  <c r="S99" i="1"/>
  <c r="V53" i="9"/>
  <c r="W138" i="1"/>
  <c r="V13" i="9"/>
  <c r="V22" i="9"/>
  <c r="Y53" i="9"/>
  <c r="Y39" i="9"/>
  <c r="V117" i="8"/>
  <c r="AC216" i="8"/>
  <c r="Y13" i="8"/>
  <c r="V22" i="8"/>
  <c r="Z37" i="1"/>
  <c r="S56" i="1"/>
  <c r="T20" i="9"/>
  <c r="S55" i="1"/>
  <c r="AB35" i="9"/>
  <c r="S55" i="9"/>
  <c r="S43" i="9"/>
  <c r="V24" i="9"/>
  <c r="S6" i="9"/>
  <c r="AC6" i="8"/>
  <c r="Y66" i="8"/>
  <c r="Y133" i="1"/>
  <c r="AB217" i="8"/>
  <c r="Z52" i="9"/>
  <c r="Y191" i="1"/>
  <c r="V48" i="9"/>
  <c r="AC55" i="8"/>
  <c r="Z26" i="8"/>
  <c r="AB25" i="9"/>
  <c r="AC4" i="9"/>
  <c r="T5" i="9"/>
  <c r="T11" i="9"/>
  <c r="AB49" i="9"/>
  <c r="AC132" i="8"/>
  <c r="AB170" i="8"/>
  <c r="V101" i="8"/>
  <c r="Z41" i="9"/>
  <c r="AB4" i="1"/>
  <c r="V83" i="8"/>
  <c r="W189" i="8"/>
  <c r="W116" i="1"/>
  <c r="T132" i="1"/>
  <c r="Z128" i="8"/>
  <c r="W160" i="8"/>
  <c r="S208" i="8"/>
  <c r="AC124" i="1"/>
  <c r="T27" i="1"/>
  <c r="S202" i="8"/>
  <c r="Q20" i="9"/>
  <c r="Y147" i="8"/>
  <c r="V94" i="8"/>
  <c r="T8" i="9"/>
  <c r="V140" i="8"/>
  <c r="Q19" i="9"/>
  <c r="AC24" i="9"/>
  <c r="Z6" i="9"/>
  <c r="AB96" i="1"/>
  <c r="P6" i="9"/>
  <c r="S183" i="1"/>
  <c r="AB28" i="9"/>
  <c r="AB215" i="8"/>
  <c r="AB18" i="9"/>
  <c r="Y54" i="9"/>
  <c r="Z213" i="8"/>
  <c r="Y6" i="9"/>
  <c r="S26" i="1"/>
  <c r="Z123" i="1"/>
  <c r="V113" i="8"/>
  <c r="Y50" i="9"/>
  <c r="Y50" i="1"/>
  <c r="S18" i="9"/>
  <c r="T36" i="1"/>
  <c r="V3" i="9"/>
  <c r="T7" i="9"/>
  <c r="T13" i="1"/>
  <c r="W27" i="9"/>
  <c r="AB140" i="1"/>
  <c r="T34" i="9"/>
  <c r="Z28" i="8"/>
  <c r="P8" i="9"/>
  <c r="AC48" i="9"/>
  <c r="AC35" i="9"/>
  <c r="Q9" i="9"/>
  <c r="AC26" i="1"/>
  <c r="AB103" i="1"/>
  <c r="AB4" i="9"/>
  <c r="AC138" i="8"/>
  <c r="AB7" i="9"/>
  <c r="AB52" i="9"/>
  <c r="Z84" i="1"/>
  <c r="AC193" i="8"/>
  <c r="T73" i="1"/>
  <c r="S24" i="9"/>
  <c r="T19" i="9"/>
  <c r="W36" i="9"/>
  <c r="S50" i="9"/>
  <c r="Z25" i="9"/>
  <c r="Z21" i="9"/>
  <c r="Y56" i="9"/>
  <c r="Y52" i="9"/>
  <c r="Y49" i="9"/>
  <c r="Y48" i="9"/>
  <c r="Y41" i="9"/>
  <c r="Y38" i="9"/>
  <c r="Z26" i="9"/>
  <c r="AB24" i="9"/>
  <c r="Y5" i="9"/>
  <c r="P4" i="9"/>
  <c r="AB54" i="1"/>
  <c r="S24" i="1"/>
  <c r="V143" i="8"/>
  <c r="AC113" i="1"/>
  <c r="T109" i="1"/>
  <c r="AB187" i="8"/>
  <c r="V142" i="1"/>
  <c r="V56" i="9"/>
  <c r="T214" i="8"/>
  <c r="S23" i="1"/>
  <c r="AB64" i="8"/>
  <c r="Q23" i="9"/>
  <c r="S28" i="8"/>
  <c r="S147" i="8"/>
  <c r="Z27" i="9"/>
  <c r="Z132" i="1"/>
  <c r="Y202" i="8"/>
  <c r="Y168" i="1"/>
  <c r="AC24" i="8"/>
  <c r="Y25" i="9"/>
  <c r="AC21" i="9"/>
  <c r="Z55" i="8"/>
  <c r="Z11" i="9"/>
  <c r="AB9" i="8"/>
  <c r="AC27" i="9"/>
  <c r="Y18" i="9"/>
  <c r="T33" i="9"/>
  <c r="Z139" i="8"/>
  <c r="AB155" i="1"/>
  <c r="Z11" i="8"/>
  <c r="V55" i="8"/>
  <c r="Z79" i="8"/>
  <c r="S51" i="9"/>
  <c r="S39" i="9"/>
  <c r="V28" i="9"/>
  <c r="AB19" i="9"/>
  <c r="T163" i="1"/>
  <c r="AC5" i="9"/>
  <c r="AB55" i="9"/>
  <c r="S58" i="8"/>
  <c r="V139" i="8"/>
  <c r="Y99" i="1"/>
  <c r="Y13" i="1"/>
  <c r="Y43" i="9"/>
  <c r="Y37" i="9"/>
  <c r="AB4" i="8"/>
  <c r="Z37" i="8"/>
  <c r="V218" i="8"/>
  <c r="T58" i="1"/>
  <c r="T43" i="9"/>
  <c r="V114" i="1"/>
  <c r="AC155" i="8"/>
  <c r="P26" i="9"/>
  <c r="W115" i="1"/>
  <c r="Y85" i="8"/>
  <c r="T23" i="9"/>
  <c r="Y73" i="8"/>
  <c r="Y177" i="8"/>
  <c r="V191" i="8"/>
  <c r="W11" i="8"/>
  <c r="S160" i="8"/>
  <c r="W114" i="8"/>
  <c r="AC129" i="1"/>
  <c r="S83" i="8"/>
  <c r="S98" i="1"/>
  <c r="W52" i="8"/>
  <c r="S126" i="8"/>
  <c r="V6" i="8"/>
  <c r="Z5" i="8"/>
  <c r="V154" i="8"/>
  <c r="Y184" i="1"/>
  <c r="AC108" i="8"/>
  <c r="AB12" i="8"/>
  <c r="T148" i="1"/>
  <c r="AC201" i="1"/>
  <c r="AB147" i="1"/>
  <c r="AC169" i="1"/>
  <c r="Y6" i="1"/>
  <c r="AB163" i="1"/>
  <c r="Z28" i="9"/>
  <c r="Z24" i="9"/>
  <c r="AB82" i="8"/>
  <c r="Z19" i="9"/>
  <c r="T81" i="8"/>
  <c r="W24" i="9"/>
  <c r="AB118" i="8"/>
  <c r="AB50" i="1"/>
  <c r="V96" i="1"/>
  <c r="T18" i="9"/>
  <c r="S223" i="8"/>
  <c r="AB162" i="1"/>
  <c r="S41" i="8"/>
  <c r="AB100" i="1"/>
  <c r="Y24" i="8"/>
  <c r="W53" i="8"/>
  <c r="Z8" i="1"/>
  <c r="T172" i="1"/>
  <c r="T36" i="8"/>
  <c r="AC110" i="8"/>
  <c r="S64" i="8"/>
  <c r="Y4" i="1"/>
  <c r="Z48" i="1"/>
  <c r="Y55" i="1"/>
  <c r="T141" i="1"/>
  <c r="AC25" i="1"/>
  <c r="Z144" i="1"/>
  <c r="V147" i="8"/>
  <c r="AC28" i="9"/>
  <c r="S216" i="8"/>
  <c r="W63" i="1"/>
  <c r="AC218" i="8"/>
  <c r="AB37" i="9"/>
  <c r="S10" i="9"/>
  <c r="P11" i="9"/>
  <c r="AB193" i="1"/>
  <c r="AC12" i="1"/>
  <c r="Z101" i="1"/>
  <c r="AC160" i="1"/>
  <c r="Z219" i="8"/>
  <c r="V23" i="8"/>
  <c r="Y187" i="8"/>
  <c r="AB52" i="1"/>
  <c r="W126" i="1"/>
  <c r="P186" i="1"/>
  <c r="Z109" i="8"/>
  <c r="S183" i="8"/>
  <c r="Z148" i="1"/>
  <c r="T25" i="1"/>
  <c r="Z18" i="1"/>
  <c r="AC141" i="1"/>
  <c r="Z142" i="8"/>
  <c r="T186" i="8"/>
  <c r="AC154" i="1"/>
  <c r="V125" i="8"/>
  <c r="Y148" i="8"/>
  <c r="AC11" i="9"/>
  <c r="V38" i="9"/>
  <c r="S192" i="8"/>
  <c r="AC13" i="9"/>
  <c r="S72" i="8"/>
  <c r="T22" i="9"/>
  <c r="Y53" i="1"/>
  <c r="Z163" i="1"/>
  <c r="T35" i="8"/>
  <c r="P7" i="9"/>
  <c r="AB43" i="8"/>
  <c r="Z207" i="8"/>
  <c r="V42" i="8"/>
  <c r="S101" i="8"/>
  <c r="S191" i="1"/>
  <c r="T85" i="8"/>
  <c r="AC204" i="8"/>
  <c r="V159" i="1"/>
  <c r="S173" i="8"/>
  <c r="Y218" i="8"/>
  <c r="AC157" i="8"/>
  <c r="S96" i="8"/>
  <c r="AB66" i="1"/>
  <c r="V35" i="8"/>
  <c r="V34" i="8"/>
  <c r="Z64" i="1"/>
  <c r="Z63" i="8"/>
  <c r="AB73" i="1"/>
  <c r="AC57" i="1"/>
  <c r="S171" i="1"/>
  <c r="AC143" i="1"/>
  <c r="AC199" i="1"/>
  <c r="S22" i="8"/>
  <c r="Y146" i="8"/>
  <c r="T9" i="9"/>
  <c r="Q3" i="9"/>
  <c r="AC54" i="9"/>
  <c r="AC7" i="9"/>
  <c r="W28" i="8"/>
  <c r="Z37" i="9"/>
  <c r="Y10" i="9"/>
  <c r="T142" i="8"/>
  <c r="S144" i="8"/>
  <c r="V48" i="1"/>
  <c r="P12" i="9"/>
  <c r="W133" i="8"/>
  <c r="V103" i="1"/>
  <c r="S222" i="8"/>
  <c r="S71" i="8"/>
  <c r="S55" i="8"/>
  <c r="S159" i="8"/>
  <c r="W128" i="8"/>
  <c r="AB68" i="1"/>
  <c r="AC7" i="8"/>
  <c r="T66" i="8"/>
  <c r="AB6" i="1"/>
  <c r="V184" i="8"/>
  <c r="Z124" i="1"/>
  <c r="S213" i="8"/>
  <c r="Z56" i="1"/>
  <c r="T57" i="1"/>
  <c r="V85" i="1"/>
  <c r="AC200" i="1"/>
  <c r="Z146" i="1"/>
  <c r="AC9" i="9"/>
  <c r="Y169" i="1"/>
  <c r="AB109" i="1"/>
  <c r="W41" i="9"/>
  <c r="W43" i="9"/>
  <c r="S168" i="1"/>
  <c r="S23" i="9"/>
  <c r="W153" i="1"/>
  <c r="Z9" i="9"/>
  <c r="V21" i="9"/>
  <c r="S163" i="8"/>
  <c r="S56" i="9"/>
  <c r="S54" i="9"/>
  <c r="S53" i="9"/>
  <c r="S49" i="9"/>
  <c r="S42" i="9"/>
  <c r="S40" i="9"/>
  <c r="S38" i="9"/>
  <c r="S37" i="9"/>
  <c r="S36" i="9"/>
  <c r="S35" i="9"/>
  <c r="S34" i="9"/>
  <c r="S33" i="9"/>
  <c r="T26" i="9"/>
  <c r="P25" i="9"/>
  <c r="AB23" i="9"/>
  <c r="P21" i="9"/>
  <c r="V20" i="9"/>
  <c r="Z13" i="9"/>
  <c r="S11" i="9"/>
  <c r="S9" i="9"/>
  <c r="S8" i="9"/>
  <c r="S7" i="9"/>
  <c r="S5" i="9"/>
  <c r="S4" i="9"/>
  <c r="S3" i="9"/>
  <c r="Y103" i="8"/>
  <c r="T117" i="8"/>
  <c r="W161" i="8"/>
  <c r="Z147" i="1"/>
  <c r="Z25" i="8"/>
  <c r="V84" i="8"/>
  <c r="S203" i="8"/>
  <c r="V158" i="1"/>
  <c r="T82" i="8"/>
  <c r="AC7" i="1"/>
  <c r="S186" i="1"/>
  <c r="Y155" i="8"/>
  <c r="AC125" i="1"/>
  <c r="Y33" i="8"/>
  <c r="AC85" i="1"/>
  <c r="T206" i="1"/>
  <c r="W52" i="1"/>
  <c r="Y161" i="8"/>
  <c r="W49" i="9"/>
  <c r="Y4" i="8"/>
  <c r="V19" i="1"/>
  <c r="T97" i="1"/>
  <c r="AB177" i="1"/>
  <c r="T185" i="8"/>
  <c r="AB168" i="8"/>
  <c r="AB153" i="8"/>
  <c r="P162" i="1"/>
  <c r="Z178" i="8"/>
  <c r="W205" i="8"/>
  <c r="S39" i="1"/>
  <c r="W109" i="1"/>
  <c r="AB99" i="8"/>
  <c r="AB166" i="4" l="1"/>
  <c r="M178" i="8" s="1"/>
  <c r="T124" i="4"/>
  <c r="E133" i="8" s="1"/>
  <c r="Y194" i="4"/>
  <c r="J208" i="8" s="1"/>
  <c r="Y121" i="2"/>
  <c r="J130" i="1" s="1"/>
  <c r="AB96" i="2"/>
  <c r="M103" i="1" s="1"/>
  <c r="X185" i="2"/>
  <c r="I199" i="1" s="1"/>
  <c r="Q219" i="4"/>
  <c r="B222" i="8" s="1"/>
  <c r="X219" i="4"/>
  <c r="I222" i="8" s="1"/>
  <c r="X213" i="4"/>
  <c r="Q213" i="4"/>
  <c r="B216" i="8" s="1"/>
  <c r="X220" i="4"/>
  <c r="I223" i="8" s="1"/>
  <c r="Q220" i="4"/>
  <c r="B223" i="8" s="1"/>
  <c r="X212" i="4"/>
  <c r="I215" i="8" s="1"/>
  <c r="Q212" i="4"/>
  <c r="B215" i="8" s="1"/>
  <c r="X218" i="4"/>
  <c r="I221" i="8" s="1"/>
  <c r="Q218" i="4"/>
  <c r="B221" i="8" s="1"/>
  <c r="X214" i="4"/>
  <c r="Q214" i="4"/>
  <c r="B217" i="8" s="1"/>
  <c r="X217" i="4"/>
  <c r="Q217" i="4"/>
  <c r="B220" i="8" s="1"/>
  <c r="X216" i="4"/>
  <c r="I219" i="8" s="1"/>
  <c r="Q216" i="4"/>
  <c r="B219" i="8" s="1"/>
  <c r="Q215" i="4"/>
  <c r="B218" i="8" s="1"/>
  <c r="X215" i="4"/>
  <c r="I218" i="8" s="1"/>
  <c r="X144" i="4"/>
  <c r="I155" i="8" s="1"/>
  <c r="Y87" i="4"/>
  <c r="J94" i="8" s="1"/>
  <c r="Y9" i="2"/>
  <c r="J10" i="1" s="1"/>
  <c r="Y107" i="4"/>
  <c r="J115" i="8" s="1"/>
  <c r="AB136" i="4"/>
  <c r="M146" i="8" s="1"/>
  <c r="AB23" i="4"/>
  <c r="M25" i="8" s="1"/>
  <c r="Z189" i="4"/>
  <c r="K203" i="8" s="1"/>
  <c r="Z148" i="4"/>
  <c r="K159" i="8" s="1"/>
  <c r="Z51" i="4"/>
  <c r="K55" i="8" s="1"/>
  <c r="AA148" i="2"/>
  <c r="L159" i="1" s="1"/>
  <c r="R176" i="4"/>
  <c r="C189" i="8" s="1"/>
  <c r="Z94" i="4"/>
  <c r="K101" i="8" s="1"/>
  <c r="Q2" i="2"/>
  <c r="B3" i="1" s="1"/>
  <c r="X210" i="4"/>
  <c r="I213" i="8" s="1"/>
  <c r="X149" i="2"/>
  <c r="I160" i="1" s="1"/>
  <c r="X158" i="4"/>
  <c r="I170" i="8" s="1"/>
  <c r="X193" i="2"/>
  <c r="I207" i="1" s="1"/>
  <c r="Q8" i="2"/>
  <c r="B9" i="1" s="1"/>
  <c r="AB96" i="4"/>
  <c r="M103" i="8" s="1"/>
  <c r="Y26" i="4"/>
  <c r="J28" i="8" s="1"/>
  <c r="Y67" i="4"/>
  <c r="J72" i="8" s="1"/>
  <c r="AA76" i="4"/>
  <c r="L82" i="8" s="1"/>
  <c r="T76" i="4"/>
  <c r="E82" i="8" s="1"/>
  <c r="T147" i="2"/>
  <c r="E158" i="1" s="1"/>
  <c r="AA147" i="2"/>
  <c r="L158" i="1" s="1"/>
  <c r="AA106" i="4"/>
  <c r="L114" i="8" s="1"/>
  <c r="T106" i="4"/>
  <c r="E114" i="8" s="1"/>
  <c r="Z79" i="4"/>
  <c r="K85" i="8" s="1"/>
  <c r="S79" i="4"/>
  <c r="D85" i="8" s="1"/>
  <c r="Y122" i="2"/>
  <c r="J131" i="1" s="1"/>
  <c r="R122" i="2"/>
  <c r="C131" i="1" s="1"/>
  <c r="S178" i="2"/>
  <c r="D191" i="1" s="1"/>
  <c r="Z178" i="2"/>
  <c r="K191" i="1" s="1"/>
  <c r="S66" i="4"/>
  <c r="D71" i="8" s="1"/>
  <c r="Z66" i="4"/>
  <c r="K71" i="8" s="1"/>
  <c r="T178" i="4"/>
  <c r="E191" i="8" s="1"/>
  <c r="AA178" i="4"/>
  <c r="L191" i="8" s="1"/>
  <c r="S220" i="4"/>
  <c r="D223" i="8" s="1"/>
  <c r="Z220" i="4"/>
  <c r="K223" i="8" s="1"/>
  <c r="S39" i="2"/>
  <c r="D42" i="1" s="1"/>
  <c r="Z39" i="2"/>
  <c r="K42" i="1" s="1"/>
  <c r="Q91" i="4"/>
  <c r="B98" i="8" s="1"/>
  <c r="Q165" i="2"/>
  <c r="B177" i="1" s="1"/>
  <c r="Z178" i="4"/>
  <c r="K191" i="8" s="1"/>
  <c r="U190" i="4"/>
  <c r="F204" i="8" s="1"/>
  <c r="T216" i="4"/>
  <c r="E219" i="8" s="1"/>
  <c r="AA81" i="4"/>
  <c r="L87" i="8" s="1"/>
  <c r="T81" i="4"/>
  <c r="E87" i="8" s="1"/>
  <c r="AB40" i="2"/>
  <c r="M43" i="1" s="1"/>
  <c r="U40" i="2"/>
  <c r="F43" i="1" s="1"/>
  <c r="AB138" i="4"/>
  <c r="M148" i="8" s="1"/>
  <c r="U138" i="4"/>
  <c r="F148" i="8" s="1"/>
  <c r="U50" i="4"/>
  <c r="F54" i="8" s="1"/>
  <c r="AB50" i="4"/>
  <c r="M54" i="8" s="1"/>
  <c r="AB37" i="2"/>
  <c r="M40" i="1" s="1"/>
  <c r="U37" i="2"/>
  <c r="F40" i="1" s="1"/>
  <c r="U217" i="4"/>
  <c r="F220" i="8" s="1"/>
  <c r="AB217" i="4"/>
  <c r="M220" i="8" s="1"/>
  <c r="U121" i="4"/>
  <c r="F130" i="8" s="1"/>
  <c r="AB121" i="4"/>
  <c r="M130" i="8" s="1"/>
  <c r="Q133" i="4"/>
  <c r="B143" i="8" s="1"/>
  <c r="Q90" i="4"/>
  <c r="B97" i="8" s="1"/>
  <c r="S107" i="4"/>
  <c r="D115" i="8" s="1"/>
  <c r="T137" i="2"/>
  <c r="E147" i="1" s="1"/>
  <c r="R34" i="2"/>
  <c r="C37" i="1" s="1"/>
  <c r="AB3" i="2"/>
  <c r="M4" i="1" s="1"/>
  <c r="Z59" i="4"/>
  <c r="K64" i="8" s="1"/>
  <c r="S59" i="4"/>
  <c r="D64" i="8" s="1"/>
  <c r="R144" i="2"/>
  <c r="C155" i="1" s="1"/>
  <c r="Y144" i="2"/>
  <c r="J155" i="1" s="1"/>
  <c r="S173" i="2"/>
  <c r="D186" i="1" s="1"/>
  <c r="Z173" i="2"/>
  <c r="K186" i="1" s="1"/>
  <c r="S33" i="4"/>
  <c r="D36" i="8" s="1"/>
  <c r="Z33" i="4"/>
  <c r="K36" i="8" s="1"/>
  <c r="Z159" i="4"/>
  <c r="K171" i="8" s="1"/>
  <c r="S159" i="4"/>
  <c r="D171" i="8" s="1"/>
  <c r="AB94" i="2"/>
  <c r="M101" i="1" s="1"/>
  <c r="U68" i="4"/>
  <c r="F73" i="8" s="1"/>
  <c r="S149" i="4"/>
  <c r="D160" i="8" s="1"/>
  <c r="U193" i="4"/>
  <c r="F207" i="8" s="1"/>
  <c r="U22" i="4"/>
  <c r="F24" i="8" s="1"/>
  <c r="AA39" i="2"/>
  <c r="L42" i="1" s="1"/>
  <c r="Y177" i="2"/>
  <c r="J190" i="1" s="1"/>
  <c r="AA191" i="4"/>
  <c r="L205" i="8" s="1"/>
  <c r="Z219" i="4"/>
  <c r="K222" i="8" s="1"/>
  <c r="AA21" i="4"/>
  <c r="L23" i="8" s="1"/>
  <c r="Q30" i="2"/>
  <c r="B33" i="1" s="1"/>
  <c r="X189" i="2"/>
  <c r="I203" i="1" s="1"/>
  <c r="Z36" i="2"/>
  <c r="K39" i="1" s="1"/>
  <c r="U215" i="4"/>
  <c r="F218" i="8" s="1"/>
  <c r="Q103" i="2"/>
  <c r="B111" i="1" s="1"/>
  <c r="Q114" i="4"/>
  <c r="B123" i="8" s="1"/>
  <c r="AB150" i="4"/>
  <c r="M161" i="8" s="1"/>
  <c r="T10" i="4"/>
  <c r="E11" i="8" s="1"/>
  <c r="Y92" i="2"/>
  <c r="J99" i="1" s="1"/>
  <c r="R12" i="2"/>
  <c r="C13" i="1" s="1"/>
  <c r="R160" i="4"/>
  <c r="C172" i="8" s="1"/>
  <c r="U117" i="2"/>
  <c r="F126" i="1" s="1"/>
  <c r="T34" i="4"/>
  <c r="E37" i="8" s="1"/>
  <c r="Y32" i="2"/>
  <c r="J35" i="1" s="1"/>
  <c r="Z214" i="4"/>
  <c r="K217" i="8" s="1"/>
  <c r="AB7" i="2"/>
  <c r="M8" i="1" s="1"/>
  <c r="Y118" i="4"/>
  <c r="J127" i="8" s="1"/>
  <c r="Y88" i="2"/>
  <c r="J95" i="1" s="1"/>
  <c r="T119" i="4"/>
  <c r="E128" i="8" s="1"/>
  <c r="Z77" i="4"/>
  <c r="K83" i="8" s="1"/>
  <c r="S88" i="4"/>
  <c r="D95" i="8" s="1"/>
  <c r="T210" i="4"/>
  <c r="E213" i="8" s="1"/>
  <c r="R68" i="2"/>
  <c r="C73" i="1" s="1"/>
  <c r="AA178" i="2"/>
  <c r="L191" i="1" s="1"/>
  <c r="U194" i="4"/>
  <c r="F208" i="8" s="1"/>
  <c r="Y114" i="4"/>
  <c r="J123" i="8" s="1"/>
  <c r="AA148" i="4"/>
  <c r="L159" i="8" s="1"/>
  <c r="S10" i="2"/>
  <c r="D11" i="1" s="1"/>
  <c r="Z35" i="2"/>
  <c r="K38" i="1" s="1"/>
  <c r="T117" i="4"/>
  <c r="E126" i="8" s="1"/>
  <c r="S86" i="2"/>
  <c r="D93" i="1" s="1"/>
  <c r="R116" i="4"/>
  <c r="C125" i="8" s="1"/>
  <c r="X32" i="4"/>
  <c r="I35" i="8" s="1"/>
  <c r="X187" i="2"/>
  <c r="I201" i="1" s="1"/>
  <c r="X46" i="4"/>
  <c r="I50" i="8" s="1"/>
  <c r="S26" i="4"/>
  <c r="D28" i="8" s="1"/>
  <c r="T189" i="4"/>
  <c r="E203" i="8" s="1"/>
  <c r="X123" i="4"/>
  <c r="I132" i="8" s="1"/>
  <c r="Q81" i="2"/>
  <c r="B87" i="1" s="1"/>
  <c r="X175" i="4"/>
  <c r="I188" i="8" s="1"/>
  <c r="Y179" i="4"/>
  <c r="J192" i="8" s="1"/>
  <c r="U124" i="4"/>
  <c r="F133" i="8" s="1"/>
  <c r="Q190" i="2"/>
  <c r="B204" i="1" s="1"/>
  <c r="Q18" i="2"/>
  <c r="B20" i="1" s="1"/>
  <c r="X166" i="2"/>
  <c r="I178" i="1" s="1"/>
  <c r="Z67" i="4"/>
  <c r="K72" i="8" s="1"/>
  <c r="S122" i="2"/>
  <c r="D131" i="1" s="1"/>
  <c r="U51" i="4"/>
  <c r="F55" i="8" s="1"/>
  <c r="S176" i="4"/>
  <c r="D189" i="8" s="1"/>
  <c r="AA66" i="4"/>
  <c r="L71" i="8" s="1"/>
  <c r="Z121" i="2"/>
  <c r="K130" i="1" s="1"/>
  <c r="U39" i="4"/>
  <c r="F42" i="8" s="1"/>
  <c r="AA61" i="4"/>
  <c r="L66" i="8" s="1"/>
  <c r="T109" i="4"/>
  <c r="E117" i="8" s="1"/>
  <c r="T60" i="4"/>
  <c r="E65" i="8" s="1"/>
  <c r="Z151" i="4"/>
  <c r="K162" i="8" s="1"/>
  <c r="R82" i="4"/>
  <c r="C88" i="8" s="1"/>
  <c r="Z177" i="2"/>
  <c r="K190" i="1" s="1"/>
  <c r="AB39" i="2"/>
  <c r="M42" i="1" s="1"/>
  <c r="AB178" i="4"/>
  <c r="M191" i="8" s="1"/>
  <c r="U78" i="4"/>
  <c r="F84" i="8" s="1"/>
  <c r="X101" i="4"/>
  <c r="I109" i="8" s="1"/>
  <c r="AB38" i="4"/>
  <c r="M41" i="8" s="1"/>
  <c r="R8" i="4"/>
  <c r="C9" i="8" s="1"/>
  <c r="Y54" i="4"/>
  <c r="J58" i="8" s="1"/>
  <c r="S152" i="2"/>
  <c r="D163" i="1" s="1"/>
  <c r="S48" i="4"/>
  <c r="D52" i="8" s="1"/>
  <c r="T101" i="4"/>
  <c r="E109" i="8" s="1"/>
  <c r="S2" i="4"/>
  <c r="D3" i="8" s="1"/>
  <c r="X134" i="2"/>
  <c r="I144" i="1" s="1"/>
  <c r="R109" i="4"/>
  <c r="C117" i="8" s="1"/>
  <c r="S106" i="4"/>
  <c r="D114" i="8" s="1"/>
  <c r="R76" i="4"/>
  <c r="C82" i="8" s="1"/>
  <c r="AB180" i="2"/>
  <c r="M193" i="1" s="1"/>
  <c r="Y94" i="4"/>
  <c r="J101" i="8" s="1"/>
  <c r="Z96" i="2"/>
  <c r="K103" i="1" s="1"/>
  <c r="AA96" i="4"/>
  <c r="L103" i="8" s="1"/>
  <c r="S124" i="4"/>
  <c r="D133" i="8" s="1"/>
  <c r="AA165" i="4"/>
  <c r="L177" i="8" s="1"/>
  <c r="T193" i="4"/>
  <c r="E207" i="8" s="1"/>
  <c r="X40" i="2"/>
  <c r="I43" i="1" s="1"/>
  <c r="Q116" i="4"/>
  <c r="B125" i="8" s="1"/>
  <c r="Q73" i="4"/>
  <c r="B79" i="8" s="1"/>
  <c r="X38" i="4"/>
  <c r="I41" i="8" s="1"/>
  <c r="X150" i="4"/>
  <c r="I161" i="8" s="1"/>
  <c r="AA68" i="4"/>
  <c r="L73" i="8" s="1"/>
  <c r="Y148" i="4"/>
  <c r="J159" i="8" s="1"/>
  <c r="U11" i="2"/>
  <c r="F12" i="1" s="1"/>
  <c r="T23" i="4"/>
  <c r="E25" i="8" s="1"/>
  <c r="S119" i="4"/>
  <c r="D128" i="8" s="1"/>
  <c r="AA22" i="4"/>
  <c r="L24" i="8" s="1"/>
  <c r="Y36" i="2"/>
  <c r="J39" i="1" s="1"/>
  <c r="T94" i="2"/>
  <c r="E101" i="1" s="1"/>
  <c r="Y66" i="4"/>
  <c r="J71" i="8" s="1"/>
  <c r="S150" i="4"/>
  <c r="D161" i="8" s="1"/>
  <c r="S49" i="4"/>
  <c r="D53" i="8" s="1"/>
  <c r="Y77" i="4"/>
  <c r="J83" i="8" s="1"/>
  <c r="AA215" i="4"/>
  <c r="L218" i="8" s="1"/>
  <c r="Q47" i="2"/>
  <c r="B51" i="1" s="1"/>
  <c r="X102" i="2"/>
  <c r="I110" i="1" s="1"/>
  <c r="Q81" i="4"/>
  <c r="B87" i="8" s="1"/>
  <c r="X90" i="4"/>
  <c r="I97" i="8" s="1"/>
  <c r="Q119" i="2"/>
  <c r="B128" i="1" s="1"/>
  <c r="Y149" i="4"/>
  <c r="J160" i="8" s="1"/>
  <c r="Y178" i="2"/>
  <c r="J191" i="1" s="1"/>
  <c r="AB61" i="2"/>
  <c r="M66" i="1" s="1"/>
  <c r="Z73" i="2"/>
  <c r="K79" i="1" s="1"/>
  <c r="AA3" i="4"/>
  <c r="L4" i="8" s="1"/>
  <c r="Y24" i="2"/>
  <c r="J26" i="1" s="1"/>
  <c r="Z5" i="4"/>
  <c r="K6" i="8" s="1"/>
  <c r="Q110" i="4"/>
  <c r="B118" i="8" s="1"/>
  <c r="R160" i="2"/>
  <c r="C172" i="1" s="1"/>
  <c r="AA174" i="4"/>
  <c r="L187" i="8" s="1"/>
  <c r="R61" i="4"/>
  <c r="C66" i="8" s="1"/>
  <c r="T4" i="4"/>
  <c r="E5" i="8" s="1"/>
  <c r="U6" i="2"/>
  <c r="F7" i="1" s="1"/>
  <c r="AA30" i="4"/>
  <c r="L33" i="8" s="1"/>
  <c r="Y156" i="2"/>
  <c r="J168" i="1" s="1"/>
  <c r="T44" i="2"/>
  <c r="E48" i="1" s="1"/>
  <c r="R92" i="4"/>
  <c r="C99" i="8" s="1"/>
  <c r="Q33" i="4"/>
  <c r="B36" i="8" s="1"/>
  <c r="AB151" i="2"/>
  <c r="M162" i="1" s="1"/>
  <c r="S10" i="4"/>
  <c r="D11" i="8" s="1"/>
  <c r="Z148" i="2"/>
  <c r="K159" i="1" s="1"/>
  <c r="Y189" i="4"/>
  <c r="J203" i="8" s="1"/>
  <c r="Y173" i="2"/>
  <c r="J186" i="1" s="1"/>
  <c r="Y161" i="4"/>
  <c r="J173" i="8" s="1"/>
  <c r="AA144" i="4"/>
  <c r="L155" i="8" s="1"/>
  <c r="Z32" i="4"/>
  <c r="K35" i="8" s="1"/>
  <c r="AB68" i="2"/>
  <c r="M73" i="1" s="1"/>
  <c r="T52" i="2"/>
  <c r="E56" i="1" s="1"/>
  <c r="AB48" i="2"/>
  <c r="M52" i="1" s="1"/>
  <c r="Y219" i="4"/>
  <c r="J222" i="8" s="1"/>
  <c r="S191" i="4"/>
  <c r="D205" i="8" s="1"/>
  <c r="Y38" i="4"/>
  <c r="J41" i="8" s="1"/>
  <c r="AB142" i="4"/>
  <c r="M153" i="8" s="1"/>
  <c r="Y91" i="2"/>
  <c r="J98" i="1" s="1"/>
  <c r="AB5" i="2"/>
  <c r="M6" i="1" s="1"/>
  <c r="S117" i="2"/>
  <c r="D126" i="1" s="1"/>
  <c r="U120" i="2"/>
  <c r="F129" i="1" s="1"/>
  <c r="U149" i="2"/>
  <c r="F160" i="1" s="1"/>
  <c r="Y220" i="4"/>
  <c r="J223" i="8" s="1"/>
  <c r="U6" i="4"/>
  <c r="F7" i="8" s="1"/>
  <c r="Z147" i="2"/>
  <c r="K158" i="1" s="1"/>
  <c r="T166" i="4"/>
  <c r="E178" i="8" s="1"/>
  <c r="T7" i="2"/>
  <c r="E8" i="1" s="1"/>
  <c r="AB63" i="2"/>
  <c r="M68" i="1" s="1"/>
  <c r="Y89" i="4"/>
  <c r="J96" i="8" s="1"/>
  <c r="R79" i="4"/>
  <c r="C85" i="8" s="1"/>
  <c r="U116" i="2"/>
  <c r="F125" i="1" s="1"/>
  <c r="Z31" i="4"/>
  <c r="K34" i="8" s="1"/>
  <c r="R90" i="2"/>
  <c r="C97" i="1" s="1"/>
  <c r="U102" i="4"/>
  <c r="F110" i="8" s="1"/>
  <c r="R33" i="4"/>
  <c r="C36" i="8" s="1"/>
  <c r="Z21" i="4"/>
  <c r="K23" i="8" s="1"/>
  <c r="Q102" i="2"/>
  <c r="B110" i="1" s="1"/>
  <c r="AB40" i="4"/>
  <c r="M43" i="8" s="1"/>
  <c r="Z78" i="4"/>
  <c r="K84" i="8" s="1"/>
  <c r="AB93" i="2"/>
  <c r="M100" i="1" s="1"/>
  <c r="Y117" i="4"/>
  <c r="J126" i="8" s="1"/>
  <c r="Y51" i="4"/>
  <c r="J55" i="8" s="1"/>
  <c r="R172" i="4"/>
  <c r="C185" i="8" s="1"/>
  <c r="U100" i="4"/>
  <c r="F108" i="8" s="1"/>
  <c r="Y170" i="4"/>
  <c r="J183" i="8" s="1"/>
  <c r="U146" i="4"/>
  <c r="F157" i="8" s="1"/>
  <c r="Z143" i="4"/>
  <c r="K154" i="8" s="1"/>
  <c r="AA171" i="2"/>
  <c r="L184" i="1" s="1"/>
  <c r="Y159" i="2"/>
  <c r="J171" i="1" s="1"/>
  <c r="X173" i="2"/>
  <c r="I186" i="1" s="1"/>
  <c r="T138" i="2"/>
  <c r="E148" i="1" s="1"/>
  <c r="T58" i="4"/>
  <c r="E63" i="8" s="1"/>
  <c r="Z39" i="4"/>
  <c r="K42" i="8" s="1"/>
  <c r="R53" i="2"/>
  <c r="C57" i="1" s="1"/>
  <c r="AB92" i="4"/>
  <c r="M99" i="8" s="1"/>
  <c r="Q187" i="2"/>
  <c r="B201" i="1" s="1"/>
  <c r="Z171" i="4"/>
  <c r="K184" i="8" s="1"/>
  <c r="X166" i="4"/>
  <c r="I178" i="8" s="1"/>
  <c r="X184" i="4"/>
  <c r="I198" i="8" s="1"/>
  <c r="X94" i="2"/>
  <c r="I101" i="1" s="1"/>
  <c r="AB76" i="4"/>
  <c r="M82" i="8" s="1"/>
  <c r="R9" i="4"/>
  <c r="C10" i="8" s="1"/>
  <c r="Y151" i="4"/>
  <c r="J162" i="8" s="1"/>
  <c r="AB82" i="2"/>
  <c r="M88" i="1" s="1"/>
  <c r="T149" i="4"/>
  <c r="E160" i="8" s="1"/>
  <c r="Y36" i="4"/>
  <c r="J39" i="8" s="1"/>
  <c r="T78" i="4"/>
  <c r="E84" i="8" s="1"/>
  <c r="T171" i="4"/>
  <c r="E184" i="8" s="1"/>
  <c r="Q166" i="4"/>
  <c r="B178" i="8" s="1"/>
  <c r="AA49" i="4"/>
  <c r="L53" i="8" s="1"/>
  <c r="AB214" i="4"/>
  <c r="M217" i="8" s="1"/>
  <c r="S12" i="2"/>
  <c r="D13" i="1" s="1"/>
  <c r="AA5" i="4"/>
  <c r="L6" i="8" s="1"/>
  <c r="U144" i="4"/>
  <c r="F155" i="8" s="1"/>
  <c r="S91" i="2"/>
  <c r="D98" i="1" s="1"/>
  <c r="Z90" i="2"/>
  <c r="K97" i="1" s="1"/>
  <c r="U115" i="2"/>
  <c r="F124" i="1" s="1"/>
  <c r="R133" i="2"/>
  <c r="C143" i="1" s="1"/>
  <c r="T189" i="2"/>
  <c r="E203" i="1" s="1"/>
  <c r="Q75" i="4"/>
  <c r="B81" i="8" s="1"/>
  <c r="Q54" i="2"/>
  <c r="B58" i="1" s="1"/>
  <c r="Q66" i="4"/>
  <c r="B71" i="8" s="1"/>
  <c r="Q40" i="4"/>
  <c r="B43" i="8" s="1"/>
  <c r="T34" i="2"/>
  <c r="E37" i="1" s="1"/>
  <c r="Q6" i="4"/>
  <c r="B7" i="8" s="1"/>
  <c r="AA219" i="4"/>
  <c r="L222" i="8" s="1"/>
  <c r="Y44" i="4"/>
  <c r="J48" i="8" s="1"/>
  <c r="T190" i="2"/>
  <c r="E204" i="1" s="1"/>
  <c r="U5" i="4"/>
  <c r="F6" i="8" s="1"/>
  <c r="S66" i="2"/>
  <c r="D71" i="1" s="1"/>
  <c r="T186" i="2"/>
  <c r="E200" i="1" s="1"/>
  <c r="Z109" i="4"/>
  <c r="K117" i="8" s="1"/>
  <c r="Q86" i="2"/>
  <c r="B93" i="1" s="1"/>
  <c r="X136" i="2"/>
  <c r="I146" i="1" s="1"/>
  <c r="Q184" i="4"/>
  <c r="B198" i="8" s="1"/>
  <c r="Q175" i="2"/>
  <c r="B188" i="1" s="1"/>
  <c r="Q94" i="2"/>
  <c r="B101" i="1" s="1"/>
  <c r="R25" i="2"/>
  <c r="C27" i="1" s="1"/>
  <c r="T149" i="2"/>
  <c r="E160" i="1" s="1"/>
  <c r="X8" i="2"/>
  <c r="I9" i="1" s="1"/>
  <c r="Q118" i="2"/>
  <c r="B127" i="1" s="1"/>
  <c r="X63" i="2"/>
  <c r="I68" i="1" s="1"/>
  <c r="Z215" i="4"/>
  <c r="K218" i="8" s="1"/>
  <c r="X23" i="2"/>
  <c r="I25" i="1" s="1"/>
  <c r="Q19" i="2"/>
  <c r="B21" i="1" s="1"/>
  <c r="X122" i="2"/>
  <c r="I131" i="1" s="1"/>
  <c r="AB156" i="2"/>
  <c r="M168" i="1" s="1"/>
  <c r="AA18" i="2"/>
  <c r="L20" i="1" s="1"/>
  <c r="Q46" i="4"/>
  <c r="B50" i="8" s="1"/>
  <c r="X47" i="2"/>
  <c r="I51" i="1" s="1"/>
  <c r="Z87" i="4"/>
  <c r="K94" i="8" s="1"/>
  <c r="U60" i="2"/>
  <c r="F65" i="1" s="1"/>
  <c r="AB60" i="2"/>
  <c r="M65" i="1" s="1"/>
  <c r="AB164" i="2"/>
  <c r="M176" i="1" s="1"/>
  <c r="U164" i="2"/>
  <c r="F176" i="1" s="1"/>
  <c r="Q120" i="2"/>
  <c r="B129" i="1" s="1"/>
  <c r="X120" i="2"/>
  <c r="I129" i="1" s="1"/>
  <c r="T121" i="2"/>
  <c r="E130" i="1" s="1"/>
  <c r="Y218" i="4"/>
  <c r="J221" i="8" s="1"/>
  <c r="R218" i="4"/>
  <c r="C221" i="8" s="1"/>
  <c r="U220" i="4"/>
  <c r="F223" i="8" s="1"/>
  <c r="AB220" i="4"/>
  <c r="M223" i="8" s="1"/>
  <c r="T26" i="4"/>
  <c r="E28" i="8" s="1"/>
  <c r="AA12" i="2"/>
  <c r="L13" i="1" s="1"/>
  <c r="T123" i="2"/>
  <c r="E132" i="1" s="1"/>
  <c r="U66" i="2"/>
  <c r="F71" i="1" s="1"/>
  <c r="AB66" i="2"/>
  <c r="M71" i="1" s="1"/>
  <c r="X30" i="2"/>
  <c r="I33" i="1" s="1"/>
  <c r="T10" i="2"/>
  <c r="E11" i="1" s="1"/>
  <c r="AA10" i="2"/>
  <c r="L11" i="1" s="1"/>
  <c r="AA122" i="2"/>
  <c r="L131" i="1" s="1"/>
  <c r="T122" i="2"/>
  <c r="E131" i="1" s="1"/>
  <c r="Y25" i="4"/>
  <c r="J27" i="8" s="1"/>
  <c r="R25" i="4"/>
  <c r="C27" i="8" s="1"/>
  <c r="Z68" i="2"/>
  <c r="K73" i="1" s="1"/>
  <c r="S68" i="2"/>
  <c r="D73" i="1" s="1"/>
  <c r="X50" i="4"/>
  <c r="I54" i="8" s="1"/>
  <c r="Q50" i="4"/>
  <c r="B54" i="8" s="1"/>
  <c r="U94" i="4"/>
  <c r="F101" i="8" s="1"/>
  <c r="U66" i="4"/>
  <c r="F71" i="8" s="1"/>
  <c r="X142" i="4"/>
  <c r="I153" i="8" s="1"/>
  <c r="Q159" i="4"/>
  <c r="B171" i="8" s="1"/>
  <c r="X159" i="4"/>
  <c r="I171" i="8" s="1"/>
  <c r="X76" i="4"/>
  <c r="I82" i="8" s="1"/>
  <c r="Q59" i="4"/>
  <c r="B64" i="8" s="1"/>
  <c r="X30" i="4"/>
  <c r="I33" i="8" s="1"/>
  <c r="X145" i="4"/>
  <c r="I156" i="8" s="1"/>
  <c r="X143" i="4"/>
  <c r="I154" i="8" s="1"/>
  <c r="Q143" i="4"/>
  <c r="B154" i="8" s="1"/>
  <c r="Y158" i="4"/>
  <c r="J170" i="8" s="1"/>
  <c r="U189" i="4"/>
  <c r="F203" i="8" s="1"/>
  <c r="AA9" i="2"/>
  <c r="L10" i="1" s="1"/>
  <c r="R33" i="2"/>
  <c r="C36" i="1" s="1"/>
  <c r="AB91" i="2"/>
  <c r="M98" i="1" s="1"/>
  <c r="Z37" i="2"/>
  <c r="K40" i="1" s="1"/>
  <c r="Q101" i="2"/>
  <c r="B109" i="1" s="1"/>
  <c r="X101" i="2"/>
  <c r="I109" i="1" s="1"/>
  <c r="AA143" i="4"/>
  <c r="L154" i="8" s="1"/>
  <c r="T143" i="4"/>
  <c r="E154" i="8" s="1"/>
  <c r="Q149" i="4"/>
  <c r="B160" i="8" s="1"/>
  <c r="X149" i="4"/>
  <c r="I160" i="8" s="1"/>
  <c r="T191" i="2"/>
  <c r="E205" i="1" s="1"/>
  <c r="AA191" i="2"/>
  <c r="L205" i="1" s="1"/>
  <c r="U53" i="2"/>
  <c r="F57" i="1" s="1"/>
  <c r="X40" i="4"/>
  <c r="I43" i="8" s="1"/>
  <c r="Q118" i="4"/>
  <c r="B127" i="8" s="1"/>
  <c r="X118" i="4"/>
  <c r="I127" i="8" s="1"/>
  <c r="U79" i="2"/>
  <c r="F85" i="1" s="1"/>
  <c r="Z22" i="2"/>
  <c r="K24" i="1" s="1"/>
  <c r="T73" i="4"/>
  <c r="E79" i="8" s="1"/>
  <c r="R192" i="2"/>
  <c r="C206" i="1" s="1"/>
  <c r="Q145" i="4"/>
  <c r="B156" i="8" s="1"/>
  <c r="AB156" i="4"/>
  <c r="M168" i="8" s="1"/>
  <c r="T188" i="2"/>
  <c r="E202" i="1" s="1"/>
  <c r="U157" i="2"/>
  <c r="F169" i="1" s="1"/>
  <c r="Q53" i="4"/>
  <c r="B57" i="8" s="1"/>
  <c r="X45" i="4"/>
  <c r="I49" i="8" s="1"/>
  <c r="S24" i="2"/>
  <c r="D26" i="1" s="1"/>
  <c r="Z24" i="2"/>
  <c r="K26" i="1" s="1"/>
  <c r="AA101" i="2"/>
  <c r="L109" i="1" s="1"/>
  <c r="T101" i="2"/>
  <c r="E109" i="1" s="1"/>
  <c r="R115" i="4"/>
  <c r="C124" i="8" s="1"/>
  <c r="Y115" i="4"/>
  <c r="J124" i="8" s="1"/>
  <c r="Z88" i="2"/>
  <c r="K95" i="1" s="1"/>
  <c r="S88" i="2"/>
  <c r="D95" i="1" s="1"/>
  <c r="S212" i="4"/>
  <c r="D215" i="8" s="1"/>
  <c r="Z212" i="4"/>
  <c r="K215" i="8" s="1"/>
  <c r="T88" i="4"/>
  <c r="E95" i="8" s="1"/>
  <c r="AA88" i="4"/>
  <c r="L95" i="8" s="1"/>
  <c r="AA103" i="2"/>
  <c r="L111" i="1" s="1"/>
  <c r="T103" i="2"/>
  <c r="E111" i="1" s="1"/>
  <c r="AA173" i="2"/>
  <c r="L186" i="1" s="1"/>
  <c r="X119" i="2"/>
  <c r="I128" i="1" s="1"/>
  <c r="S101" i="2"/>
  <c r="D109" i="1" s="1"/>
  <c r="AA51" i="2"/>
  <c r="L55" i="1" s="1"/>
  <c r="R138" i="2"/>
  <c r="C148" i="1" s="1"/>
  <c r="AB50" i="2"/>
  <c r="M54" i="1" s="1"/>
  <c r="Y59" i="4"/>
  <c r="J64" i="8" s="1"/>
  <c r="U187" i="2"/>
  <c r="F201" i="1" s="1"/>
  <c r="X54" i="2"/>
  <c r="I58" i="1" s="1"/>
  <c r="Y104" i="2"/>
  <c r="J112" i="1" s="1"/>
  <c r="T115" i="2"/>
  <c r="E124" i="1" s="1"/>
  <c r="X178" i="4"/>
  <c r="I191" i="8" s="1"/>
  <c r="Q178" i="4"/>
  <c r="B191" i="8" s="1"/>
  <c r="Y145" i="4"/>
  <c r="J156" i="8" s="1"/>
  <c r="R145" i="4"/>
  <c r="C156" i="8" s="1"/>
  <c r="S104" i="4"/>
  <c r="D112" i="8" s="1"/>
  <c r="Z104" i="4"/>
  <c r="K112" i="8" s="1"/>
  <c r="U20" i="2"/>
  <c r="F22" i="1" s="1"/>
  <c r="AB86" i="2"/>
  <c r="M93" i="1" s="1"/>
  <c r="U86" i="2"/>
  <c r="F93" i="1" s="1"/>
  <c r="AA119" i="2"/>
  <c r="L128" i="1" s="1"/>
  <c r="T119" i="2"/>
  <c r="E128" i="1" s="1"/>
  <c r="Z7" i="4"/>
  <c r="K8" i="8" s="1"/>
  <c r="S7" i="4"/>
  <c r="D8" i="8" s="1"/>
  <c r="AA176" i="2"/>
  <c r="L189" i="1" s="1"/>
  <c r="T176" i="2"/>
  <c r="E189" i="1" s="1"/>
  <c r="Y120" i="4"/>
  <c r="J129" i="8" s="1"/>
  <c r="R120" i="4"/>
  <c r="C129" i="8" s="1"/>
  <c r="R162" i="4"/>
  <c r="C174" i="8" s="1"/>
  <c r="Y162" i="4"/>
  <c r="J174" i="8" s="1"/>
  <c r="AB121" i="2"/>
  <c r="M130" i="1" s="1"/>
  <c r="U121" i="2"/>
  <c r="F130" i="1" s="1"/>
  <c r="U9" i="4"/>
  <c r="F10" i="8" s="1"/>
  <c r="AB9" i="4"/>
  <c r="M10" i="8" s="1"/>
  <c r="AA37" i="4"/>
  <c r="L40" i="8" s="1"/>
  <c r="T37" i="4"/>
  <c r="E40" i="8" s="1"/>
  <c r="R163" i="4"/>
  <c r="C175" i="8" s="1"/>
  <c r="Y163" i="4"/>
  <c r="J175" i="8" s="1"/>
  <c r="U10" i="2"/>
  <c r="F11" i="1" s="1"/>
  <c r="AB10" i="2"/>
  <c r="M11" i="1" s="1"/>
  <c r="AB122" i="2"/>
  <c r="M131" i="1" s="1"/>
  <c r="U122" i="2"/>
  <c r="F131" i="1" s="1"/>
  <c r="S24" i="4"/>
  <c r="D26" i="8" s="1"/>
  <c r="Z24" i="4"/>
  <c r="K26" i="8" s="1"/>
  <c r="Y52" i="4"/>
  <c r="J56" i="8" s="1"/>
  <c r="R52" i="4"/>
  <c r="C56" i="8" s="1"/>
  <c r="Y164" i="4"/>
  <c r="J176" i="8" s="1"/>
  <c r="R164" i="4"/>
  <c r="C176" i="8" s="1"/>
  <c r="Z26" i="2"/>
  <c r="K28" i="1" s="1"/>
  <c r="S26" i="2"/>
  <c r="D28" i="1" s="1"/>
  <c r="AA179" i="2"/>
  <c r="L192" i="1" s="1"/>
  <c r="T179" i="2"/>
  <c r="E192" i="1" s="1"/>
  <c r="S25" i="4"/>
  <c r="D27" i="8" s="1"/>
  <c r="Z25" i="4"/>
  <c r="K27" i="8" s="1"/>
  <c r="AB67" i="4"/>
  <c r="M72" i="8" s="1"/>
  <c r="U67" i="4"/>
  <c r="F72" i="8" s="1"/>
  <c r="Z95" i="4"/>
  <c r="K102" i="8" s="1"/>
  <c r="S95" i="4"/>
  <c r="D102" i="8" s="1"/>
  <c r="U12" i="2"/>
  <c r="F13" i="1" s="1"/>
  <c r="AB12" i="2"/>
  <c r="M13" i="1" s="1"/>
  <c r="AB26" i="4"/>
  <c r="M28" i="8" s="1"/>
  <c r="U26" i="4"/>
  <c r="F28" i="8" s="1"/>
  <c r="T82" i="4"/>
  <c r="E88" i="8" s="1"/>
  <c r="AA82" i="4"/>
  <c r="L88" i="8" s="1"/>
  <c r="S110" i="4"/>
  <c r="D118" i="8" s="1"/>
  <c r="Z110" i="4"/>
  <c r="K118" i="8" s="1"/>
  <c r="S180" i="4"/>
  <c r="D193" i="8" s="1"/>
  <c r="Z180" i="4"/>
  <c r="K193" i="8" s="1"/>
  <c r="U138" i="2"/>
  <c r="F148" i="1" s="1"/>
  <c r="AB138" i="2"/>
  <c r="M148" i="1" s="1"/>
  <c r="Y46" i="2"/>
  <c r="J50" i="1" s="1"/>
  <c r="R46" i="2"/>
  <c r="C50" i="1" s="1"/>
  <c r="U108" i="2"/>
  <c r="F116" i="1" s="1"/>
  <c r="AB108" i="2"/>
  <c r="M116" i="1" s="1"/>
  <c r="AB123" i="2"/>
  <c r="M132" i="1" s="1"/>
  <c r="Q150" i="4"/>
  <c r="B161" i="8" s="1"/>
  <c r="U76" i="2"/>
  <c r="F82" i="1" s="1"/>
  <c r="AB76" i="2"/>
  <c r="M82" i="1" s="1"/>
  <c r="Y81" i="4"/>
  <c r="J87" i="8" s="1"/>
  <c r="R81" i="4"/>
  <c r="C87" i="8" s="1"/>
  <c r="T132" i="2"/>
  <c r="E142" i="1" s="1"/>
  <c r="AA132" i="2"/>
  <c r="L142" i="1" s="1"/>
  <c r="AB103" i="2"/>
  <c r="M111" i="1" s="1"/>
  <c r="U103" i="2"/>
  <c r="F111" i="1" s="1"/>
  <c r="Y37" i="4"/>
  <c r="J40" i="8" s="1"/>
  <c r="R37" i="4"/>
  <c r="C40" i="8" s="1"/>
  <c r="X133" i="2"/>
  <c r="I143" i="1" s="1"/>
  <c r="Q133" i="2"/>
  <c r="B143" i="1" s="1"/>
  <c r="X158" i="2"/>
  <c r="I170" i="1" s="1"/>
  <c r="Q158" i="2"/>
  <c r="B170" i="1" s="1"/>
  <c r="S163" i="2"/>
  <c r="D175" i="1" s="1"/>
  <c r="Z163" i="2"/>
  <c r="K175" i="1" s="1"/>
  <c r="S145" i="2"/>
  <c r="D156" i="1" s="1"/>
  <c r="Z145" i="2"/>
  <c r="K156" i="1" s="1"/>
  <c r="U117" i="4"/>
  <c r="F126" i="8" s="1"/>
  <c r="AB137" i="2"/>
  <c r="M147" i="1" s="1"/>
  <c r="U23" i="2"/>
  <c r="F25" i="1" s="1"/>
  <c r="S76" i="2"/>
  <c r="D82" i="1" s="1"/>
  <c r="Q24" i="4"/>
  <c r="B26" i="8" s="1"/>
  <c r="X33" i="4"/>
  <c r="I36" i="8" s="1"/>
  <c r="X137" i="2"/>
  <c r="I147" i="1" s="1"/>
  <c r="R138" i="4"/>
  <c r="C148" i="8" s="1"/>
  <c r="T131" i="2"/>
  <c r="E141" i="1" s="1"/>
  <c r="Q17" i="4"/>
  <c r="B19" i="8" s="1"/>
  <c r="Q163" i="4"/>
  <c r="B175" i="8" s="1"/>
  <c r="Y2" i="2"/>
  <c r="J3" i="1" s="1"/>
  <c r="Q62" i="2"/>
  <c r="B67" i="1" s="1"/>
  <c r="X62" i="2"/>
  <c r="I67" i="1" s="1"/>
  <c r="X152" i="4"/>
  <c r="I163" i="8" s="1"/>
  <c r="Q152" i="4"/>
  <c r="B163" i="8" s="1"/>
  <c r="AB119" i="4"/>
  <c r="M128" i="8" s="1"/>
  <c r="U119" i="4"/>
  <c r="F128" i="8" s="1"/>
  <c r="S102" i="2"/>
  <c r="D110" i="1" s="1"/>
  <c r="Z102" i="2"/>
  <c r="K110" i="1" s="1"/>
  <c r="S49" i="2"/>
  <c r="D53" i="1" s="1"/>
  <c r="Z49" i="2"/>
  <c r="K53" i="1" s="1"/>
  <c r="Q30" i="4"/>
  <c r="B33" i="8" s="1"/>
  <c r="X12" i="4"/>
  <c r="I13" i="8" s="1"/>
  <c r="X61" i="2"/>
  <c r="I66" i="1" s="1"/>
  <c r="X131" i="2"/>
  <c r="I141" i="1" s="1"/>
  <c r="X178" i="2"/>
  <c r="I191" i="1" s="1"/>
  <c r="T25" i="4"/>
  <c r="E27" i="8" s="1"/>
  <c r="Q114" i="2"/>
  <c r="B123" i="1" s="1"/>
  <c r="Q108" i="2"/>
  <c r="B116" i="1" s="1"/>
  <c r="Q172" i="4"/>
  <c r="B185" i="8" s="1"/>
  <c r="Y50" i="4"/>
  <c r="J54" i="8" s="1"/>
  <c r="X148" i="2"/>
  <c r="I159" i="1" s="1"/>
  <c r="Q117" i="2"/>
  <c r="B126" i="1" s="1"/>
  <c r="Q77" i="2"/>
  <c r="B83" i="1" s="1"/>
  <c r="X2" i="4"/>
  <c r="I3" i="8" s="1"/>
  <c r="Q2" i="4"/>
  <c r="B3" i="8" s="1"/>
  <c r="R23" i="2"/>
  <c r="C25" i="1" s="1"/>
  <c r="Z160" i="2"/>
  <c r="K172" i="1" s="1"/>
  <c r="S160" i="2"/>
  <c r="D172" i="1" s="1"/>
  <c r="X4" i="4"/>
  <c r="I5" i="8" s="1"/>
  <c r="Q4" i="4"/>
  <c r="B5" i="8" s="1"/>
  <c r="Q3" i="4"/>
  <c r="B4" i="8" s="1"/>
  <c r="X3" i="4"/>
  <c r="I4" i="8" s="1"/>
  <c r="X100" i="2"/>
  <c r="I108" i="1" s="1"/>
  <c r="Q100" i="2"/>
  <c r="B108" i="1" s="1"/>
  <c r="X87" i="2"/>
  <c r="I94" i="1" s="1"/>
  <c r="Q87" i="2"/>
  <c r="B94" i="1" s="1"/>
  <c r="AA104" i="2"/>
  <c r="L112" i="1" s="1"/>
  <c r="T104" i="2"/>
  <c r="E112" i="1" s="1"/>
  <c r="X185" i="4"/>
  <c r="I199" i="8" s="1"/>
  <c r="Q185" i="4"/>
  <c r="B199" i="8" s="1"/>
  <c r="AB47" i="2"/>
  <c r="M51" i="1" s="1"/>
  <c r="U47" i="2"/>
  <c r="F51" i="1" s="1"/>
  <c r="Q172" i="2"/>
  <c r="B185" i="1" s="1"/>
  <c r="X172" i="2"/>
  <c r="I185" i="1" s="1"/>
  <c r="X106" i="4"/>
  <c r="I114" i="8" s="1"/>
  <c r="Q106" i="4"/>
  <c r="B114" i="8" s="1"/>
  <c r="X93" i="2"/>
  <c r="I100" i="1" s="1"/>
  <c r="Q93" i="2"/>
  <c r="B100" i="1" s="1"/>
  <c r="AB132" i="2"/>
  <c r="M142" i="1" s="1"/>
  <c r="U132" i="2"/>
  <c r="F142" i="1" s="1"/>
  <c r="Y79" i="2"/>
  <c r="J85" i="1" s="1"/>
  <c r="R79" i="2"/>
  <c r="C85" i="1" s="1"/>
  <c r="AA135" i="2"/>
  <c r="L145" i="1" s="1"/>
  <c r="T135" i="2"/>
  <c r="E145" i="1" s="1"/>
  <c r="Q63" i="4"/>
  <c r="B68" i="8" s="1"/>
  <c r="X63" i="4"/>
  <c r="I68" i="8" s="1"/>
  <c r="T133" i="2"/>
  <c r="E143" i="1" s="1"/>
  <c r="AA133" i="2"/>
  <c r="L143" i="1" s="1"/>
  <c r="T22" i="2"/>
  <c r="E24" i="1" s="1"/>
  <c r="AA22" i="2"/>
  <c r="L24" i="1" s="1"/>
  <c r="S80" i="2"/>
  <c r="D86" i="1" s="1"/>
  <c r="Z80" i="2"/>
  <c r="K86" i="1" s="1"/>
  <c r="X132" i="2"/>
  <c r="I142" i="1" s="1"/>
  <c r="Q132" i="2"/>
  <c r="B142" i="1" s="1"/>
  <c r="Q49" i="4"/>
  <c r="B53" i="8" s="1"/>
  <c r="X49" i="4"/>
  <c r="I53" i="8" s="1"/>
  <c r="Y164" i="2"/>
  <c r="J176" i="1" s="1"/>
  <c r="R164" i="2"/>
  <c r="C176" i="1" s="1"/>
  <c r="Q47" i="4"/>
  <c r="B51" i="8" s="1"/>
  <c r="X47" i="4"/>
  <c r="I51" i="8" s="1"/>
  <c r="R132" i="2"/>
  <c r="C142" i="1" s="1"/>
  <c r="Y132" i="2"/>
  <c r="J142" i="1" s="1"/>
  <c r="U136" i="2"/>
  <c r="F146" i="1" s="1"/>
  <c r="AB136" i="2"/>
  <c r="M146" i="1" s="1"/>
  <c r="Z134" i="2"/>
  <c r="K144" i="1" s="1"/>
  <c r="S134" i="2"/>
  <c r="D144" i="1" s="1"/>
  <c r="T54" i="2"/>
  <c r="E58" i="1" s="1"/>
  <c r="AA54" i="2"/>
  <c r="L58" i="1" s="1"/>
  <c r="X161" i="4"/>
  <c r="I173" i="8" s="1"/>
  <c r="Q161" i="4"/>
  <c r="B173" i="8" s="1"/>
  <c r="T194" i="2"/>
  <c r="E208" i="1" s="1"/>
  <c r="AA194" i="2"/>
  <c r="L208" i="1" s="1"/>
  <c r="Q134" i="4"/>
  <c r="B144" i="8" s="1"/>
  <c r="X134" i="4"/>
  <c r="I144" i="8" s="1"/>
  <c r="S81" i="2"/>
  <c r="D87" i="1" s="1"/>
  <c r="Z81" i="2"/>
  <c r="K87" i="1" s="1"/>
  <c r="AB194" i="2"/>
  <c r="M208" i="1" s="1"/>
  <c r="U194" i="2"/>
  <c r="F208" i="1" s="1"/>
  <c r="R137" i="2"/>
  <c r="C147" i="1" s="1"/>
  <c r="Y137" i="2"/>
  <c r="J147" i="1" s="1"/>
  <c r="Q64" i="4"/>
  <c r="B69" i="8" s="1"/>
  <c r="X64" i="4"/>
  <c r="I69" i="8" s="1"/>
  <c r="X23" i="4"/>
  <c r="I25" i="8" s="1"/>
  <c r="Q23" i="4"/>
  <c r="B25" i="8" s="1"/>
  <c r="S78" i="2"/>
  <c r="D84" i="1" s="1"/>
  <c r="Z78" i="2"/>
  <c r="K84" i="1" s="1"/>
  <c r="U54" i="2"/>
  <c r="F58" i="1" s="1"/>
  <c r="AB54" i="2"/>
  <c r="M58" i="1" s="1"/>
  <c r="Q109" i="4"/>
  <c r="B117" i="8" s="1"/>
  <c r="X109" i="4"/>
  <c r="I117" i="8" s="1"/>
  <c r="Y109" i="2"/>
  <c r="J117" i="1" s="1"/>
  <c r="R109" i="2"/>
  <c r="C117" i="1" s="1"/>
  <c r="AA107" i="2"/>
  <c r="L115" i="1" s="1"/>
  <c r="T107" i="2"/>
  <c r="E115" i="1" s="1"/>
  <c r="S38" i="4"/>
  <c r="D41" i="8" s="1"/>
  <c r="Z38" i="4"/>
  <c r="K41" i="8" s="1"/>
  <c r="Z11" i="4"/>
  <c r="K12" i="8" s="1"/>
  <c r="S11" i="4"/>
  <c r="D12" i="8" s="1"/>
  <c r="AB2" i="2"/>
  <c r="M3" i="1" s="1"/>
  <c r="U2" i="2"/>
  <c r="F3" i="1" s="1"/>
  <c r="AB58" i="2"/>
  <c r="M63" i="1" s="1"/>
  <c r="U58" i="2"/>
  <c r="F63" i="1" s="1"/>
  <c r="R100" i="2"/>
  <c r="C108" i="1" s="1"/>
  <c r="Y100" i="2"/>
  <c r="J108" i="1" s="1"/>
  <c r="AB170" i="2"/>
  <c r="M183" i="1" s="1"/>
  <c r="U170" i="2"/>
  <c r="F183" i="1" s="1"/>
  <c r="AA2" i="4"/>
  <c r="L3" i="8" s="1"/>
  <c r="T2" i="4"/>
  <c r="E3" i="8" s="1"/>
  <c r="S30" i="4"/>
  <c r="D33" i="8" s="1"/>
  <c r="Z30" i="4"/>
  <c r="K33" i="8" s="1"/>
  <c r="S58" i="4"/>
  <c r="D63" i="8" s="1"/>
  <c r="Z58" i="4"/>
  <c r="K63" i="8" s="1"/>
  <c r="AA100" i="4"/>
  <c r="L108" i="8" s="1"/>
  <c r="T100" i="4"/>
  <c r="E108" i="8" s="1"/>
  <c r="Z142" i="4"/>
  <c r="K153" i="8" s="1"/>
  <c r="S142" i="4"/>
  <c r="D153" i="8" s="1"/>
  <c r="S3" i="2"/>
  <c r="D4" i="1" s="1"/>
  <c r="Z3" i="2"/>
  <c r="K4" i="1" s="1"/>
  <c r="Z59" i="2"/>
  <c r="K64" i="1" s="1"/>
  <c r="S59" i="2"/>
  <c r="D64" i="1" s="1"/>
  <c r="S115" i="2"/>
  <c r="D124" i="1" s="1"/>
  <c r="Z115" i="2"/>
  <c r="K124" i="1" s="1"/>
  <c r="Z171" i="2"/>
  <c r="K184" i="1" s="1"/>
  <c r="S171" i="2"/>
  <c r="D184" i="1" s="1"/>
  <c r="R31" i="4"/>
  <c r="C34" i="8" s="1"/>
  <c r="Y31" i="4"/>
  <c r="J34" i="8" s="1"/>
  <c r="U73" i="4"/>
  <c r="F79" i="8" s="1"/>
  <c r="AB73" i="4"/>
  <c r="M79" i="8" s="1"/>
  <c r="Z101" i="4"/>
  <c r="K109" i="8" s="1"/>
  <c r="S101" i="4"/>
  <c r="D109" i="8" s="1"/>
  <c r="R171" i="4"/>
  <c r="C184" i="8" s="1"/>
  <c r="Y171" i="4"/>
  <c r="J184" i="8" s="1"/>
  <c r="T4" i="2"/>
  <c r="E5" i="1" s="1"/>
  <c r="AA4" i="2"/>
  <c r="L5" i="1" s="1"/>
  <c r="T60" i="2"/>
  <c r="E65" i="1" s="1"/>
  <c r="AA60" i="2"/>
  <c r="L65" i="1" s="1"/>
  <c r="T116" i="2"/>
  <c r="E125" i="1" s="1"/>
  <c r="AA116" i="2"/>
  <c r="L125" i="1" s="1"/>
  <c r="AB172" i="2"/>
  <c r="M185" i="1" s="1"/>
  <c r="U172" i="2"/>
  <c r="F185" i="1" s="1"/>
  <c r="S4" i="4"/>
  <c r="D5" i="8" s="1"/>
  <c r="Z4" i="4"/>
  <c r="K5" i="8" s="1"/>
  <c r="AB46" i="4"/>
  <c r="M50" i="8" s="1"/>
  <c r="U46" i="4"/>
  <c r="F50" i="8" s="1"/>
  <c r="AB74" i="4"/>
  <c r="M80" i="8" s="1"/>
  <c r="U74" i="4"/>
  <c r="F80" i="8" s="1"/>
  <c r="T102" i="4"/>
  <c r="E110" i="8" s="1"/>
  <c r="AA102" i="4"/>
  <c r="L110" i="8" s="1"/>
  <c r="S144" i="4"/>
  <c r="D155" i="8" s="1"/>
  <c r="Z144" i="4"/>
  <c r="K155" i="8" s="1"/>
  <c r="AB186" i="4"/>
  <c r="M200" i="8" s="1"/>
  <c r="U186" i="4"/>
  <c r="F200" i="8" s="1"/>
  <c r="S5" i="2"/>
  <c r="D6" i="1" s="1"/>
  <c r="Z5" i="2"/>
  <c r="K6" i="1" s="1"/>
  <c r="AA61" i="2"/>
  <c r="L66" i="1" s="1"/>
  <c r="T61" i="2"/>
  <c r="E66" i="1" s="1"/>
  <c r="Y117" i="2"/>
  <c r="J126" i="1" s="1"/>
  <c r="R117" i="2"/>
  <c r="C126" i="1" s="1"/>
  <c r="T187" i="2"/>
  <c r="E201" i="1" s="1"/>
  <c r="AA187" i="2"/>
  <c r="L201" i="1" s="1"/>
  <c r="R5" i="4"/>
  <c r="C6" i="8" s="1"/>
  <c r="Y5" i="4"/>
  <c r="J6" i="8" s="1"/>
  <c r="X48" i="4"/>
  <c r="I52" i="8" s="1"/>
  <c r="Q48" i="4"/>
  <c r="B52" i="8" s="1"/>
  <c r="U75" i="4"/>
  <c r="F81" i="8" s="1"/>
  <c r="AB75" i="4"/>
  <c r="M81" i="8" s="1"/>
  <c r="U103" i="4"/>
  <c r="F111" i="8" s="1"/>
  <c r="AB103" i="4"/>
  <c r="M111" i="8" s="1"/>
  <c r="AB145" i="4"/>
  <c r="M156" i="8" s="1"/>
  <c r="U145" i="4"/>
  <c r="F156" i="8" s="1"/>
  <c r="T173" i="4"/>
  <c r="E186" i="8" s="1"/>
  <c r="AA173" i="4"/>
  <c r="L186" i="8" s="1"/>
  <c r="AA6" i="2"/>
  <c r="L7" i="1" s="1"/>
  <c r="T6" i="2"/>
  <c r="E7" i="1" s="1"/>
  <c r="AB62" i="2"/>
  <c r="M67" i="1" s="1"/>
  <c r="U62" i="2"/>
  <c r="F67" i="1" s="1"/>
  <c r="AB118" i="2"/>
  <c r="M127" i="1" s="1"/>
  <c r="U118" i="2"/>
  <c r="F127" i="1" s="1"/>
  <c r="T6" i="4"/>
  <c r="E7" i="8" s="1"/>
  <c r="AA6" i="4"/>
  <c r="L7" i="8" s="1"/>
  <c r="Y48" i="4"/>
  <c r="J52" i="8" s="1"/>
  <c r="R48" i="4"/>
  <c r="C52" i="8" s="1"/>
  <c r="U90" i="4"/>
  <c r="F97" i="8" s="1"/>
  <c r="AB90" i="4"/>
  <c r="M97" i="8" s="1"/>
  <c r="T146" i="4"/>
  <c r="E157" i="8" s="1"/>
  <c r="AA146" i="4"/>
  <c r="L157" i="8" s="1"/>
  <c r="Z174" i="4"/>
  <c r="K187" i="8" s="1"/>
  <c r="S174" i="4"/>
  <c r="D187" i="8" s="1"/>
  <c r="S7" i="2"/>
  <c r="D8" i="1" s="1"/>
  <c r="Z7" i="2"/>
  <c r="K8" i="1" s="1"/>
  <c r="AA63" i="2"/>
  <c r="L68" i="1" s="1"/>
  <c r="T63" i="2"/>
  <c r="E68" i="1" s="1"/>
  <c r="Y147" i="2"/>
  <c r="J158" i="1" s="1"/>
  <c r="R147" i="2"/>
  <c r="C158" i="1" s="1"/>
  <c r="R21" i="4"/>
  <c r="C23" i="8" s="1"/>
  <c r="Y21" i="4"/>
  <c r="J23" i="8" s="1"/>
  <c r="Y49" i="4"/>
  <c r="J53" i="8" s="1"/>
  <c r="R49" i="4"/>
  <c r="C53" i="8" s="1"/>
  <c r="AB91" i="4"/>
  <c r="M98" i="8" s="1"/>
  <c r="U91" i="4"/>
  <c r="F98" i="8" s="1"/>
  <c r="AB147" i="4"/>
  <c r="M158" i="8" s="1"/>
  <c r="U147" i="4"/>
  <c r="F158" i="8" s="1"/>
  <c r="U175" i="4"/>
  <c r="F188" i="8" s="1"/>
  <c r="AB175" i="4"/>
  <c r="M188" i="8" s="1"/>
  <c r="U133" i="4"/>
  <c r="F143" i="8" s="1"/>
  <c r="AB133" i="4"/>
  <c r="M143" i="8" s="1"/>
  <c r="Z64" i="2"/>
  <c r="K69" i="1" s="1"/>
  <c r="S64" i="2"/>
  <c r="D69" i="1" s="1"/>
  <c r="Y148" i="2"/>
  <c r="J159" i="1" s="1"/>
  <c r="R148" i="2"/>
  <c r="C159" i="1" s="1"/>
  <c r="S216" i="4"/>
  <c r="D219" i="8" s="1"/>
  <c r="Z216" i="4"/>
  <c r="K219" i="8" s="1"/>
  <c r="S22" i="4"/>
  <c r="D24" i="8" s="1"/>
  <c r="Z22" i="4"/>
  <c r="K24" i="8" s="1"/>
  <c r="T50" i="4"/>
  <c r="E54" i="8" s="1"/>
  <c r="AA50" i="4"/>
  <c r="L54" i="8" s="1"/>
  <c r="R78" i="4"/>
  <c r="C84" i="8" s="1"/>
  <c r="Y78" i="4"/>
  <c r="J84" i="8" s="1"/>
  <c r="U120" i="4"/>
  <c r="F129" i="8" s="1"/>
  <c r="AB120" i="4"/>
  <c r="M129" i="8" s="1"/>
  <c r="U162" i="4"/>
  <c r="F174" i="8" s="1"/>
  <c r="AB162" i="4"/>
  <c r="M174" i="8" s="1"/>
  <c r="T190" i="4"/>
  <c r="E204" i="8" s="1"/>
  <c r="AA190" i="4"/>
  <c r="L204" i="8" s="1"/>
  <c r="T37" i="2"/>
  <c r="E40" i="1" s="1"/>
  <c r="AA37" i="2"/>
  <c r="L40" i="1" s="1"/>
  <c r="AA93" i="2"/>
  <c r="L100" i="1" s="1"/>
  <c r="T93" i="2"/>
  <c r="E100" i="1" s="1"/>
  <c r="AA217" i="4"/>
  <c r="L220" i="8" s="1"/>
  <c r="T217" i="4"/>
  <c r="E220" i="8" s="1"/>
  <c r="Z23" i="4"/>
  <c r="K25" i="8" s="1"/>
  <c r="S23" i="4"/>
  <c r="D25" i="8" s="1"/>
  <c r="AB65" i="4"/>
  <c r="M70" i="8" s="1"/>
  <c r="U65" i="4"/>
  <c r="F70" i="8" s="1"/>
  <c r="U93" i="4"/>
  <c r="F100" i="8" s="1"/>
  <c r="AB93" i="4"/>
  <c r="M100" i="8" s="1"/>
  <c r="AA121" i="4"/>
  <c r="L130" i="8" s="1"/>
  <c r="T121" i="4"/>
  <c r="E130" i="8" s="1"/>
  <c r="R191" i="4"/>
  <c r="C205" i="8" s="1"/>
  <c r="Y191" i="4"/>
  <c r="J205" i="8" s="1"/>
  <c r="AB38" i="2"/>
  <c r="M41" i="1" s="1"/>
  <c r="U38" i="2"/>
  <c r="F41" i="1" s="1"/>
  <c r="Z94" i="2"/>
  <c r="K101" i="1" s="1"/>
  <c r="S94" i="2"/>
  <c r="D101" i="1" s="1"/>
  <c r="AA150" i="2"/>
  <c r="L161" i="1" s="1"/>
  <c r="T150" i="2"/>
  <c r="E161" i="1" s="1"/>
  <c r="Z193" i="2"/>
  <c r="K207" i="1" s="1"/>
  <c r="S193" i="2"/>
  <c r="D207" i="1" s="1"/>
  <c r="Y10" i="4"/>
  <c r="J11" i="8" s="1"/>
  <c r="R10" i="4"/>
  <c r="C11" i="8" s="1"/>
  <c r="U52" i="4"/>
  <c r="F56" i="8" s="1"/>
  <c r="AB52" i="4"/>
  <c r="M56" i="8" s="1"/>
  <c r="U80" i="4"/>
  <c r="F86" i="8" s="1"/>
  <c r="AB80" i="4"/>
  <c r="M86" i="8" s="1"/>
  <c r="U108" i="4"/>
  <c r="F116" i="8" s="1"/>
  <c r="AB108" i="4"/>
  <c r="M116" i="8" s="1"/>
  <c r="R150" i="4"/>
  <c r="C161" i="8" s="1"/>
  <c r="Y150" i="4"/>
  <c r="J161" i="8" s="1"/>
  <c r="Y178" i="4"/>
  <c r="J191" i="8" s="1"/>
  <c r="R178" i="4"/>
  <c r="C191" i="8" s="1"/>
  <c r="T11" i="2"/>
  <c r="E12" i="1" s="1"/>
  <c r="AA11" i="2"/>
  <c r="L12" i="1" s="1"/>
  <c r="R39" i="2"/>
  <c r="C42" i="1" s="1"/>
  <c r="Y39" i="2"/>
  <c r="J42" i="1" s="1"/>
  <c r="Z95" i="2"/>
  <c r="K102" i="1" s="1"/>
  <c r="S95" i="2"/>
  <c r="D102" i="1" s="1"/>
  <c r="Z151" i="2"/>
  <c r="K162" i="1" s="1"/>
  <c r="S151" i="2"/>
  <c r="D162" i="1" s="1"/>
  <c r="AA11" i="4"/>
  <c r="L12" i="8" s="1"/>
  <c r="T11" i="4"/>
  <c r="E12" i="8" s="1"/>
  <c r="AB53" i="4"/>
  <c r="M57" i="8" s="1"/>
  <c r="U53" i="4"/>
  <c r="F57" i="8" s="1"/>
  <c r="S81" i="4"/>
  <c r="D87" i="8" s="1"/>
  <c r="Z81" i="4"/>
  <c r="K87" i="8" s="1"/>
  <c r="S123" i="4"/>
  <c r="D132" i="8" s="1"/>
  <c r="Z123" i="4"/>
  <c r="K132" i="8" s="1"/>
  <c r="S165" i="4"/>
  <c r="D177" i="8" s="1"/>
  <c r="Z165" i="4"/>
  <c r="K177" i="8" s="1"/>
  <c r="Z193" i="4"/>
  <c r="K207" i="8" s="1"/>
  <c r="S193" i="4"/>
  <c r="D207" i="8" s="1"/>
  <c r="T40" i="2"/>
  <c r="E43" i="1" s="1"/>
  <c r="AA40" i="2"/>
  <c r="L43" i="1" s="1"/>
  <c r="R96" i="2"/>
  <c r="C103" i="1" s="1"/>
  <c r="Y96" i="2"/>
  <c r="J103" i="1" s="1"/>
  <c r="AA180" i="2"/>
  <c r="L193" i="1" s="1"/>
  <c r="T180" i="2"/>
  <c r="E193" i="1" s="1"/>
  <c r="U12" i="4"/>
  <c r="F13" i="8" s="1"/>
  <c r="AB12" i="4"/>
  <c r="M13" i="8" s="1"/>
  <c r="T40" i="4"/>
  <c r="E43" i="8" s="1"/>
  <c r="AA40" i="4"/>
  <c r="L43" i="8" s="1"/>
  <c r="S68" i="4"/>
  <c r="D73" i="8" s="1"/>
  <c r="Z68" i="4"/>
  <c r="K73" i="8" s="1"/>
  <c r="Z96" i="4"/>
  <c r="K103" i="8" s="1"/>
  <c r="S96" i="4"/>
  <c r="D103" i="8" s="1"/>
  <c r="R124" i="4"/>
  <c r="C133" i="8" s="1"/>
  <c r="Y124" i="4"/>
  <c r="J133" i="8" s="1"/>
  <c r="S166" i="4"/>
  <c r="D178" i="8" s="1"/>
  <c r="Z166" i="4"/>
  <c r="K178" i="8" s="1"/>
  <c r="Q124" i="2"/>
  <c r="B133" i="1" s="1"/>
  <c r="Q147" i="2"/>
  <c r="B158" i="1" s="1"/>
  <c r="X147" i="2"/>
  <c r="I158" i="1" s="1"/>
  <c r="X128" i="4"/>
  <c r="I138" i="8" s="1"/>
  <c r="X165" i="4"/>
  <c r="I177" i="8" s="1"/>
  <c r="Q110" i="2"/>
  <c r="B118" i="1" s="1"/>
  <c r="AA120" i="2"/>
  <c r="L129" i="1" s="1"/>
  <c r="Z210" i="4"/>
  <c r="K213" i="8" s="1"/>
  <c r="S210" i="4"/>
  <c r="D213" i="8" s="1"/>
  <c r="AB145" i="2"/>
  <c r="M156" i="1" s="1"/>
  <c r="U145" i="2"/>
  <c r="F156" i="1" s="1"/>
  <c r="AA102" i="2"/>
  <c r="L110" i="1" s="1"/>
  <c r="T102" i="2"/>
  <c r="E110" i="1" s="1"/>
  <c r="R35" i="2"/>
  <c r="C38" i="1" s="1"/>
  <c r="Y35" i="2"/>
  <c r="J38" i="1" s="1"/>
  <c r="T47" i="4"/>
  <c r="E51" i="8" s="1"/>
  <c r="AA47" i="4"/>
  <c r="L51" i="8" s="1"/>
  <c r="AB109" i="4"/>
  <c r="M117" i="8" s="1"/>
  <c r="U109" i="4"/>
  <c r="F117" i="8" s="1"/>
  <c r="Y174" i="2"/>
  <c r="J187" i="1" s="1"/>
  <c r="R174" i="2"/>
  <c r="C187" i="1" s="1"/>
  <c r="Z192" i="2"/>
  <c r="K206" i="1" s="1"/>
  <c r="S192" i="2"/>
  <c r="D206" i="1" s="1"/>
  <c r="U17" i="2"/>
  <c r="F19" i="1" s="1"/>
  <c r="AB17" i="2"/>
  <c r="M19" i="1" s="1"/>
  <c r="R58" i="2"/>
  <c r="C63" i="1" s="1"/>
  <c r="Y58" i="2"/>
  <c r="J63" i="1" s="1"/>
  <c r="R133" i="4"/>
  <c r="C143" i="8" s="1"/>
  <c r="Y133" i="4"/>
  <c r="J143" i="8" s="1"/>
  <c r="Q132" i="4"/>
  <c r="B142" i="8" s="1"/>
  <c r="X132" i="4"/>
  <c r="I142" i="8" s="1"/>
  <c r="X67" i="4"/>
  <c r="I72" i="8" s="1"/>
  <c r="Q67" i="4"/>
  <c r="B72" i="8" s="1"/>
  <c r="U184" i="2"/>
  <c r="F198" i="1" s="1"/>
  <c r="AB184" i="2"/>
  <c r="M198" i="1" s="1"/>
  <c r="Q178" i="2"/>
  <c r="B191" i="1" s="1"/>
  <c r="X65" i="2"/>
  <c r="I70" i="1" s="1"/>
  <c r="Q65" i="2"/>
  <c r="B70" i="1" s="1"/>
  <c r="X44" i="4"/>
  <c r="I48" i="8" s="1"/>
  <c r="Q44" i="4"/>
  <c r="B48" i="8" s="1"/>
  <c r="Q17" i="2"/>
  <c r="B19" i="1" s="1"/>
  <c r="Q5" i="2"/>
  <c r="B6" i="1" s="1"/>
  <c r="Q20" i="2"/>
  <c r="B22" i="1" s="1"/>
  <c r="Q51" i="2"/>
  <c r="B55" i="1" s="1"/>
  <c r="Q60" i="2"/>
  <c r="B65" i="1" s="1"/>
  <c r="X130" i="2"/>
  <c r="I140" i="1" s="1"/>
  <c r="X192" i="2"/>
  <c r="I206" i="1" s="1"/>
  <c r="Q10" i="4"/>
  <c r="B11" i="8" s="1"/>
  <c r="X17" i="4"/>
  <c r="I19" i="8" s="1"/>
  <c r="X163" i="4"/>
  <c r="I175" i="8" s="1"/>
  <c r="Y110" i="2"/>
  <c r="J118" i="1" s="1"/>
  <c r="X24" i="4"/>
  <c r="I26" i="8" s="1"/>
  <c r="Y51" i="2"/>
  <c r="J55" i="1" s="1"/>
  <c r="X81" i="4"/>
  <c r="I87" i="8" s="1"/>
  <c r="T31" i="4"/>
  <c r="E34" i="8" s="1"/>
  <c r="R54" i="2"/>
  <c r="C58" i="1" s="1"/>
  <c r="U219" i="4"/>
  <c r="F222" i="8" s="1"/>
  <c r="T59" i="4"/>
  <c r="E64" i="8" s="1"/>
  <c r="X189" i="4"/>
  <c r="I203" i="8" s="1"/>
  <c r="X175" i="2"/>
  <c r="I188" i="1" s="1"/>
  <c r="R45" i="2"/>
  <c r="C49" i="1" s="1"/>
  <c r="AB3" i="4"/>
  <c r="M4" i="8" s="1"/>
  <c r="AB101" i="2"/>
  <c r="M109" i="1" s="1"/>
  <c r="U58" i="4"/>
  <c r="F63" i="8" s="1"/>
  <c r="Q12" i="4"/>
  <c r="B13" i="8" s="1"/>
  <c r="Z89" i="2"/>
  <c r="K96" i="1" s="1"/>
  <c r="Z92" i="2"/>
  <c r="K99" i="1" s="1"/>
  <c r="Q32" i="4"/>
  <c r="B35" i="8" s="1"/>
  <c r="AA81" i="2"/>
  <c r="L87" i="1" s="1"/>
  <c r="X124" i="2"/>
  <c r="I133" i="1" s="1"/>
  <c r="Q109" i="2"/>
  <c r="B117" i="1" s="1"/>
  <c r="Q37" i="2"/>
  <c r="B40" i="1" s="1"/>
  <c r="Q11" i="4"/>
  <c r="B12" i="8" s="1"/>
  <c r="X116" i="2"/>
  <c r="I125" i="1" s="1"/>
  <c r="X162" i="2"/>
  <c r="I174" i="1" s="1"/>
  <c r="Q58" i="2"/>
  <c r="B63" i="1" s="1"/>
  <c r="Q131" i="2"/>
  <c r="B141" i="1" s="1"/>
  <c r="Q61" i="2"/>
  <c r="B66" i="1" s="1"/>
  <c r="Y44" i="2"/>
  <c r="J48" i="1" s="1"/>
  <c r="R44" i="2"/>
  <c r="C48" i="1" s="1"/>
  <c r="X193" i="4"/>
  <c r="I207" i="8" s="1"/>
  <c r="Q193" i="4"/>
  <c r="B207" i="8" s="1"/>
  <c r="T77" i="2"/>
  <c r="E83" i="1" s="1"/>
  <c r="AA77" i="2"/>
  <c r="L83" i="1" s="1"/>
  <c r="Y75" i="2"/>
  <c r="J81" i="1" s="1"/>
  <c r="R75" i="2"/>
  <c r="C81" i="1" s="1"/>
  <c r="Q6" i="2"/>
  <c r="B7" i="1" s="1"/>
  <c r="X6" i="2"/>
  <c r="I7" i="1" s="1"/>
  <c r="T185" i="2"/>
  <c r="E199" i="1" s="1"/>
  <c r="AA185" i="2"/>
  <c r="L199" i="1" s="1"/>
  <c r="Q146" i="2"/>
  <c r="B157" i="1" s="1"/>
  <c r="Q177" i="2"/>
  <c r="B190" i="1" s="1"/>
  <c r="X79" i="4"/>
  <c r="I85" i="8" s="1"/>
  <c r="Y157" i="2"/>
  <c r="J169" i="1" s="1"/>
  <c r="R157" i="2"/>
  <c r="C169" i="1" s="1"/>
  <c r="Y118" i="2"/>
  <c r="J127" i="1" s="1"/>
  <c r="T211" i="4"/>
  <c r="E214" i="8" s="1"/>
  <c r="S158" i="4"/>
  <c r="D170" i="8" s="1"/>
  <c r="U35" i="2"/>
  <c r="F38" i="1" s="1"/>
  <c r="Y78" i="2"/>
  <c r="J84" i="1" s="1"/>
  <c r="Q160" i="4"/>
  <c r="B172" i="8" s="1"/>
  <c r="X160" i="4"/>
  <c r="I172" i="8" s="1"/>
  <c r="X72" i="2"/>
  <c r="I78" i="1" s="1"/>
  <c r="Q72" i="2"/>
  <c r="B78" i="1" s="1"/>
  <c r="X86" i="4"/>
  <c r="I93" i="8" s="1"/>
  <c r="Q86" i="4"/>
  <c r="B93" i="8" s="1"/>
  <c r="AA163" i="2"/>
  <c r="L175" i="1" s="1"/>
  <c r="T163" i="2"/>
  <c r="E175" i="1" s="1"/>
  <c r="Q136" i="4"/>
  <c r="B146" i="8" s="1"/>
  <c r="X136" i="4"/>
  <c r="I146" i="8" s="1"/>
  <c r="Q52" i="2"/>
  <c r="B56" i="1" s="1"/>
  <c r="X52" i="2"/>
  <c r="I56" i="1" s="1"/>
  <c r="R163" i="2"/>
  <c r="C175" i="1" s="1"/>
  <c r="Y163" i="2"/>
  <c r="J175" i="1" s="1"/>
  <c r="AB166" i="2"/>
  <c r="M178" i="1" s="1"/>
  <c r="U166" i="2"/>
  <c r="F178" i="1" s="1"/>
  <c r="Y114" i="2"/>
  <c r="J123" i="1" s="1"/>
  <c r="R114" i="2"/>
  <c r="C123" i="1" s="1"/>
  <c r="T16" i="4"/>
  <c r="E18" i="8" s="1"/>
  <c r="AA16" i="4"/>
  <c r="L18" i="8" s="1"/>
  <c r="AA44" i="4"/>
  <c r="L48" i="8" s="1"/>
  <c r="T44" i="4"/>
  <c r="E48" i="8" s="1"/>
  <c r="Z72" i="4"/>
  <c r="K78" i="8" s="1"/>
  <c r="S72" i="4"/>
  <c r="D78" i="8" s="1"/>
  <c r="U114" i="4"/>
  <c r="F123" i="8" s="1"/>
  <c r="AB114" i="4"/>
  <c r="M123" i="8" s="1"/>
  <c r="S87" i="2"/>
  <c r="D94" i="1" s="1"/>
  <c r="Z87" i="2"/>
  <c r="K94" i="1" s="1"/>
  <c r="AB87" i="4"/>
  <c r="M94" i="8" s="1"/>
  <c r="U87" i="4"/>
  <c r="F94" i="8" s="1"/>
  <c r="AA115" i="4"/>
  <c r="L124" i="8" s="1"/>
  <c r="T115" i="4"/>
  <c r="E124" i="8" s="1"/>
  <c r="U88" i="2"/>
  <c r="F95" i="1" s="1"/>
  <c r="AB88" i="2"/>
  <c r="M95" i="1" s="1"/>
  <c r="R46" i="4"/>
  <c r="C50" i="8" s="1"/>
  <c r="Y46" i="4"/>
  <c r="J50" i="8" s="1"/>
  <c r="Y186" i="4"/>
  <c r="J200" i="8" s="1"/>
  <c r="R186" i="4"/>
  <c r="C200" i="8" s="1"/>
  <c r="Z19" i="4"/>
  <c r="K21" i="8" s="1"/>
  <c r="S19" i="4"/>
  <c r="D21" i="8" s="1"/>
  <c r="R47" i="4"/>
  <c r="C51" i="8" s="1"/>
  <c r="Y47" i="4"/>
  <c r="J51" i="8" s="1"/>
  <c r="Y103" i="4"/>
  <c r="J111" i="8" s="1"/>
  <c r="R103" i="4"/>
  <c r="C111" i="8" s="1"/>
  <c r="T187" i="4"/>
  <c r="E201" i="8" s="1"/>
  <c r="AA187" i="4"/>
  <c r="L201" i="8" s="1"/>
  <c r="Y62" i="2"/>
  <c r="J67" i="1" s="1"/>
  <c r="R62" i="2"/>
  <c r="C67" i="1" s="1"/>
  <c r="S174" i="2"/>
  <c r="D187" i="1" s="1"/>
  <c r="Z174" i="2"/>
  <c r="K187" i="1" s="1"/>
  <c r="S188" i="4"/>
  <c r="D202" i="8" s="1"/>
  <c r="Z188" i="4"/>
  <c r="K202" i="8" s="1"/>
  <c r="S175" i="2"/>
  <c r="D188" i="1" s="1"/>
  <c r="Z175" i="2"/>
  <c r="K188" i="1" s="1"/>
  <c r="Z63" i="4"/>
  <c r="K68" i="8" s="1"/>
  <c r="S63" i="4"/>
  <c r="D68" i="8" s="1"/>
  <c r="Y91" i="4"/>
  <c r="J98" i="8" s="1"/>
  <c r="R91" i="4"/>
  <c r="C98" i="8" s="1"/>
  <c r="R147" i="4"/>
  <c r="C158" i="8" s="1"/>
  <c r="Y147" i="4"/>
  <c r="J158" i="8" s="1"/>
  <c r="Y8" i="2"/>
  <c r="J9" i="1" s="1"/>
  <c r="R8" i="2"/>
  <c r="C9" i="1" s="1"/>
  <c r="X135" i="2"/>
  <c r="I145" i="1" s="1"/>
  <c r="Q135" i="2"/>
  <c r="B145" i="1" s="1"/>
  <c r="T36" i="4"/>
  <c r="E39" i="8" s="1"/>
  <c r="AA36" i="4"/>
  <c r="L39" i="8" s="1"/>
  <c r="S64" i="4"/>
  <c r="D69" i="8" s="1"/>
  <c r="Z64" i="4"/>
  <c r="K69" i="8" s="1"/>
  <c r="S92" i="4"/>
  <c r="D99" i="8" s="1"/>
  <c r="Z92" i="4"/>
  <c r="K99" i="8" s="1"/>
  <c r="AB9" i="2"/>
  <c r="M10" i="1" s="1"/>
  <c r="U9" i="2"/>
  <c r="F10" i="1" s="1"/>
  <c r="AA65" i="2"/>
  <c r="L70" i="1" s="1"/>
  <c r="T65" i="2"/>
  <c r="E70" i="1" s="1"/>
  <c r="AB177" i="2"/>
  <c r="M190" i="1" s="1"/>
  <c r="U177" i="2"/>
  <c r="F190" i="1" s="1"/>
  <c r="Y65" i="4"/>
  <c r="J70" i="8" s="1"/>
  <c r="R65" i="4"/>
  <c r="C70" i="8" s="1"/>
  <c r="AB107" i="4"/>
  <c r="M115" i="8" s="1"/>
  <c r="U107" i="4"/>
  <c r="F115" i="8" s="1"/>
  <c r="R38" i="2"/>
  <c r="C41" i="1" s="1"/>
  <c r="Y38" i="2"/>
  <c r="J41" i="1" s="1"/>
  <c r="X164" i="2"/>
  <c r="I176" i="1" s="1"/>
  <c r="Q164" i="2"/>
  <c r="B176" i="1" s="1"/>
  <c r="S218" i="4"/>
  <c r="D221" i="8" s="1"/>
  <c r="Z218" i="4"/>
  <c r="K221" i="8" s="1"/>
  <c r="R80" i="4"/>
  <c r="C86" i="8" s="1"/>
  <c r="Y80" i="4"/>
  <c r="J86" i="8" s="1"/>
  <c r="R108" i="4"/>
  <c r="C116" i="8" s="1"/>
  <c r="Y108" i="4"/>
  <c r="J116" i="8" s="1"/>
  <c r="AA192" i="4"/>
  <c r="L206" i="8" s="1"/>
  <c r="T192" i="4"/>
  <c r="E206" i="8" s="1"/>
  <c r="S67" i="2"/>
  <c r="D72" i="1" s="1"/>
  <c r="Z67" i="2"/>
  <c r="K72" i="1" s="1"/>
  <c r="AB151" i="4"/>
  <c r="M162" i="8" s="1"/>
  <c r="U151" i="4"/>
  <c r="F162" i="8" s="1"/>
  <c r="AA68" i="2"/>
  <c r="L73" i="1" s="1"/>
  <c r="T68" i="2"/>
  <c r="E73" i="1" s="1"/>
  <c r="Z124" i="2"/>
  <c r="K133" i="1" s="1"/>
  <c r="S124" i="2"/>
  <c r="D133" i="1" s="1"/>
  <c r="U54" i="4"/>
  <c r="F58" i="8" s="1"/>
  <c r="AB54" i="4"/>
  <c r="M58" i="8" s="1"/>
  <c r="S152" i="4"/>
  <c r="D163" i="8" s="1"/>
  <c r="Z152" i="4"/>
  <c r="K163" i="8" s="1"/>
  <c r="Q49" i="2"/>
  <c r="B53" i="1" s="1"/>
  <c r="X49" i="2"/>
  <c r="I53" i="1" s="1"/>
  <c r="Q60" i="4"/>
  <c r="B65" i="8" s="1"/>
  <c r="X60" i="4"/>
  <c r="I65" i="8" s="1"/>
  <c r="Q180" i="4"/>
  <c r="B193" i="8" s="1"/>
  <c r="X180" i="4"/>
  <c r="I193" i="8" s="1"/>
  <c r="X26" i="2"/>
  <c r="I28" i="1" s="1"/>
  <c r="Q26" i="2"/>
  <c r="B28" i="1" s="1"/>
  <c r="AB110" i="4"/>
  <c r="M118" i="8" s="1"/>
  <c r="T8" i="4"/>
  <c r="E9" i="8" s="1"/>
  <c r="Z185" i="4"/>
  <c r="K199" i="8" s="1"/>
  <c r="AB31" i="2"/>
  <c r="M34" i="1" s="1"/>
  <c r="AA48" i="2"/>
  <c r="L52" i="1" s="1"/>
  <c r="T48" i="2"/>
  <c r="E52" i="1" s="1"/>
  <c r="U75" i="2"/>
  <c r="F81" i="1" s="1"/>
  <c r="AB75" i="2"/>
  <c r="M81" i="1" s="1"/>
  <c r="S18" i="4"/>
  <c r="D20" i="8" s="1"/>
  <c r="X37" i="2"/>
  <c r="I40" i="1" s="1"/>
  <c r="Z62" i="4"/>
  <c r="K67" i="8" s="1"/>
  <c r="AB212" i="4"/>
  <c r="M215" i="8" s="1"/>
  <c r="Y213" i="4"/>
  <c r="J216" i="8" s="1"/>
  <c r="AA72" i="2"/>
  <c r="L78" i="1" s="1"/>
  <c r="T72" i="2"/>
  <c r="E78" i="1" s="1"/>
  <c r="U116" i="4"/>
  <c r="F125" i="8" s="1"/>
  <c r="AA160" i="2"/>
  <c r="L172" i="1" s="1"/>
  <c r="U20" i="4"/>
  <c r="F22" i="8" s="1"/>
  <c r="Q72" i="4"/>
  <c r="B78" i="8" s="1"/>
  <c r="X72" i="4"/>
  <c r="I78" i="8" s="1"/>
  <c r="AA33" i="2"/>
  <c r="L36" i="1" s="1"/>
  <c r="T179" i="4"/>
  <c r="E192" i="8" s="1"/>
  <c r="Q9" i="2"/>
  <c r="B10" i="1" s="1"/>
  <c r="X9" i="2"/>
  <c r="I10" i="1" s="1"/>
  <c r="X102" i="4"/>
  <c r="I110" i="8" s="1"/>
  <c r="Q102" i="4"/>
  <c r="B110" i="8" s="1"/>
  <c r="R75" i="4"/>
  <c r="C81" i="8" s="1"/>
  <c r="Y175" i="4"/>
  <c r="J188" i="8" s="1"/>
  <c r="Z35" i="4"/>
  <c r="K38" i="8" s="1"/>
  <c r="Q48" i="2"/>
  <c r="B52" i="1" s="1"/>
  <c r="X48" i="2"/>
  <c r="I52" i="1" s="1"/>
  <c r="X100" i="4"/>
  <c r="I108" i="8" s="1"/>
  <c r="Q34" i="4"/>
  <c r="B37" i="8" s="1"/>
  <c r="Q138" i="2"/>
  <c r="B148" i="1" s="1"/>
  <c r="Q129" i="4"/>
  <c r="B139" i="8" s="1"/>
  <c r="AA128" i="4"/>
  <c r="L138" i="8" s="1"/>
  <c r="X86" i="2"/>
  <c r="I93" i="1" s="1"/>
  <c r="X51" i="4"/>
  <c r="I55" i="8" s="1"/>
  <c r="X144" i="2"/>
  <c r="I155" i="1" s="1"/>
  <c r="X172" i="4"/>
  <c r="I185" i="8" s="1"/>
  <c r="U186" i="2"/>
  <c r="F200" i="1" s="1"/>
  <c r="Q136" i="2"/>
  <c r="B146" i="1" s="1"/>
  <c r="Y39" i="4"/>
  <c r="J42" i="8" s="1"/>
  <c r="Q73" i="2"/>
  <c r="B79" i="1" s="1"/>
  <c r="X73" i="2"/>
  <c r="I79" i="1" s="1"/>
  <c r="Z51" i="2"/>
  <c r="K55" i="1" s="1"/>
  <c r="S51" i="2"/>
  <c r="D55" i="1" s="1"/>
  <c r="R129" i="2"/>
  <c r="C139" i="1" s="1"/>
  <c r="Y129" i="2"/>
  <c r="J139" i="1" s="1"/>
  <c r="S158" i="2"/>
  <c r="D170" i="1" s="1"/>
  <c r="Z158" i="2"/>
  <c r="K170" i="1" s="1"/>
  <c r="R73" i="2"/>
  <c r="C79" i="1" s="1"/>
  <c r="Y73" i="2"/>
  <c r="J79" i="1" s="1"/>
  <c r="Z40" i="2"/>
  <c r="K43" i="1" s="1"/>
  <c r="S40" i="2"/>
  <c r="D43" i="1" s="1"/>
  <c r="Q162" i="4"/>
  <c r="B174" i="8" s="1"/>
  <c r="X162" i="4"/>
  <c r="I174" i="8" s="1"/>
  <c r="AA117" i="2"/>
  <c r="L126" i="1" s="1"/>
  <c r="T117" i="2"/>
  <c r="E126" i="1" s="1"/>
  <c r="U48" i="4"/>
  <c r="F52" i="8" s="1"/>
  <c r="AB48" i="4"/>
  <c r="M52" i="8" s="1"/>
  <c r="Y143" i="4"/>
  <c r="J154" i="8" s="1"/>
  <c r="R143" i="4"/>
  <c r="C154" i="8" s="1"/>
  <c r="X10" i="2"/>
  <c r="I11" i="1" s="1"/>
  <c r="Q10" i="2"/>
  <c r="B11" i="1" s="1"/>
  <c r="AA48" i="4"/>
  <c r="L52" i="8" s="1"/>
  <c r="T48" i="4"/>
  <c r="E52" i="8" s="1"/>
  <c r="Y34" i="4"/>
  <c r="J37" i="8" s="1"/>
  <c r="R34" i="4"/>
  <c r="C37" i="8" s="1"/>
  <c r="S119" i="2"/>
  <c r="D128" i="1" s="1"/>
  <c r="Z119" i="2"/>
  <c r="K128" i="1" s="1"/>
  <c r="R159" i="4"/>
  <c r="C171" i="8" s="1"/>
  <c r="Y159" i="4"/>
  <c r="J171" i="8" s="1"/>
  <c r="Q25" i="2"/>
  <c r="B27" i="1" s="1"/>
  <c r="X25" i="2"/>
  <c r="I27" i="1" s="1"/>
  <c r="R188" i="2"/>
  <c r="C202" i="1" s="1"/>
  <c r="Y188" i="2"/>
  <c r="J202" i="1" s="1"/>
  <c r="S76" i="4"/>
  <c r="D82" i="8" s="1"/>
  <c r="Z76" i="4"/>
  <c r="K82" i="8" s="1"/>
  <c r="Z129" i="2"/>
  <c r="K139" i="1" s="1"/>
  <c r="S129" i="2"/>
  <c r="D139" i="1" s="1"/>
  <c r="Z45" i="2"/>
  <c r="K49" i="1" s="1"/>
  <c r="AA31" i="2"/>
  <c r="L34" i="1" s="1"/>
  <c r="Z116" i="4"/>
  <c r="K125" i="8" s="1"/>
  <c r="Y17" i="2"/>
  <c r="J19" i="1" s="1"/>
  <c r="X58" i="4"/>
  <c r="I63" i="8" s="1"/>
  <c r="AA164" i="4"/>
  <c r="L176" i="8" s="1"/>
  <c r="T134" i="2"/>
  <c r="E144" i="1" s="1"/>
  <c r="R80" i="2"/>
  <c r="C86" i="1" s="1"/>
  <c r="T114" i="2"/>
  <c r="E123" i="1" s="1"/>
  <c r="X142" i="2"/>
  <c r="I153" i="1" s="1"/>
  <c r="Q164" i="4"/>
  <c r="B176" i="8" s="1"/>
  <c r="U52" i="2"/>
  <c r="F56" i="1" s="1"/>
  <c r="Y170" i="2"/>
  <c r="J183" i="1" s="1"/>
  <c r="X108" i="2"/>
  <c r="I116" i="1" s="1"/>
  <c r="X58" i="2"/>
  <c r="I63" i="1" s="1"/>
  <c r="T108" i="2"/>
  <c r="E116" i="1" s="1"/>
  <c r="X50" i="2"/>
  <c r="I54" i="1" s="1"/>
  <c r="Y193" i="2"/>
  <c r="J207" i="1" s="1"/>
  <c r="Q166" i="2"/>
  <c r="B178" i="1" s="1"/>
  <c r="Q123" i="4"/>
  <c r="B132" i="8" s="1"/>
  <c r="AB130" i="2"/>
  <c r="M140" i="1" s="1"/>
  <c r="Z17" i="4"/>
  <c r="K19" i="8" s="1"/>
  <c r="Q177" i="4"/>
  <c r="B190" i="8" s="1"/>
  <c r="Q38" i="4"/>
  <c r="B41" i="8" s="1"/>
  <c r="Z105" i="4"/>
  <c r="K113" i="8" s="1"/>
  <c r="R156" i="4"/>
  <c r="C168" i="8" s="1"/>
  <c r="Y190" i="2"/>
  <c r="J204" i="1" s="1"/>
  <c r="Y76" i="2"/>
  <c r="J82" i="1" s="1"/>
  <c r="AA46" i="2"/>
  <c r="L50" i="1" s="1"/>
  <c r="R184" i="2"/>
  <c r="C198" i="1" s="1"/>
  <c r="Y184" i="2"/>
  <c r="J198" i="1" s="1"/>
  <c r="AA106" i="2"/>
  <c r="L114" i="1" s="1"/>
  <c r="X129" i="2"/>
  <c r="I139" i="1" s="1"/>
  <c r="Q129" i="2"/>
  <c r="B139" i="1" s="1"/>
  <c r="AB8" i="4"/>
  <c r="M9" i="8" s="1"/>
  <c r="R19" i="2"/>
  <c r="C21" i="1" s="1"/>
  <c r="S115" i="4"/>
  <c r="D124" i="8" s="1"/>
  <c r="Z115" i="4"/>
  <c r="K124" i="8" s="1"/>
  <c r="Z189" i="2"/>
  <c r="K203" i="1" s="1"/>
  <c r="S189" i="2"/>
  <c r="D203" i="1" s="1"/>
  <c r="AB77" i="4"/>
  <c r="M83" i="8" s="1"/>
  <c r="U77" i="4"/>
  <c r="F83" i="8" s="1"/>
  <c r="T67" i="4"/>
  <c r="E72" i="8" s="1"/>
  <c r="AA67" i="4"/>
  <c r="L72" i="8" s="1"/>
  <c r="R110" i="4"/>
  <c r="C118" i="8" s="1"/>
  <c r="Y110" i="4"/>
  <c r="J118" i="8" s="1"/>
  <c r="R180" i="4"/>
  <c r="C193" i="8" s="1"/>
  <c r="Y180" i="4"/>
  <c r="J193" i="8" s="1"/>
  <c r="X34" i="4"/>
  <c r="I37" i="8" s="1"/>
  <c r="AB2" i="4"/>
  <c r="M3" i="8" s="1"/>
  <c r="T136" i="2"/>
  <c r="E146" i="1" s="1"/>
  <c r="Z44" i="2"/>
  <c r="K48" i="1" s="1"/>
  <c r="T176" i="4"/>
  <c r="E189" i="8" s="1"/>
  <c r="S36" i="4"/>
  <c r="D39" i="8" s="1"/>
  <c r="R177" i="4"/>
  <c r="C190" i="8" s="1"/>
  <c r="R67" i="2"/>
  <c r="C72" i="1" s="1"/>
  <c r="X190" i="2"/>
  <c r="I204" i="1" s="1"/>
  <c r="Z135" i="2"/>
  <c r="K145" i="1" s="1"/>
  <c r="U192" i="2"/>
  <c r="F206" i="1" s="1"/>
  <c r="AB192" i="2"/>
  <c r="M206" i="1" s="1"/>
  <c r="U163" i="4"/>
  <c r="F175" i="8" s="1"/>
  <c r="AB163" i="4"/>
  <c r="M175" i="8" s="1"/>
  <c r="AB142" i="2"/>
  <c r="M153" i="1" s="1"/>
  <c r="U142" i="2"/>
  <c r="F153" i="1" s="1"/>
  <c r="Y16" i="4"/>
  <c r="J18" i="8" s="1"/>
  <c r="R16" i="4"/>
  <c r="C18" i="8" s="1"/>
  <c r="T170" i="4"/>
  <c r="E183" i="8" s="1"/>
  <c r="AA170" i="4"/>
  <c r="L183" i="8" s="1"/>
  <c r="Z143" i="2"/>
  <c r="K154" i="1" s="1"/>
  <c r="S143" i="2"/>
  <c r="D154" i="1" s="1"/>
  <c r="U171" i="4"/>
  <c r="F184" i="8" s="1"/>
  <c r="AB171" i="4"/>
  <c r="M184" i="8" s="1"/>
  <c r="S32" i="2"/>
  <c r="D35" i="1" s="1"/>
  <c r="Z32" i="2"/>
  <c r="K35" i="1" s="1"/>
  <c r="U32" i="4"/>
  <c r="F35" i="8" s="1"/>
  <c r="AB32" i="4"/>
  <c r="M35" i="8" s="1"/>
  <c r="AB130" i="4"/>
  <c r="M140" i="8" s="1"/>
  <c r="U130" i="4"/>
  <c r="F140" i="8" s="1"/>
  <c r="AB33" i="4"/>
  <c r="M36" i="8" s="1"/>
  <c r="U33" i="4"/>
  <c r="F36" i="8" s="1"/>
  <c r="AA89" i="4"/>
  <c r="L96" i="8" s="1"/>
  <c r="T89" i="4"/>
  <c r="E96" i="8" s="1"/>
  <c r="Z146" i="2"/>
  <c r="K157" i="1" s="1"/>
  <c r="S146" i="2"/>
  <c r="D157" i="1" s="1"/>
  <c r="T118" i="4"/>
  <c r="E127" i="8" s="1"/>
  <c r="AA118" i="4"/>
  <c r="L127" i="8" s="1"/>
  <c r="S160" i="4"/>
  <c r="D172" i="8" s="1"/>
  <c r="Z160" i="4"/>
  <c r="K172" i="8" s="1"/>
  <c r="T91" i="2"/>
  <c r="E98" i="1" s="1"/>
  <c r="AA91" i="2"/>
  <c r="L98" i="1" s="1"/>
  <c r="U147" i="2"/>
  <c r="F158" i="1" s="1"/>
  <c r="AB147" i="2"/>
  <c r="M158" i="1" s="1"/>
  <c r="U21" i="4"/>
  <c r="F23" i="8" s="1"/>
  <c r="AB21" i="4"/>
  <c r="M23" i="8" s="1"/>
  <c r="U49" i="4"/>
  <c r="F53" i="8" s="1"/>
  <c r="AB49" i="4"/>
  <c r="M53" i="8" s="1"/>
  <c r="T77" i="4"/>
  <c r="E83" i="8" s="1"/>
  <c r="AA77" i="4"/>
  <c r="L83" i="8" s="1"/>
  <c r="AB191" i="4"/>
  <c r="M205" i="8" s="1"/>
  <c r="U191" i="4"/>
  <c r="F205" i="8" s="1"/>
  <c r="AB10" i="4"/>
  <c r="M11" i="8" s="1"/>
  <c r="U10" i="4"/>
  <c r="F11" i="8" s="1"/>
  <c r="Y122" i="4"/>
  <c r="J131" i="8" s="1"/>
  <c r="R122" i="4"/>
  <c r="C131" i="8" s="1"/>
  <c r="R192" i="4"/>
  <c r="C206" i="8" s="1"/>
  <c r="Y192" i="4"/>
  <c r="J206" i="8" s="1"/>
  <c r="Z123" i="2"/>
  <c r="K132" i="1" s="1"/>
  <c r="S123" i="2"/>
  <c r="D132" i="1" s="1"/>
  <c r="R6" i="2"/>
  <c r="C7" i="1" s="1"/>
  <c r="Y6" i="2"/>
  <c r="J7" i="1" s="1"/>
  <c r="S62" i="2"/>
  <c r="D67" i="1" s="1"/>
  <c r="Z62" i="2"/>
  <c r="K67" i="1" s="1"/>
  <c r="Y22" i="2"/>
  <c r="J24" i="1" s="1"/>
  <c r="R88" i="4"/>
  <c r="C95" i="8" s="1"/>
  <c r="AB81" i="2"/>
  <c r="M87" i="1" s="1"/>
  <c r="U81" i="2"/>
  <c r="F87" i="1" s="1"/>
  <c r="AA89" i="2"/>
  <c r="L96" i="1" s="1"/>
  <c r="X88" i="2"/>
  <c r="I95" i="1" s="1"/>
  <c r="Q88" i="2"/>
  <c r="B95" i="1" s="1"/>
  <c r="AB128" i="2"/>
  <c r="M138" i="1" s="1"/>
  <c r="U128" i="2"/>
  <c r="F138" i="1" s="1"/>
  <c r="U173" i="2"/>
  <c r="F186" i="1" s="1"/>
  <c r="AB173" i="2"/>
  <c r="M186" i="1" s="1"/>
  <c r="U146" i="2"/>
  <c r="F157" i="1" s="1"/>
  <c r="AB146" i="2"/>
  <c r="M157" i="1" s="1"/>
  <c r="U118" i="4"/>
  <c r="F127" i="8" s="1"/>
  <c r="AB118" i="4"/>
  <c r="M127" i="8" s="1"/>
  <c r="U92" i="2"/>
  <c r="F99" i="1" s="1"/>
  <c r="AB92" i="2"/>
  <c r="M99" i="1" s="1"/>
  <c r="S8" i="4"/>
  <c r="D9" i="8" s="1"/>
  <c r="Z8" i="4"/>
  <c r="K9" i="8" s="1"/>
  <c r="R86" i="2"/>
  <c r="C93" i="1" s="1"/>
  <c r="U21" i="2"/>
  <c r="F23" i="1" s="1"/>
  <c r="T16" i="2"/>
  <c r="E18" i="1" s="1"/>
  <c r="R119" i="4"/>
  <c r="C128" i="8" s="1"/>
  <c r="S128" i="4"/>
  <c r="D138" i="8" s="1"/>
  <c r="Q189" i="4"/>
  <c r="B203" i="8" s="1"/>
  <c r="AB170" i="4"/>
  <c r="M183" i="8" s="1"/>
  <c r="AA133" i="4"/>
  <c r="L143" i="8" s="1"/>
  <c r="Z106" i="2"/>
  <c r="K114" i="1" s="1"/>
  <c r="Z187" i="2"/>
  <c r="K201" i="1" s="1"/>
  <c r="U131" i="2"/>
  <c r="F141" i="1" s="1"/>
  <c r="X91" i="4"/>
  <c r="I98" i="8" s="1"/>
  <c r="AA159" i="2"/>
  <c r="L171" i="1" s="1"/>
  <c r="X117" i="4"/>
  <c r="I126" i="8" s="1"/>
  <c r="U30" i="2"/>
  <c r="F33" i="1" s="1"/>
  <c r="AB152" i="2"/>
  <c r="M163" i="1" s="1"/>
  <c r="AA150" i="4"/>
  <c r="L161" i="8" s="1"/>
  <c r="Z137" i="4"/>
  <c r="K147" i="8" s="1"/>
  <c r="T73" i="2"/>
  <c r="E79" i="1" s="1"/>
  <c r="S48" i="2"/>
  <c r="D52" i="1" s="1"/>
  <c r="S188" i="2"/>
  <c r="D202" i="1" s="1"/>
  <c r="AB74" i="2"/>
  <c r="M80" i="1" s="1"/>
  <c r="X117" i="2"/>
  <c r="I126" i="1" s="1"/>
  <c r="R74" i="2"/>
  <c r="C80" i="1" s="1"/>
  <c r="T177" i="2"/>
  <c r="E190" i="1" s="1"/>
  <c r="Y124" i="2"/>
  <c r="J133" i="1" s="1"/>
  <c r="S37" i="4"/>
  <c r="D40" i="8" s="1"/>
  <c r="T36" i="2"/>
  <c r="E39" i="1" s="1"/>
  <c r="AB122" i="4"/>
  <c r="M131" i="8" s="1"/>
  <c r="AB36" i="2"/>
  <c r="M39" i="1" s="1"/>
  <c r="T107" i="4"/>
  <c r="E115" i="8" s="1"/>
  <c r="Z30" i="2"/>
  <c r="K33" i="1" s="1"/>
  <c r="Z144" i="2"/>
  <c r="K155" i="1" s="1"/>
  <c r="U106" i="4"/>
  <c r="F114" i="8" s="1"/>
  <c r="R187" i="4"/>
  <c r="C201" i="8" s="1"/>
  <c r="AB22" i="2"/>
  <c r="M24" i="1" s="1"/>
  <c r="Q194" i="4"/>
  <c r="B208" i="8" s="1"/>
  <c r="AB46" i="2"/>
  <c r="M50" i="1" s="1"/>
  <c r="S108" i="2"/>
  <c r="D116" i="1" s="1"/>
  <c r="X116" i="4"/>
  <c r="I125" i="8" s="1"/>
  <c r="Y130" i="2"/>
  <c r="J140" i="1" s="1"/>
  <c r="R130" i="2"/>
  <c r="C140" i="1" s="1"/>
  <c r="R32" i="4"/>
  <c r="C35" i="8" s="1"/>
  <c r="X31" i="4"/>
  <c r="I34" i="8" s="1"/>
  <c r="S142" i="2"/>
  <c r="D153" i="1" s="1"/>
  <c r="Z130" i="4"/>
  <c r="K140" i="8" s="1"/>
  <c r="R129" i="4"/>
  <c r="C139" i="8" s="1"/>
  <c r="Y129" i="4"/>
  <c r="J139" i="8" s="1"/>
  <c r="Q171" i="4"/>
  <c r="B184" i="8" s="1"/>
  <c r="X171" i="4"/>
  <c r="I184" i="8" s="1"/>
  <c r="T129" i="2"/>
  <c r="E139" i="1" s="1"/>
  <c r="AA129" i="2"/>
  <c r="L139" i="1" s="1"/>
  <c r="R128" i="2"/>
  <c r="C138" i="1" s="1"/>
  <c r="Y128" i="2"/>
  <c r="J138" i="1" s="1"/>
  <c r="X188" i="2"/>
  <c r="I202" i="1" s="1"/>
  <c r="Q188" i="2"/>
  <c r="B202" i="1" s="1"/>
  <c r="Q150" i="2"/>
  <c r="B161" i="1" s="1"/>
  <c r="X150" i="2"/>
  <c r="I161" i="1" s="1"/>
  <c r="R62" i="4"/>
  <c r="C67" i="8" s="1"/>
  <c r="Y62" i="4"/>
  <c r="J67" i="8" s="1"/>
  <c r="AA160" i="4"/>
  <c r="L172" i="8" s="1"/>
  <c r="T160" i="4"/>
  <c r="E172" i="8" s="1"/>
  <c r="Q210" i="4"/>
  <c r="B213" i="8" s="1"/>
  <c r="S136" i="4"/>
  <c r="D146" i="8" s="1"/>
  <c r="T142" i="2"/>
  <c r="E153" i="1" s="1"/>
  <c r="Q142" i="4"/>
  <c r="B153" i="8" s="1"/>
  <c r="Q100" i="4"/>
  <c r="B108" i="8" s="1"/>
  <c r="AA157" i="2"/>
  <c r="L169" i="1" s="1"/>
  <c r="S20" i="2"/>
  <c r="D22" i="1" s="1"/>
  <c r="S135" i="4"/>
  <c r="D145" i="8" s="1"/>
  <c r="Z138" i="4"/>
  <c r="K148" i="8" s="1"/>
  <c r="Q40" i="2"/>
  <c r="B43" i="1" s="1"/>
  <c r="T78" i="2"/>
  <c r="E84" i="1" s="1"/>
  <c r="S34" i="4"/>
  <c r="D37" i="8" s="1"/>
  <c r="AA142" i="4"/>
  <c r="L153" i="8" s="1"/>
  <c r="S58" i="2"/>
  <c r="D63" i="1" s="1"/>
  <c r="Z47" i="2"/>
  <c r="K51" i="1" s="1"/>
  <c r="Z20" i="4"/>
  <c r="K22" i="8" s="1"/>
  <c r="AB33" i="2"/>
  <c r="M36" i="1" s="1"/>
  <c r="U64" i="2"/>
  <c r="F69" i="1" s="1"/>
  <c r="Y136" i="4"/>
  <c r="J146" i="8" s="1"/>
  <c r="X77" i="2"/>
  <c r="I83" i="1" s="1"/>
  <c r="U213" i="4"/>
  <c r="F216" i="8" s="1"/>
  <c r="AA19" i="2"/>
  <c r="L21" i="1" s="1"/>
  <c r="Q171" i="2"/>
  <c r="B184" i="1" s="1"/>
  <c r="X171" i="2"/>
  <c r="I184" i="1" s="1"/>
  <c r="T54" i="4"/>
  <c r="E58" i="8" s="1"/>
  <c r="U148" i="4"/>
  <c r="F159" i="8" s="1"/>
  <c r="Y152" i="4"/>
  <c r="J163" i="8" s="1"/>
  <c r="T161" i="4"/>
  <c r="E173" i="8" s="1"/>
  <c r="R105" i="4"/>
  <c r="C113" i="8" s="1"/>
  <c r="T90" i="2"/>
  <c r="E97" i="1" s="1"/>
  <c r="R185" i="4"/>
  <c r="C199" i="8" s="1"/>
  <c r="S9" i="2"/>
  <c r="D10" i="1" s="1"/>
  <c r="AB132" i="4"/>
  <c r="M142" i="8" s="1"/>
  <c r="AB31" i="4"/>
  <c r="M34" i="8" s="1"/>
  <c r="Y176" i="2"/>
  <c r="J189" i="1" s="1"/>
  <c r="Q76" i="4"/>
  <c r="B82" i="8" s="1"/>
  <c r="AA79" i="4"/>
  <c r="L85" i="8" s="1"/>
  <c r="AB210" i="4"/>
  <c r="M213" i="8" s="1"/>
  <c r="X78" i="2"/>
  <c r="I84" i="1" s="1"/>
  <c r="Q78" i="2"/>
  <c r="B84" i="1" s="1"/>
  <c r="T146" i="2"/>
  <c r="E157" i="1" s="1"/>
  <c r="AA146" i="2"/>
  <c r="L157" i="1" s="1"/>
  <c r="Y137" i="4"/>
  <c r="J147" i="8" s="1"/>
  <c r="X133" i="4"/>
  <c r="I143" i="8" s="1"/>
  <c r="T214" i="4"/>
  <c r="E217" i="8" s="1"/>
  <c r="AA214" i="4"/>
  <c r="L217" i="8" s="1"/>
  <c r="U129" i="2"/>
  <c r="F139" i="1" s="1"/>
  <c r="AB129" i="2"/>
  <c r="M139" i="1" s="1"/>
  <c r="Z8" i="2"/>
  <c r="K9" i="1" s="1"/>
  <c r="X18" i="2"/>
  <c r="I20" i="1" s="1"/>
  <c r="Y166" i="2"/>
  <c r="J178" i="1" s="1"/>
  <c r="R166" i="2"/>
  <c r="C178" i="1" s="1"/>
  <c r="R184" i="4"/>
  <c r="C198" i="8" s="1"/>
  <c r="Y184" i="4"/>
  <c r="J198" i="8" s="1"/>
  <c r="AA87" i="4"/>
  <c r="L94" i="8" s="1"/>
  <c r="T87" i="4"/>
  <c r="E94" i="8" s="1"/>
  <c r="T20" i="4"/>
  <c r="E22" i="8" s="1"/>
  <c r="AA20" i="4"/>
  <c r="L22" i="8" s="1"/>
  <c r="Y7" i="4"/>
  <c r="J8" i="8" s="1"/>
  <c r="R7" i="4"/>
  <c r="C8" i="8" s="1"/>
  <c r="Z176" i="2"/>
  <c r="K189" i="1" s="1"/>
  <c r="S176" i="2"/>
  <c r="D189" i="1" s="1"/>
  <c r="Y64" i="4"/>
  <c r="J69" i="8" s="1"/>
  <c r="R64" i="4"/>
  <c r="C69" i="8" s="1"/>
  <c r="R24" i="4"/>
  <c r="C26" i="8" s="1"/>
  <c r="Y24" i="4"/>
  <c r="J26" i="8" s="1"/>
  <c r="Z179" i="4"/>
  <c r="K192" i="8" s="1"/>
  <c r="S179" i="4"/>
  <c r="D192" i="8" s="1"/>
  <c r="T129" i="4"/>
  <c r="E139" i="8" s="1"/>
  <c r="Y74" i="4"/>
  <c r="J80" i="8" s="1"/>
  <c r="AB59" i="4"/>
  <c r="M64" i="8" s="1"/>
  <c r="U178" i="2"/>
  <c r="F191" i="1" s="1"/>
  <c r="T110" i="2"/>
  <c r="E118" i="1" s="1"/>
  <c r="Z53" i="4"/>
  <c r="K57" i="8" s="1"/>
  <c r="AB165" i="4"/>
  <c r="M177" i="8" s="1"/>
  <c r="U165" i="4"/>
  <c r="F177" i="8" s="1"/>
  <c r="R95" i="4"/>
  <c r="C102" i="8" s="1"/>
  <c r="S9" i="4"/>
  <c r="D10" i="8" s="1"/>
  <c r="T151" i="4"/>
  <c r="E162" i="8" s="1"/>
  <c r="U149" i="4"/>
  <c r="F160" i="8" s="1"/>
  <c r="AA62" i="4"/>
  <c r="L67" i="8" s="1"/>
  <c r="Z192" i="4"/>
  <c r="K206" i="8" s="1"/>
  <c r="AA92" i="2"/>
  <c r="L99" i="1" s="1"/>
  <c r="AA159" i="4"/>
  <c r="L171" i="8" s="1"/>
  <c r="Y31" i="2"/>
  <c r="J34" i="1" s="1"/>
  <c r="AB148" i="2"/>
  <c r="M159" i="1" s="1"/>
  <c r="U61" i="4"/>
  <c r="F66" i="8" s="1"/>
  <c r="R143" i="2"/>
  <c r="C154" i="1" s="1"/>
  <c r="Y143" i="2"/>
  <c r="J154" i="1" s="1"/>
  <c r="S109" i="2"/>
  <c r="D117" i="1" s="1"/>
  <c r="AB89" i="2"/>
  <c r="M96" i="1" s="1"/>
  <c r="AB191" i="2"/>
  <c r="M205" i="1" s="1"/>
  <c r="AB144" i="2"/>
  <c r="M155" i="1" s="1"/>
  <c r="X143" i="2"/>
  <c r="I154" i="1" s="1"/>
  <c r="Z184" i="4"/>
  <c r="K198" i="8" s="1"/>
  <c r="AB160" i="4"/>
  <c r="M172" i="8" s="1"/>
  <c r="U32" i="2"/>
  <c r="F35" i="1" s="1"/>
  <c r="R72" i="2"/>
  <c r="C78" i="1" s="1"/>
  <c r="S157" i="4"/>
  <c r="D169" i="8" s="1"/>
  <c r="Q174" i="2"/>
  <c r="B187" i="1" s="1"/>
  <c r="AB193" i="2"/>
  <c r="M207" i="1" s="1"/>
  <c r="U123" i="4"/>
  <c r="F132" i="8" s="1"/>
  <c r="S137" i="2"/>
  <c r="D147" i="1" s="1"/>
  <c r="X73" i="4"/>
  <c r="I79" i="8" s="1"/>
  <c r="X59" i="4"/>
  <c r="I64" i="8" s="1"/>
  <c r="S18" i="2"/>
  <c r="D20" i="1" s="1"/>
  <c r="Q134" i="2"/>
  <c r="B144" i="1" s="1"/>
  <c r="S131" i="4"/>
  <c r="D141" i="8" s="1"/>
  <c r="S194" i="4"/>
  <c r="D208" i="8" s="1"/>
  <c r="X114" i="2"/>
  <c r="I123" i="1" s="1"/>
  <c r="AA105" i="4"/>
  <c r="L113" i="8" s="1"/>
  <c r="Q185" i="2"/>
  <c r="B199" i="1" s="1"/>
  <c r="R104" i="4"/>
  <c r="C112" i="8" s="1"/>
  <c r="AB158" i="4"/>
  <c r="M170" i="8" s="1"/>
  <c r="AA137" i="4"/>
  <c r="L147" i="8" s="1"/>
  <c r="AB60" i="4"/>
  <c r="M65" i="8" s="1"/>
  <c r="R17" i="4"/>
  <c r="C19" i="8" s="1"/>
  <c r="U78" i="2"/>
  <c r="F84" i="1" s="1"/>
  <c r="U7" i="4"/>
  <c r="F8" i="8" s="1"/>
  <c r="I220" i="8"/>
  <c r="AA75" i="2"/>
  <c r="L81" i="1" s="1"/>
  <c r="T75" i="2"/>
  <c r="E81" i="1" s="1"/>
  <c r="AB73" i="2"/>
  <c r="M79" i="1" s="1"/>
  <c r="U73" i="2"/>
  <c r="F79" i="1" s="1"/>
  <c r="X187" i="4"/>
  <c r="I201" i="8" s="1"/>
  <c r="Q187" i="4"/>
  <c r="B201" i="8" s="1"/>
  <c r="R189" i="2"/>
  <c r="C203" i="1" s="1"/>
  <c r="Y189" i="2"/>
  <c r="J203" i="1" s="1"/>
  <c r="R187" i="2"/>
  <c r="C201" i="1" s="1"/>
  <c r="Y187" i="2"/>
  <c r="J201" i="1" s="1"/>
  <c r="Q159" i="2"/>
  <c r="B171" i="1" s="1"/>
  <c r="X159" i="2"/>
  <c r="I171" i="1" s="1"/>
  <c r="X34" i="2"/>
  <c r="I37" i="1" s="1"/>
  <c r="Q34" i="2"/>
  <c r="B37" i="1" s="1"/>
  <c r="AB158" i="2"/>
  <c r="M170" i="1" s="1"/>
  <c r="U158" i="2"/>
  <c r="F170" i="1" s="1"/>
  <c r="Q157" i="2"/>
  <c r="B169" i="1" s="1"/>
  <c r="X157" i="2"/>
  <c r="I169" i="1" s="1"/>
  <c r="X188" i="4"/>
  <c r="I202" i="8" s="1"/>
  <c r="Q188" i="4"/>
  <c r="B202" i="8" s="1"/>
  <c r="S46" i="2"/>
  <c r="D50" i="1" s="1"/>
  <c r="Z46" i="2"/>
  <c r="K50" i="1" s="1"/>
  <c r="T80" i="2"/>
  <c r="E86" i="1" s="1"/>
  <c r="AA80" i="2"/>
  <c r="L86" i="1" s="1"/>
  <c r="R18" i="2"/>
  <c r="C20" i="1" s="1"/>
  <c r="Y18" i="2"/>
  <c r="J20" i="1" s="1"/>
  <c r="AA164" i="2"/>
  <c r="L176" i="1" s="1"/>
  <c r="T164" i="2"/>
  <c r="E176" i="1" s="1"/>
  <c r="X33" i="2"/>
  <c r="I36" i="1" s="1"/>
  <c r="Q33" i="2"/>
  <c r="B36" i="1" s="1"/>
  <c r="T100" i="2"/>
  <c r="E108" i="1" s="1"/>
  <c r="AA100" i="2"/>
  <c r="L108" i="1" s="1"/>
  <c r="Q180" i="2"/>
  <c r="B193" i="1" s="1"/>
  <c r="X180" i="2"/>
  <c r="I193" i="1" s="1"/>
  <c r="T50" i="2"/>
  <c r="E54" i="1" s="1"/>
  <c r="AA50" i="2"/>
  <c r="L54" i="1" s="1"/>
  <c r="U163" i="2"/>
  <c r="F175" i="1" s="1"/>
  <c r="AB163" i="2"/>
  <c r="M175" i="1" s="1"/>
  <c r="AA161" i="2"/>
  <c r="L173" i="1" s="1"/>
  <c r="T161" i="2"/>
  <c r="E173" i="1" s="1"/>
  <c r="Y136" i="2"/>
  <c r="J146" i="1" s="1"/>
  <c r="R136" i="2"/>
  <c r="C146" i="1" s="1"/>
  <c r="AB161" i="2"/>
  <c r="M173" i="1" s="1"/>
  <c r="U161" i="2"/>
  <c r="F173" i="1" s="1"/>
  <c r="Y135" i="2"/>
  <c r="J145" i="1" s="1"/>
  <c r="R135" i="2"/>
  <c r="C145" i="1" s="1"/>
  <c r="AA25" i="2"/>
  <c r="L27" i="1" s="1"/>
  <c r="T25" i="2"/>
  <c r="E27" i="1" s="1"/>
  <c r="Y93" i="4"/>
  <c r="J100" i="8" s="1"/>
  <c r="R93" i="4"/>
  <c r="C100" i="8" s="1"/>
  <c r="R26" i="2"/>
  <c r="C28" i="1" s="1"/>
  <c r="Y26" i="2"/>
  <c r="J28" i="1" s="1"/>
  <c r="AA123" i="4"/>
  <c r="L132" i="8" s="1"/>
  <c r="T123" i="4"/>
  <c r="E132" i="8" s="1"/>
  <c r="AA86" i="2"/>
  <c r="L93" i="1" s="1"/>
  <c r="T86" i="2"/>
  <c r="E93" i="1" s="1"/>
  <c r="S44" i="4"/>
  <c r="D48" i="8" s="1"/>
  <c r="Z44" i="4"/>
  <c r="K48" i="8" s="1"/>
  <c r="T114" i="4"/>
  <c r="E123" i="8" s="1"/>
  <c r="AA114" i="4"/>
  <c r="L123" i="8" s="1"/>
  <c r="Z31" i="2"/>
  <c r="K34" i="1" s="1"/>
  <c r="S31" i="2"/>
  <c r="D34" i="1" s="1"/>
  <c r="Y87" i="2"/>
  <c r="J94" i="1" s="1"/>
  <c r="R87" i="2"/>
  <c r="C94" i="1" s="1"/>
  <c r="T143" i="2"/>
  <c r="E154" i="1" s="1"/>
  <c r="AA143" i="2"/>
  <c r="L154" i="1" s="1"/>
  <c r="Z211" i="4"/>
  <c r="K214" i="8" s="1"/>
  <c r="S211" i="4"/>
  <c r="D214" i="8" s="1"/>
  <c r="Y157" i="4"/>
  <c r="J169" i="8" s="1"/>
  <c r="R157" i="4"/>
  <c r="C169" i="8" s="1"/>
  <c r="AA32" i="2"/>
  <c r="L35" i="1" s="1"/>
  <c r="T32" i="2"/>
  <c r="E35" i="1" s="1"/>
  <c r="AA144" i="2"/>
  <c r="L155" i="1" s="1"/>
  <c r="T144" i="2"/>
  <c r="E155" i="1" s="1"/>
  <c r="T212" i="4"/>
  <c r="E215" i="8" s="1"/>
  <c r="AA212" i="4"/>
  <c r="L215" i="8" s="1"/>
  <c r="U88" i="4"/>
  <c r="F95" i="8" s="1"/>
  <c r="AB88" i="4"/>
  <c r="M95" i="8" s="1"/>
  <c r="T116" i="4"/>
  <c r="E125" i="8" s="1"/>
  <c r="AA116" i="4"/>
  <c r="L125" i="8" s="1"/>
  <c r="Q5" i="4"/>
  <c r="B6" i="8" s="1"/>
  <c r="X5" i="4"/>
  <c r="I6" i="8" s="1"/>
  <c r="Y19" i="4"/>
  <c r="J21" i="8" s="1"/>
  <c r="R19" i="4"/>
  <c r="C21" i="8" s="1"/>
  <c r="AB89" i="4"/>
  <c r="M96" i="8" s="1"/>
  <c r="U89" i="4"/>
  <c r="F96" i="8" s="1"/>
  <c r="U159" i="4"/>
  <c r="F171" i="8" s="1"/>
  <c r="AB159" i="4"/>
  <c r="M171" i="8" s="1"/>
  <c r="Z187" i="4"/>
  <c r="K201" i="8" s="1"/>
  <c r="S187" i="4"/>
  <c r="D201" i="8" s="1"/>
  <c r="U34" i="2"/>
  <c r="F37" i="1" s="1"/>
  <c r="AB34" i="2"/>
  <c r="M37" i="1" s="1"/>
  <c r="U90" i="2"/>
  <c r="F97" i="1" s="1"/>
  <c r="AB90" i="2"/>
  <c r="M97" i="1" s="1"/>
  <c r="T35" i="2"/>
  <c r="E38" i="1" s="1"/>
  <c r="AA35" i="2"/>
  <c r="L38" i="1" s="1"/>
  <c r="Y119" i="2"/>
  <c r="J128" i="1" s="1"/>
  <c r="R119" i="2"/>
  <c r="C128" i="1" s="1"/>
  <c r="R175" i="2"/>
  <c r="C188" i="1" s="1"/>
  <c r="Y175" i="2"/>
  <c r="J188" i="1" s="1"/>
  <c r="R35" i="4"/>
  <c r="C38" i="8" s="1"/>
  <c r="Y35" i="4"/>
  <c r="J38" i="8" s="1"/>
  <c r="U105" i="4"/>
  <c r="F113" i="8" s="1"/>
  <c r="AB105" i="4"/>
  <c r="M113" i="8" s="1"/>
  <c r="AB161" i="4"/>
  <c r="M173" i="8" s="1"/>
  <c r="U161" i="4"/>
  <c r="F173" i="8" s="1"/>
  <c r="S65" i="2"/>
  <c r="D70" i="1" s="1"/>
  <c r="Z65" i="2"/>
  <c r="K70" i="1" s="1"/>
  <c r="AB79" i="4"/>
  <c r="M85" i="8" s="1"/>
  <c r="U79" i="4"/>
  <c r="F85" i="8" s="1"/>
  <c r="Q179" i="4"/>
  <c r="B192" i="8" s="1"/>
  <c r="X179" i="4"/>
  <c r="I192" i="8" s="1"/>
  <c r="S179" i="2"/>
  <c r="D192" i="1" s="1"/>
  <c r="Z179" i="2"/>
  <c r="K192" i="1" s="1"/>
  <c r="S82" i="4"/>
  <c r="D88" i="8" s="1"/>
  <c r="Z82" i="4"/>
  <c r="K88" i="8" s="1"/>
  <c r="AB45" i="4"/>
  <c r="M49" i="8" s="1"/>
  <c r="AA33" i="4"/>
  <c r="L36" i="8" s="1"/>
  <c r="U180" i="4"/>
  <c r="F193" i="8" s="1"/>
  <c r="AB8" i="2"/>
  <c r="M9" i="1" s="1"/>
  <c r="Z74" i="2"/>
  <c r="K80" i="1" s="1"/>
  <c r="S74" i="2"/>
  <c r="D80" i="1" s="1"/>
  <c r="Q51" i="4"/>
  <c r="B55" i="8" s="1"/>
  <c r="Z2" i="2"/>
  <c r="K3" i="1" s="1"/>
  <c r="U143" i="2"/>
  <c r="F154" i="1" s="1"/>
  <c r="Z190" i="4"/>
  <c r="K204" i="8" s="1"/>
  <c r="Y134" i="4"/>
  <c r="J144" i="8" s="1"/>
  <c r="R173" i="4"/>
  <c r="C186" i="8" s="1"/>
  <c r="R130" i="4"/>
  <c r="C140" i="8" s="1"/>
  <c r="Q144" i="2"/>
  <c r="B155" i="1" s="1"/>
  <c r="T2" i="2"/>
  <c r="E3" i="1" s="1"/>
  <c r="T17" i="2"/>
  <c r="E19" i="1" s="1"/>
  <c r="T51" i="4"/>
  <c r="E55" i="8" s="1"/>
  <c r="AB179" i="2"/>
  <c r="M192" i="1" s="1"/>
  <c r="S45" i="4"/>
  <c r="D49" i="8" s="1"/>
  <c r="AA130" i="2"/>
  <c r="L140" i="1" s="1"/>
  <c r="Y188" i="4"/>
  <c r="J202" i="8" s="1"/>
  <c r="Q101" i="4"/>
  <c r="B109" i="8" s="1"/>
  <c r="AA138" i="4"/>
  <c r="L148" i="8" s="1"/>
  <c r="T134" i="4"/>
  <c r="E144" i="8" s="1"/>
  <c r="R128" i="4"/>
  <c r="C138" i="8" s="1"/>
  <c r="Z90" i="4"/>
  <c r="K97" i="8" s="1"/>
  <c r="Z86" i="4"/>
  <c r="K93" i="8" s="1"/>
  <c r="T9" i="4"/>
  <c r="E10" i="8" s="1"/>
  <c r="T104" i="4"/>
  <c r="E112" i="8" s="1"/>
  <c r="T90" i="4"/>
  <c r="E97" i="8" s="1"/>
  <c r="S128" i="2"/>
  <c r="D138" i="1" s="1"/>
  <c r="R58" i="4"/>
  <c r="C63" i="8" s="1"/>
  <c r="U64" i="4"/>
  <c r="F69" i="8" s="1"/>
  <c r="R72" i="4"/>
  <c r="C78" i="8" s="1"/>
  <c r="Y135" i="4"/>
  <c r="J145" i="8" s="1"/>
  <c r="U105" i="2"/>
  <c r="F113" i="1" s="1"/>
  <c r="Q144" i="4"/>
  <c r="B155" i="8" s="1"/>
  <c r="R89" i="2"/>
  <c r="C96" i="1" s="1"/>
  <c r="T165" i="2"/>
  <c r="E177" i="1" s="1"/>
  <c r="T74" i="2"/>
  <c r="E80" i="1" s="1"/>
  <c r="T20" i="2"/>
  <c r="E22" i="1" s="1"/>
  <c r="U26" i="2"/>
  <c r="F28" i="1" s="1"/>
  <c r="Q189" i="2"/>
  <c r="B203" i="1" s="1"/>
  <c r="Z156" i="2"/>
  <c r="K168" i="1" s="1"/>
  <c r="S177" i="4"/>
  <c r="D190" i="8" s="1"/>
  <c r="U17" i="4"/>
  <c r="F19" i="8" s="1"/>
  <c r="Y59" i="2"/>
  <c r="J64" i="1" s="1"/>
  <c r="Z129" i="4"/>
  <c r="K139" i="8" s="1"/>
  <c r="AA30" i="2"/>
  <c r="L33" i="1" s="1"/>
  <c r="S184" i="2"/>
  <c r="D198" i="1" s="1"/>
  <c r="S118" i="4"/>
  <c r="D127" i="8" s="1"/>
  <c r="AA88" i="2"/>
  <c r="L95" i="1" s="1"/>
  <c r="R18" i="4"/>
  <c r="C20" i="8" s="1"/>
  <c r="U134" i="2"/>
  <c r="F144" i="1" s="1"/>
  <c r="S16" i="4"/>
  <c r="D18" i="8" s="1"/>
  <c r="Q148" i="2"/>
  <c r="B159" i="1" s="1"/>
  <c r="T132" i="4"/>
  <c r="E142" i="8" s="1"/>
  <c r="Q116" i="2"/>
  <c r="B125" i="1" s="1"/>
  <c r="U128" i="4"/>
  <c r="F138" i="8" s="1"/>
  <c r="X138" i="2"/>
  <c r="I148" i="1" s="1"/>
  <c r="Z17" i="2"/>
  <c r="K19" i="1" s="1"/>
  <c r="Z53" i="2"/>
  <c r="K57" i="1" s="1"/>
  <c r="X66" i="4"/>
  <c r="I71" i="8" s="1"/>
  <c r="Q149" i="2"/>
  <c r="B160" i="1" s="1"/>
  <c r="Q175" i="4"/>
  <c r="B188" i="8" s="1"/>
  <c r="AA86" i="4"/>
  <c r="L93" i="8" s="1"/>
  <c r="T94" i="4"/>
  <c r="E101" i="8" s="1"/>
  <c r="Y210" i="4"/>
  <c r="J213" i="8" s="1"/>
  <c r="AB165" i="2"/>
  <c r="M177" i="1" s="1"/>
  <c r="I216" i="8"/>
  <c r="U185" i="2"/>
  <c r="F199" i="1" s="1"/>
  <c r="R131" i="2"/>
  <c r="C141" i="1" s="1"/>
  <c r="X163" i="2"/>
  <c r="I175" i="1" s="1"/>
  <c r="Q163" i="2"/>
  <c r="B175" i="1" s="1"/>
  <c r="Z136" i="2"/>
  <c r="K146" i="1" s="1"/>
  <c r="S136" i="2"/>
  <c r="D146" i="1" s="1"/>
  <c r="X53" i="2"/>
  <c r="I57" i="1" s="1"/>
  <c r="Q53" i="2"/>
  <c r="B57" i="1" s="1"/>
  <c r="T151" i="2"/>
  <c r="E162" i="1" s="1"/>
  <c r="AA151" i="2"/>
  <c r="L162" i="1" s="1"/>
  <c r="AB137" i="4"/>
  <c r="M147" i="8" s="1"/>
  <c r="U137" i="4"/>
  <c r="F147" i="8" s="1"/>
  <c r="R30" i="2"/>
  <c r="C33" i="1" s="1"/>
  <c r="Y30" i="2"/>
  <c r="J33" i="1" s="1"/>
  <c r="T172" i="4"/>
  <c r="E185" i="8" s="1"/>
  <c r="AA172" i="4"/>
  <c r="L185" i="8" s="1"/>
  <c r="AA12" i="4"/>
  <c r="L13" i="8" s="1"/>
  <c r="X114" i="4"/>
  <c r="I123" i="8" s="1"/>
  <c r="T220" i="4"/>
  <c r="E223" i="8" s="1"/>
  <c r="Y52" i="2"/>
  <c r="J56" i="1" s="1"/>
  <c r="X129" i="4"/>
  <c r="I139" i="8" s="1"/>
  <c r="AB11" i="4"/>
  <c r="M12" i="8" s="1"/>
  <c r="Q193" i="2"/>
  <c r="B207" i="1" s="1"/>
  <c r="R211" i="4"/>
  <c r="C214" i="8" s="1"/>
  <c r="AA158" i="2"/>
  <c r="L170" i="1" s="1"/>
  <c r="Z79" i="2"/>
  <c r="K85" i="1" s="1"/>
  <c r="T45" i="2"/>
  <c r="E49" i="1" s="1"/>
  <c r="U135" i="2"/>
  <c r="F145" i="1" s="1"/>
  <c r="U24" i="2"/>
  <c r="F26" i="1" s="1"/>
  <c r="Z166" i="2"/>
  <c r="K178" i="1" s="1"/>
  <c r="S114" i="4"/>
  <c r="D123" i="8" s="1"/>
  <c r="X45" i="2"/>
  <c r="I49" i="1" s="1"/>
  <c r="Q45" i="2"/>
  <c r="B49" i="1" s="1"/>
  <c r="Q119" i="4"/>
  <c r="B128" i="8" s="1"/>
  <c r="X119" i="4"/>
  <c r="I128" i="8" s="1"/>
  <c r="Q124" i="4"/>
  <c r="B133" i="8" s="1"/>
  <c r="X124" i="4"/>
  <c r="I133" i="8" s="1"/>
  <c r="Q156" i="2"/>
  <c r="B168" i="1" s="1"/>
  <c r="X156" i="2"/>
  <c r="I168" i="1" s="1"/>
  <c r="AB4" i="2"/>
  <c r="M5" i="1" s="1"/>
  <c r="U4" i="2"/>
  <c r="F5" i="1" s="1"/>
  <c r="R60" i="4"/>
  <c r="C65" i="8" s="1"/>
  <c r="Y60" i="4"/>
  <c r="J65" i="8" s="1"/>
  <c r="U173" i="4"/>
  <c r="F186" i="8" s="1"/>
  <c r="AB173" i="4"/>
  <c r="M186" i="8" s="1"/>
  <c r="Z25" i="2"/>
  <c r="K27" i="1" s="1"/>
  <c r="S25" i="2"/>
  <c r="D27" i="1" s="1"/>
  <c r="AA95" i="2"/>
  <c r="L102" i="1" s="1"/>
  <c r="T95" i="2"/>
  <c r="E102" i="1" s="1"/>
  <c r="U34" i="4"/>
  <c r="F37" i="8" s="1"/>
  <c r="X75" i="4"/>
  <c r="I81" i="8" s="1"/>
  <c r="Q158" i="4"/>
  <c r="B170" i="8" s="1"/>
  <c r="R65" i="2"/>
  <c r="C70" i="1" s="1"/>
  <c r="T59" i="2"/>
  <c r="E64" i="1" s="1"/>
  <c r="X151" i="2"/>
  <c r="I162" i="1" s="1"/>
  <c r="U133" i="2"/>
  <c r="F143" i="1" s="1"/>
  <c r="AA3" i="2"/>
  <c r="L4" i="1" s="1"/>
  <c r="Q23" i="2"/>
  <c r="B25" i="1" s="1"/>
  <c r="X81" i="2"/>
  <c r="I87" i="1" s="1"/>
  <c r="Q50" i="2"/>
  <c r="B54" i="1" s="1"/>
  <c r="X59" i="2"/>
  <c r="I64" i="1" s="1"/>
  <c r="Q74" i="2"/>
  <c r="B80" i="1" s="1"/>
  <c r="X90" i="2"/>
  <c r="I97" i="1" s="1"/>
  <c r="X105" i="2"/>
  <c r="I113" i="1" s="1"/>
  <c r="X128" i="2"/>
  <c r="I138" i="1" s="1"/>
  <c r="X176" i="2"/>
  <c r="I189" i="1" s="1"/>
  <c r="Q191" i="2"/>
  <c r="B205" i="1" s="1"/>
  <c r="Q9" i="4"/>
  <c r="B10" i="8" s="1"/>
  <c r="X26" i="4"/>
  <c r="I28" i="8" s="1"/>
  <c r="Q35" i="4"/>
  <c r="B38" i="8" s="1"/>
  <c r="Q52" i="4"/>
  <c r="B56" i="8" s="1"/>
  <c r="Q58" i="4"/>
  <c r="B63" i="8" s="1"/>
  <c r="Q61" i="4"/>
  <c r="B66" i="8" s="1"/>
  <c r="Q95" i="4"/>
  <c r="B102" i="8" s="1"/>
  <c r="X87" i="4"/>
  <c r="I94" i="8" s="1"/>
  <c r="Q104" i="4"/>
  <c r="B112" i="8" s="1"/>
  <c r="X121" i="4"/>
  <c r="I130" i="8" s="1"/>
  <c r="X147" i="4"/>
  <c r="I158" i="8" s="1"/>
  <c r="Q173" i="4"/>
  <c r="B186" i="8" s="1"/>
  <c r="X190" i="4"/>
  <c r="I204" i="8" s="1"/>
  <c r="X211" i="4"/>
  <c r="I214" i="8" s="1"/>
  <c r="R102" i="2"/>
  <c r="C110" i="1" s="1"/>
  <c r="Y102" i="2"/>
  <c r="J110" i="1" s="1"/>
  <c r="S103" i="2"/>
  <c r="D111" i="1" s="1"/>
  <c r="Z103" i="2"/>
  <c r="K111" i="1" s="1"/>
  <c r="S100" i="2"/>
  <c r="D108" i="1" s="1"/>
  <c r="Z100" i="2"/>
  <c r="K108" i="1" s="1"/>
  <c r="U45" i="2"/>
  <c r="F49" i="1" s="1"/>
  <c r="AB45" i="2"/>
  <c r="M49" i="1" s="1"/>
  <c r="X115" i="4"/>
  <c r="I124" i="8" s="1"/>
  <c r="Q115" i="4"/>
  <c r="B124" i="8" s="1"/>
  <c r="X156" i="4"/>
  <c r="I168" i="8" s="1"/>
  <c r="Q156" i="4"/>
  <c r="B168" i="8" s="1"/>
  <c r="AB77" i="2"/>
  <c r="M83" i="1" s="1"/>
  <c r="U77" i="2"/>
  <c r="F83" i="1" s="1"/>
  <c r="R48" i="2"/>
  <c r="C52" i="1" s="1"/>
  <c r="Y48" i="2"/>
  <c r="J52" i="1" s="1"/>
  <c r="Q104" i="2"/>
  <c r="B112" i="1" s="1"/>
  <c r="X104" i="2"/>
  <c r="I112" i="1" s="1"/>
  <c r="Y81" i="2"/>
  <c r="J87" i="1" s="1"/>
  <c r="R81" i="2"/>
  <c r="C87" i="1" s="1"/>
  <c r="R106" i="2"/>
  <c r="C114" i="1" s="1"/>
  <c r="Y106" i="2"/>
  <c r="J114" i="1" s="1"/>
  <c r="Z138" i="2"/>
  <c r="K148" i="1" s="1"/>
  <c r="S138" i="2"/>
  <c r="D148" i="1" s="1"/>
  <c r="S186" i="2"/>
  <c r="D200" i="1" s="1"/>
  <c r="Z186" i="2"/>
  <c r="K200" i="1" s="1"/>
  <c r="Q76" i="2"/>
  <c r="B82" i="1" s="1"/>
  <c r="X76" i="2"/>
  <c r="I82" i="1" s="1"/>
  <c r="U106" i="2"/>
  <c r="F114" i="1" s="1"/>
  <c r="AB106" i="2"/>
  <c r="M114" i="1" s="1"/>
  <c r="X8" i="4"/>
  <c r="I9" i="8" s="1"/>
  <c r="Q8" i="4"/>
  <c r="B9" i="8" s="1"/>
  <c r="Q66" i="2"/>
  <c r="B71" i="1" s="1"/>
  <c r="X66" i="2"/>
  <c r="I71" i="1" s="1"/>
  <c r="Y162" i="2"/>
  <c r="J174" i="1" s="1"/>
  <c r="R162" i="2"/>
  <c r="C174" i="1" s="1"/>
  <c r="X25" i="4"/>
  <c r="I27" i="8" s="1"/>
  <c r="Q25" i="4"/>
  <c r="B27" i="8" s="1"/>
  <c r="Y165" i="2"/>
  <c r="J177" i="1" s="1"/>
  <c r="R165" i="2"/>
  <c r="C177" i="1" s="1"/>
  <c r="Q152" i="2"/>
  <c r="B163" i="1" s="1"/>
  <c r="X152" i="2"/>
  <c r="I163" i="1" s="1"/>
  <c r="U114" i="2"/>
  <c r="F123" i="1" s="1"/>
  <c r="AB114" i="2"/>
  <c r="M123" i="1" s="1"/>
  <c r="Y2" i="4"/>
  <c r="J3" i="8" s="1"/>
  <c r="R2" i="4"/>
  <c r="C3" i="8" s="1"/>
  <c r="AB72" i="4"/>
  <c r="M78" i="8" s="1"/>
  <c r="U72" i="4"/>
  <c r="F78" i="8" s="1"/>
  <c r="AA156" i="4"/>
  <c r="L168" i="8" s="1"/>
  <c r="T156" i="4"/>
  <c r="E168" i="8" s="1"/>
  <c r="Y3" i="2"/>
  <c r="J4" i="1" s="1"/>
  <c r="R3" i="2"/>
  <c r="C4" i="1" s="1"/>
  <c r="Y115" i="2"/>
  <c r="J124" i="1" s="1"/>
  <c r="R115" i="2"/>
  <c r="C124" i="1" s="1"/>
  <c r="R3" i="4"/>
  <c r="C4" i="8" s="1"/>
  <c r="Y3" i="4"/>
  <c r="J4" i="8" s="1"/>
  <c r="S73" i="4"/>
  <c r="D79" i="8" s="1"/>
  <c r="Z73" i="4"/>
  <c r="K79" i="8" s="1"/>
  <c r="AB157" i="4"/>
  <c r="M169" i="8" s="1"/>
  <c r="U157" i="4"/>
  <c r="F169" i="8" s="1"/>
  <c r="S4" i="2"/>
  <c r="D5" i="1" s="1"/>
  <c r="Z4" i="2"/>
  <c r="K5" i="1" s="1"/>
  <c r="S116" i="2"/>
  <c r="D125" i="1" s="1"/>
  <c r="Z116" i="2"/>
  <c r="K125" i="1" s="1"/>
  <c r="AB18" i="4"/>
  <c r="M20" i="8" s="1"/>
  <c r="U18" i="4"/>
  <c r="F20" i="8" s="1"/>
  <c r="AA74" i="4"/>
  <c r="L80" i="8" s="1"/>
  <c r="T74" i="4"/>
  <c r="E80" i="8" s="1"/>
  <c r="Y144" i="4"/>
  <c r="J155" i="8" s="1"/>
  <c r="R144" i="4"/>
  <c r="C155" i="8" s="1"/>
  <c r="R5" i="2"/>
  <c r="C6" i="1" s="1"/>
  <c r="Y5" i="2"/>
  <c r="J6" i="1" s="1"/>
  <c r="T145" i="2"/>
  <c r="E156" i="1" s="1"/>
  <c r="AA145" i="2"/>
  <c r="L156" i="1" s="1"/>
  <c r="AB19" i="4"/>
  <c r="M21" i="8" s="1"/>
  <c r="U19" i="4"/>
  <c r="F21" i="8" s="1"/>
  <c r="T75" i="4"/>
  <c r="E81" i="8" s="1"/>
  <c r="AA75" i="4"/>
  <c r="L81" i="8" s="1"/>
  <c r="AA145" i="4"/>
  <c r="L156" i="8" s="1"/>
  <c r="T145" i="4"/>
  <c r="E156" i="8" s="1"/>
  <c r="S6" i="2"/>
  <c r="D7" i="1" s="1"/>
  <c r="Z6" i="2"/>
  <c r="K7" i="1" s="1"/>
  <c r="T118" i="2"/>
  <c r="E127" i="1" s="1"/>
  <c r="AA118" i="2"/>
  <c r="L127" i="1" s="1"/>
  <c r="AB174" i="2"/>
  <c r="M187" i="1" s="1"/>
  <c r="U174" i="2"/>
  <c r="F187" i="1" s="1"/>
  <c r="AB62" i="4"/>
  <c r="M67" i="8" s="1"/>
  <c r="U62" i="4"/>
  <c r="F67" i="8" s="1"/>
  <c r="Y174" i="4"/>
  <c r="J187" i="8" s="1"/>
  <c r="R174" i="4"/>
  <c r="C187" i="8" s="1"/>
  <c r="S63" i="2"/>
  <c r="D68" i="1" s="1"/>
  <c r="Z63" i="2"/>
  <c r="K68" i="1" s="1"/>
  <c r="U175" i="2"/>
  <c r="F188" i="1" s="1"/>
  <c r="AB175" i="2"/>
  <c r="M188" i="1" s="1"/>
  <c r="AB35" i="4"/>
  <c r="M38" i="8" s="1"/>
  <c r="U35" i="4"/>
  <c r="F38" i="8" s="1"/>
  <c r="Q46" i="2"/>
  <c r="B50" i="1" s="1"/>
  <c r="X46" i="2"/>
  <c r="I50" i="1" s="1"/>
  <c r="Q64" i="2"/>
  <c r="B69" i="1" s="1"/>
  <c r="X64" i="2"/>
  <c r="I69" i="1" s="1"/>
  <c r="Q82" i="4"/>
  <c r="B88" i="8" s="1"/>
  <c r="X82" i="4"/>
  <c r="I88" i="8" s="1"/>
  <c r="U44" i="2"/>
  <c r="F48" i="1" s="1"/>
  <c r="AB44" i="2"/>
  <c r="M48" i="1" s="1"/>
  <c r="X121" i="2"/>
  <c r="I130" i="1" s="1"/>
  <c r="Q121" i="2"/>
  <c r="B130" i="1" s="1"/>
  <c r="X80" i="4"/>
  <c r="I86" i="8" s="1"/>
  <c r="Q80" i="4"/>
  <c r="B86" i="8" s="1"/>
  <c r="S130" i="2"/>
  <c r="D140" i="1" s="1"/>
  <c r="Z130" i="2"/>
  <c r="K140" i="1" s="1"/>
  <c r="Z50" i="2"/>
  <c r="K54" i="1" s="1"/>
  <c r="S50" i="2"/>
  <c r="D54" i="1" s="1"/>
  <c r="Q74" i="4"/>
  <c r="B80" i="8" s="1"/>
  <c r="X74" i="4"/>
  <c r="I80" i="8" s="1"/>
  <c r="X108" i="4"/>
  <c r="I116" i="8" s="1"/>
  <c r="Q108" i="4"/>
  <c r="B116" i="8" s="1"/>
  <c r="Q21" i="2"/>
  <c r="B23" i="1" s="1"/>
  <c r="X21" i="2"/>
  <c r="I23" i="1" s="1"/>
  <c r="S21" i="2"/>
  <c r="D23" i="1" s="1"/>
  <c r="Z21" i="2"/>
  <c r="K23" i="1" s="1"/>
  <c r="X54" i="4"/>
  <c r="I58" i="8" s="1"/>
  <c r="Q54" i="4"/>
  <c r="B58" i="8" s="1"/>
  <c r="AA26" i="2"/>
  <c r="L28" i="1" s="1"/>
  <c r="T26" i="2"/>
  <c r="E28" i="1" s="1"/>
  <c r="Z82" i="2"/>
  <c r="K88" i="1" s="1"/>
  <c r="S82" i="2"/>
  <c r="D88" i="1" s="1"/>
  <c r="Q37" i="4"/>
  <c r="B40" i="8" s="1"/>
  <c r="X37" i="4"/>
  <c r="I40" i="8" s="1"/>
  <c r="Q82" i="2"/>
  <c r="B88" i="1" s="1"/>
  <c r="X82" i="2"/>
  <c r="I88" i="1" s="1"/>
  <c r="AA53" i="2"/>
  <c r="L57" i="1" s="1"/>
  <c r="T53" i="2"/>
  <c r="E57" i="1" s="1"/>
  <c r="Z190" i="2"/>
  <c r="K204" i="1" s="1"/>
  <c r="S190" i="2"/>
  <c r="D204" i="1" s="1"/>
  <c r="Q179" i="2"/>
  <c r="B192" i="1" s="1"/>
  <c r="X179" i="2"/>
  <c r="I192" i="1" s="1"/>
  <c r="AB65" i="2"/>
  <c r="M70" i="1" s="1"/>
  <c r="U65" i="2"/>
  <c r="F70" i="1" s="1"/>
  <c r="T122" i="4"/>
  <c r="E131" i="8" s="1"/>
  <c r="AA122" i="4"/>
  <c r="L131" i="8" s="1"/>
  <c r="T53" i="4"/>
  <c r="E57" i="8" s="1"/>
  <c r="AA53" i="4"/>
  <c r="L57" i="8" s="1"/>
  <c r="Q96" i="2"/>
  <c r="B103" i="1" s="1"/>
  <c r="X96" i="2"/>
  <c r="I103" i="1" s="1"/>
  <c r="AA58" i="2"/>
  <c r="L63" i="1" s="1"/>
  <c r="T58" i="2"/>
  <c r="E63" i="1" s="1"/>
  <c r="T170" i="2"/>
  <c r="E183" i="1" s="1"/>
  <c r="AA170" i="2"/>
  <c r="L183" i="1" s="1"/>
  <c r="Y30" i="4"/>
  <c r="J33" i="8" s="1"/>
  <c r="R30" i="4"/>
  <c r="C33" i="8" s="1"/>
  <c r="Z100" i="4"/>
  <c r="K108" i="8" s="1"/>
  <c r="S100" i="4"/>
  <c r="D108" i="8" s="1"/>
  <c r="U184" i="4"/>
  <c r="F198" i="8" s="1"/>
  <c r="AB184" i="4"/>
  <c r="M198" i="8" s="1"/>
  <c r="U87" i="2"/>
  <c r="F94" i="1" s="1"/>
  <c r="AB87" i="2"/>
  <c r="M94" i="1" s="1"/>
  <c r="R171" i="2"/>
  <c r="C184" i="1" s="1"/>
  <c r="Y171" i="2"/>
  <c r="J184" i="1" s="1"/>
  <c r="AA45" i="4"/>
  <c r="L49" i="8" s="1"/>
  <c r="T45" i="4"/>
  <c r="E49" i="8" s="1"/>
  <c r="R101" i="4"/>
  <c r="C109" i="8" s="1"/>
  <c r="Y101" i="4"/>
  <c r="J109" i="8" s="1"/>
  <c r="AB185" i="4"/>
  <c r="M199" i="8" s="1"/>
  <c r="U185" i="4"/>
  <c r="F199" i="8" s="1"/>
  <c r="Z60" i="2"/>
  <c r="K65" i="1" s="1"/>
  <c r="S60" i="2"/>
  <c r="D65" i="1" s="1"/>
  <c r="T172" i="2"/>
  <c r="E185" i="1" s="1"/>
  <c r="AA172" i="2"/>
  <c r="L185" i="1" s="1"/>
  <c r="T46" i="4"/>
  <c r="E50" i="8" s="1"/>
  <c r="AA46" i="4"/>
  <c r="L50" i="8" s="1"/>
  <c r="Z102" i="4"/>
  <c r="K110" i="8" s="1"/>
  <c r="S102" i="4"/>
  <c r="D110" i="8" s="1"/>
  <c r="T186" i="4"/>
  <c r="E200" i="8" s="1"/>
  <c r="AA186" i="4"/>
  <c r="L200" i="8" s="1"/>
  <c r="S61" i="2"/>
  <c r="D66" i="1" s="1"/>
  <c r="Z61" i="2"/>
  <c r="K66" i="1" s="1"/>
  <c r="AA213" i="4"/>
  <c r="L216" i="8" s="1"/>
  <c r="T213" i="4"/>
  <c r="E216" i="8" s="1"/>
  <c r="U47" i="4"/>
  <c r="F51" i="8" s="1"/>
  <c r="AB47" i="4"/>
  <c r="M51" i="8" s="1"/>
  <c r="T103" i="4"/>
  <c r="E111" i="8" s="1"/>
  <c r="AA103" i="4"/>
  <c r="L111" i="8" s="1"/>
  <c r="S173" i="4"/>
  <c r="D186" i="8" s="1"/>
  <c r="Z173" i="4"/>
  <c r="K186" i="8" s="1"/>
  <c r="T62" i="2"/>
  <c r="E67" i="1" s="1"/>
  <c r="AA62" i="2"/>
  <c r="L67" i="1" s="1"/>
  <c r="S6" i="4"/>
  <c r="D7" i="8" s="1"/>
  <c r="Z6" i="4"/>
  <c r="K7" i="8" s="1"/>
  <c r="R90" i="4"/>
  <c r="C97" i="8" s="1"/>
  <c r="Y90" i="4"/>
  <c r="J97" i="8" s="1"/>
  <c r="Z146" i="4"/>
  <c r="K157" i="8" s="1"/>
  <c r="S146" i="4"/>
  <c r="D157" i="8" s="1"/>
  <c r="Y7" i="2"/>
  <c r="J8" i="1" s="1"/>
  <c r="R7" i="2"/>
  <c r="C8" i="1" s="1"/>
  <c r="Y105" i="2"/>
  <c r="J113" i="1" s="1"/>
  <c r="R105" i="2"/>
  <c r="C113" i="1" s="1"/>
  <c r="R215" i="4"/>
  <c r="C218" i="8" s="1"/>
  <c r="Y215" i="4"/>
  <c r="J218" i="8" s="1"/>
  <c r="U63" i="4"/>
  <c r="F68" i="8" s="1"/>
  <c r="AB63" i="4"/>
  <c r="M68" i="8" s="1"/>
  <c r="AA147" i="4"/>
  <c r="L158" i="8" s="1"/>
  <c r="T147" i="4"/>
  <c r="E158" i="8" s="1"/>
  <c r="AA8" i="2"/>
  <c r="L9" i="1" s="1"/>
  <c r="T8" i="2"/>
  <c r="E9" i="1" s="1"/>
  <c r="S120" i="2"/>
  <c r="D129" i="1" s="1"/>
  <c r="Z120" i="2"/>
  <c r="K129" i="1" s="1"/>
  <c r="Y216" i="4"/>
  <c r="J219" i="8" s="1"/>
  <c r="R216" i="4"/>
  <c r="C219" i="8" s="1"/>
  <c r="S50" i="4"/>
  <c r="D54" i="8" s="1"/>
  <c r="Z50" i="4"/>
  <c r="K54" i="8" s="1"/>
  <c r="AA120" i="4"/>
  <c r="L129" i="8" s="1"/>
  <c r="T120" i="4"/>
  <c r="E129" i="8" s="1"/>
  <c r="Y190" i="4"/>
  <c r="J204" i="8" s="1"/>
  <c r="R190" i="4"/>
  <c r="C204" i="8" s="1"/>
  <c r="S93" i="2"/>
  <c r="D100" i="1" s="1"/>
  <c r="Z93" i="2"/>
  <c r="K100" i="1" s="1"/>
  <c r="Z217" i="4"/>
  <c r="K220" i="8" s="1"/>
  <c r="S217" i="4"/>
  <c r="D220" i="8" s="1"/>
  <c r="AA65" i="4"/>
  <c r="L70" i="8" s="1"/>
  <c r="T65" i="4"/>
  <c r="E70" i="8" s="1"/>
  <c r="Z121" i="4"/>
  <c r="K130" i="8" s="1"/>
  <c r="S121" i="4"/>
  <c r="D130" i="8" s="1"/>
  <c r="U135" i="4"/>
  <c r="F145" i="8" s="1"/>
  <c r="AB135" i="4"/>
  <c r="M145" i="8" s="1"/>
  <c r="R94" i="2"/>
  <c r="C101" i="1" s="1"/>
  <c r="Y94" i="2"/>
  <c r="J101" i="1" s="1"/>
  <c r="U218" i="4"/>
  <c r="F221" i="8" s="1"/>
  <c r="AB218" i="4"/>
  <c r="M221" i="8" s="1"/>
  <c r="AA80" i="4"/>
  <c r="L86" i="8" s="1"/>
  <c r="T80" i="4"/>
  <c r="E86" i="8" s="1"/>
  <c r="U164" i="4"/>
  <c r="F176" i="8" s="1"/>
  <c r="AB164" i="4"/>
  <c r="M176" i="8" s="1"/>
  <c r="S11" i="2"/>
  <c r="D12" i="1" s="1"/>
  <c r="Z11" i="2"/>
  <c r="K12" i="1" s="1"/>
  <c r="R95" i="2"/>
  <c r="C102" i="1" s="1"/>
  <c r="Y95" i="2"/>
  <c r="J102" i="1" s="1"/>
  <c r="R11" i="4"/>
  <c r="C12" i="8" s="1"/>
  <c r="Y11" i="4"/>
  <c r="J12" i="8" s="1"/>
  <c r="AB95" i="4"/>
  <c r="M102" i="8" s="1"/>
  <c r="U95" i="4"/>
  <c r="F102" i="8" s="1"/>
  <c r="Y165" i="4"/>
  <c r="J177" i="8" s="1"/>
  <c r="R165" i="4"/>
  <c r="C177" i="8" s="1"/>
  <c r="R40" i="2"/>
  <c r="C43" i="1" s="1"/>
  <c r="Y40" i="2"/>
  <c r="J43" i="1" s="1"/>
  <c r="AB152" i="4"/>
  <c r="M163" i="8" s="1"/>
  <c r="U152" i="4"/>
  <c r="F163" i="8" s="1"/>
  <c r="X36" i="2"/>
  <c r="I39" i="1" s="1"/>
  <c r="Q106" i="2"/>
  <c r="B114" i="1" s="1"/>
  <c r="X123" i="2"/>
  <c r="I132" i="1" s="1"/>
  <c r="Q123" i="2"/>
  <c r="B132" i="1" s="1"/>
  <c r="Q88" i="4"/>
  <c r="B95" i="8" s="1"/>
  <c r="X88" i="4"/>
  <c r="I95" i="8" s="1"/>
  <c r="X105" i="4"/>
  <c r="I113" i="8" s="1"/>
  <c r="X122" i="4"/>
  <c r="I131" i="8" s="1"/>
  <c r="Q122" i="4"/>
  <c r="B131" i="8" s="1"/>
  <c r="AA91" i="4"/>
  <c r="L98" i="8" s="1"/>
  <c r="T91" i="4"/>
  <c r="E98" i="8" s="1"/>
  <c r="T175" i="4"/>
  <c r="E188" i="8" s="1"/>
  <c r="AA175" i="4"/>
  <c r="L188" i="8" s="1"/>
  <c r="R64" i="2"/>
  <c r="C69" i="1" s="1"/>
  <c r="Y64" i="2"/>
  <c r="J69" i="1" s="1"/>
  <c r="Z162" i="2"/>
  <c r="K174" i="1" s="1"/>
  <c r="S162" i="2"/>
  <c r="D174" i="1" s="1"/>
  <c r="R22" i="4"/>
  <c r="C24" i="8" s="1"/>
  <c r="Y22" i="4"/>
  <c r="J24" i="8" s="1"/>
  <c r="X92" i="4"/>
  <c r="I99" i="8" s="1"/>
  <c r="Q92" i="4"/>
  <c r="B99" i="8" s="1"/>
  <c r="AA162" i="4"/>
  <c r="L174" i="8" s="1"/>
  <c r="T162" i="4"/>
  <c r="E174" i="8" s="1"/>
  <c r="R37" i="2"/>
  <c r="C40" i="1" s="1"/>
  <c r="Y37" i="2"/>
  <c r="J40" i="1" s="1"/>
  <c r="Z149" i="2"/>
  <c r="K160" i="1" s="1"/>
  <c r="S149" i="2"/>
  <c r="D160" i="1" s="1"/>
  <c r="R23" i="4"/>
  <c r="C25" i="8" s="1"/>
  <c r="Y23" i="4"/>
  <c r="J25" i="8" s="1"/>
  <c r="T93" i="4"/>
  <c r="E100" i="8" s="1"/>
  <c r="AA93" i="4"/>
  <c r="L100" i="8" s="1"/>
  <c r="AA163" i="4"/>
  <c r="L175" i="8" s="1"/>
  <c r="T163" i="4"/>
  <c r="E175" i="8" s="1"/>
  <c r="AA38" i="2"/>
  <c r="L41" i="1" s="1"/>
  <c r="T38" i="2"/>
  <c r="E41" i="1" s="1"/>
  <c r="Z150" i="2"/>
  <c r="K161" i="1" s="1"/>
  <c r="S150" i="2"/>
  <c r="D161" i="1" s="1"/>
  <c r="U24" i="4"/>
  <c r="F26" i="8" s="1"/>
  <c r="AB24" i="4"/>
  <c r="M26" i="8" s="1"/>
  <c r="T52" i="4"/>
  <c r="E56" i="8" s="1"/>
  <c r="AA52" i="4"/>
  <c r="L56" i="8" s="1"/>
  <c r="T108" i="4"/>
  <c r="E116" i="8" s="1"/>
  <c r="AA108" i="4"/>
  <c r="L116" i="8" s="1"/>
  <c r="X192" i="4"/>
  <c r="I206" i="8" s="1"/>
  <c r="Q192" i="4"/>
  <c r="B206" i="8" s="1"/>
  <c r="AB67" i="2"/>
  <c r="M72" i="1" s="1"/>
  <c r="U67" i="2"/>
  <c r="F72" i="1" s="1"/>
  <c r="R151" i="2"/>
  <c r="C162" i="1" s="1"/>
  <c r="Y151" i="2"/>
  <c r="J162" i="1" s="1"/>
  <c r="Y53" i="4"/>
  <c r="J57" i="8" s="1"/>
  <c r="R53" i="4"/>
  <c r="C57" i="8" s="1"/>
  <c r="Y123" i="4"/>
  <c r="J132" i="8" s="1"/>
  <c r="R123" i="4"/>
  <c r="C132" i="8" s="1"/>
  <c r="R193" i="4"/>
  <c r="C207" i="8" s="1"/>
  <c r="Y193" i="4"/>
  <c r="J207" i="8" s="1"/>
  <c r="AB124" i="2"/>
  <c r="M133" i="1" s="1"/>
  <c r="U124" i="2"/>
  <c r="F133" i="1" s="1"/>
  <c r="S180" i="2"/>
  <c r="D193" i="1" s="1"/>
  <c r="Z180" i="2"/>
  <c r="K193" i="1" s="1"/>
  <c r="Z12" i="4"/>
  <c r="K13" i="8" s="1"/>
  <c r="S12" i="4"/>
  <c r="D13" i="8" s="1"/>
  <c r="S40" i="4"/>
  <c r="D43" i="8" s="1"/>
  <c r="Z40" i="4"/>
  <c r="K43" i="8" s="1"/>
  <c r="R68" i="4"/>
  <c r="C73" i="8" s="1"/>
  <c r="Y68" i="4"/>
  <c r="J73" i="8" s="1"/>
  <c r="Y166" i="4"/>
  <c r="J178" i="8" s="1"/>
  <c r="R166" i="4"/>
  <c r="C178" i="8" s="1"/>
  <c r="X2" i="2"/>
  <c r="I3" i="1" s="1"/>
  <c r="X75" i="2"/>
  <c r="I81" i="1" s="1"/>
  <c r="Q75" i="2"/>
  <c r="B81" i="1" s="1"/>
  <c r="X115" i="2"/>
  <c r="I124" i="1" s="1"/>
  <c r="Q115" i="2"/>
  <c r="B124" i="1" s="1"/>
  <c r="Q16" i="4"/>
  <c r="B18" i="8" s="1"/>
  <c r="X16" i="4"/>
  <c r="I18" i="8" s="1"/>
  <c r="X157" i="4"/>
  <c r="I169" i="8" s="1"/>
  <c r="Q157" i="4"/>
  <c r="B169" i="8" s="1"/>
  <c r="X174" i="4"/>
  <c r="I187" i="8" s="1"/>
  <c r="Z134" i="4"/>
  <c r="K144" i="8" s="1"/>
  <c r="S134" i="4"/>
  <c r="D144" i="8" s="1"/>
  <c r="Z132" i="4"/>
  <c r="K142" i="8" s="1"/>
  <c r="S132" i="4"/>
  <c r="D142" i="8" s="1"/>
  <c r="AA194" i="4"/>
  <c r="L208" i="8" s="1"/>
  <c r="T194" i="4"/>
  <c r="E208" i="8" s="1"/>
  <c r="Y66" i="2"/>
  <c r="J71" i="1" s="1"/>
  <c r="R66" i="2"/>
  <c r="C71" i="1" s="1"/>
  <c r="AB176" i="4"/>
  <c r="M189" i="8" s="1"/>
  <c r="U176" i="4"/>
  <c r="F189" i="8" s="1"/>
  <c r="T177" i="4"/>
  <c r="E190" i="8" s="1"/>
  <c r="AA177" i="4"/>
  <c r="L190" i="8" s="1"/>
  <c r="S33" i="2"/>
  <c r="D36" i="1" s="1"/>
  <c r="Z33" i="2"/>
  <c r="K36" i="1" s="1"/>
  <c r="S133" i="2"/>
  <c r="D143" i="1" s="1"/>
  <c r="Z133" i="2"/>
  <c r="K143" i="1" s="1"/>
  <c r="U101" i="4"/>
  <c r="F109" i="8" s="1"/>
  <c r="AB101" i="4"/>
  <c r="M109" i="8" s="1"/>
  <c r="Z159" i="2"/>
  <c r="K171" i="1" s="1"/>
  <c r="S159" i="2"/>
  <c r="D171" i="1" s="1"/>
  <c r="U150" i="2"/>
  <c r="F161" i="1" s="1"/>
  <c r="AB150" i="2"/>
  <c r="M161" i="1" s="1"/>
  <c r="U188" i="4"/>
  <c r="F202" i="8" s="1"/>
  <c r="AB188" i="4"/>
  <c r="M202" i="8" s="1"/>
  <c r="R145" i="2"/>
  <c r="C156" i="1" s="1"/>
  <c r="Y145" i="2"/>
  <c r="J156" i="1" s="1"/>
  <c r="AA192" i="2"/>
  <c r="L206" i="1" s="1"/>
  <c r="T192" i="2"/>
  <c r="E206" i="1" s="1"/>
  <c r="Y4" i="4"/>
  <c r="J5" i="8" s="1"/>
  <c r="R4" i="4"/>
  <c r="C5" i="8" s="1"/>
  <c r="X93" i="4"/>
  <c r="I100" i="8" s="1"/>
  <c r="Q93" i="4"/>
  <c r="B100" i="8" s="1"/>
  <c r="T64" i="2"/>
  <c r="E69" i="1" s="1"/>
  <c r="AA64" i="2"/>
  <c r="L69" i="1" s="1"/>
  <c r="X7" i="2"/>
  <c r="I8" i="1" s="1"/>
  <c r="Q7" i="2"/>
  <c r="B8" i="1" s="1"/>
  <c r="Z34" i="2"/>
  <c r="K37" i="1" s="1"/>
  <c r="S34" i="2"/>
  <c r="D37" i="1" s="1"/>
  <c r="Q103" i="4"/>
  <c r="B111" i="8" s="1"/>
  <c r="X103" i="4"/>
  <c r="I111" i="8" s="1"/>
  <c r="U104" i="2"/>
  <c r="F112" i="1" s="1"/>
  <c r="AB104" i="2"/>
  <c r="M112" i="1" s="1"/>
  <c r="Y214" i="4"/>
  <c r="J217" i="8" s="1"/>
  <c r="R214" i="4"/>
  <c r="C217" i="8" s="1"/>
  <c r="R142" i="4"/>
  <c r="C153" i="8" s="1"/>
  <c r="Y142" i="4"/>
  <c r="J153" i="8" s="1"/>
  <c r="Y16" i="2"/>
  <c r="J18" i="1" s="1"/>
  <c r="R16" i="2"/>
  <c r="C18" i="1" s="1"/>
  <c r="T131" i="4"/>
  <c r="E141" i="8" s="1"/>
  <c r="AA131" i="4"/>
  <c r="L141" i="8" s="1"/>
  <c r="R185" i="2"/>
  <c r="C199" i="1" s="1"/>
  <c r="Y185" i="2"/>
  <c r="J199" i="1" s="1"/>
  <c r="Z54" i="4"/>
  <c r="K58" i="8" s="1"/>
  <c r="S54" i="4"/>
  <c r="D58" i="8" s="1"/>
  <c r="U51" i="2"/>
  <c r="F55" i="1" s="1"/>
  <c r="AB51" i="2"/>
  <c r="M55" i="1" s="1"/>
  <c r="Y106" i="4"/>
  <c r="J114" i="8" s="1"/>
  <c r="R106" i="4"/>
  <c r="C114" i="8" s="1"/>
  <c r="R63" i="4"/>
  <c r="C68" i="8" s="1"/>
  <c r="Y63" i="4"/>
  <c r="J68" i="8" s="1"/>
  <c r="Q186" i="2"/>
  <c r="B200" i="1" s="1"/>
  <c r="X186" i="2"/>
  <c r="I200" i="1" s="1"/>
  <c r="U177" i="4"/>
  <c r="F190" i="8" s="1"/>
  <c r="AB177" i="4"/>
  <c r="M190" i="8" s="1"/>
  <c r="S75" i="2"/>
  <c r="D81" i="1" s="1"/>
  <c r="Z75" i="2"/>
  <c r="K81" i="1" s="1"/>
  <c r="T135" i="4"/>
  <c r="E145" i="8" s="1"/>
  <c r="AA135" i="4"/>
  <c r="L145" i="8" s="1"/>
  <c r="Y179" i="2"/>
  <c r="J192" i="1" s="1"/>
  <c r="R179" i="2"/>
  <c r="C192" i="1" s="1"/>
  <c r="U172" i="4"/>
  <c r="F185" i="8" s="1"/>
  <c r="AB172" i="4"/>
  <c r="M185" i="8" s="1"/>
  <c r="R131" i="4"/>
  <c r="C141" i="8" s="1"/>
  <c r="Y131" i="4"/>
  <c r="J141" i="8" s="1"/>
  <c r="Q165" i="4"/>
  <c r="B177" i="8" s="1"/>
  <c r="Z105" i="2"/>
  <c r="K113" i="1" s="1"/>
  <c r="S105" i="2"/>
  <c r="D113" i="1" s="1"/>
  <c r="Y186" i="2"/>
  <c r="J200" i="1" s="1"/>
  <c r="R186" i="2"/>
  <c r="C200" i="1" s="1"/>
  <c r="S185" i="2"/>
  <c r="D199" i="1" s="1"/>
  <c r="Z185" i="2"/>
  <c r="K199" i="1" s="1"/>
  <c r="R77" i="2"/>
  <c r="C83" i="1" s="1"/>
  <c r="Y77" i="2"/>
  <c r="J83" i="1" s="1"/>
  <c r="X107" i="2"/>
  <c r="I115" i="1" s="1"/>
  <c r="Q107" i="2"/>
  <c r="B115" i="1" s="1"/>
  <c r="X170" i="2"/>
  <c r="I183" i="1" s="1"/>
  <c r="Q170" i="2"/>
  <c r="B183" i="1" s="1"/>
  <c r="AA128" i="2"/>
  <c r="L138" i="1" s="1"/>
  <c r="T128" i="2"/>
  <c r="E138" i="1" s="1"/>
  <c r="Z161" i="2"/>
  <c r="K173" i="1" s="1"/>
  <c r="S161" i="2"/>
  <c r="D173" i="1" s="1"/>
  <c r="Z131" i="2"/>
  <c r="K141" i="1" s="1"/>
  <c r="S131" i="2"/>
  <c r="D141" i="1" s="1"/>
  <c r="X22" i="4"/>
  <c r="I24" i="8" s="1"/>
  <c r="Q22" i="4"/>
  <c r="B24" i="8" s="1"/>
  <c r="T105" i="2"/>
  <c r="E113" i="1" s="1"/>
  <c r="AA105" i="2"/>
  <c r="L113" i="1" s="1"/>
  <c r="R191" i="2"/>
  <c r="C205" i="1" s="1"/>
  <c r="Y191" i="2"/>
  <c r="J205" i="1" s="1"/>
  <c r="X3" i="2"/>
  <c r="I4" i="1" s="1"/>
  <c r="Q3" i="2"/>
  <c r="B4" i="1" s="1"/>
  <c r="AB19" i="2"/>
  <c r="M21" i="1" s="1"/>
  <c r="U19" i="2"/>
  <c r="F21" i="1" s="1"/>
  <c r="U102" i="2"/>
  <c r="F110" i="1" s="1"/>
  <c r="AB102" i="2"/>
  <c r="M110" i="1" s="1"/>
  <c r="Q92" i="2"/>
  <c r="B99" i="1" s="1"/>
  <c r="X92" i="2"/>
  <c r="I99" i="1" s="1"/>
  <c r="U100" i="2"/>
  <c r="F108" i="1" s="1"/>
  <c r="AB100" i="2"/>
  <c r="M108" i="1" s="1"/>
  <c r="T47" i="2"/>
  <c r="E51" i="1" s="1"/>
  <c r="AA47" i="2"/>
  <c r="L51" i="1" s="1"/>
  <c r="Q94" i="4"/>
  <c r="B101" i="8" s="1"/>
  <c r="X94" i="4"/>
  <c r="I101" i="8" s="1"/>
  <c r="Q22" i="2"/>
  <c r="B24" i="1" s="1"/>
  <c r="X22" i="2"/>
  <c r="I24" i="1" s="1"/>
  <c r="U110" i="2"/>
  <c r="F118" i="1" s="1"/>
  <c r="AB110" i="2"/>
  <c r="M118" i="1" s="1"/>
  <c r="X38" i="2"/>
  <c r="I41" i="1" s="1"/>
  <c r="Q38" i="2"/>
  <c r="B41" i="1" s="1"/>
  <c r="Z165" i="2"/>
  <c r="K177" i="1" s="1"/>
  <c r="S165" i="2"/>
  <c r="D177" i="1" s="1"/>
  <c r="I217" i="8"/>
  <c r="Q137" i="4"/>
  <c r="B147" i="8" s="1"/>
  <c r="X137" i="4"/>
  <c r="I147" i="8" s="1"/>
  <c r="AA24" i="2"/>
  <c r="L26" i="1" s="1"/>
  <c r="T24" i="2"/>
  <c r="E26" i="1" s="1"/>
  <c r="R107" i="2"/>
  <c r="C115" i="1" s="1"/>
  <c r="Y107" i="2"/>
  <c r="J115" i="1" s="1"/>
  <c r="X7" i="4"/>
  <c r="I8" i="8" s="1"/>
  <c r="Q7" i="4"/>
  <c r="B8" i="8" s="1"/>
  <c r="Q77" i="4"/>
  <c r="B83" i="8" s="1"/>
  <c r="X77" i="4"/>
  <c r="I83" i="8" s="1"/>
  <c r="X176" i="4"/>
  <c r="I189" i="8" s="1"/>
  <c r="Q176" i="4"/>
  <c r="B189" i="8" s="1"/>
  <c r="AB25" i="2"/>
  <c r="M27" i="1" s="1"/>
  <c r="U25" i="2"/>
  <c r="F27" i="1" s="1"/>
  <c r="AB189" i="2"/>
  <c r="M203" i="1" s="1"/>
  <c r="U189" i="2"/>
  <c r="F203" i="1" s="1"/>
  <c r="X65" i="4"/>
  <c r="I70" i="8" s="1"/>
  <c r="Q65" i="4"/>
  <c r="B70" i="8" s="1"/>
  <c r="X95" i="2"/>
  <c r="I102" i="1" s="1"/>
  <c r="Q95" i="2"/>
  <c r="B102" i="1" s="1"/>
  <c r="Y134" i="2"/>
  <c r="J144" i="1" s="1"/>
  <c r="R134" i="2"/>
  <c r="C144" i="1" s="1"/>
  <c r="R108" i="2"/>
  <c r="C116" i="1" s="1"/>
  <c r="Y108" i="2"/>
  <c r="J116" i="1" s="1"/>
  <c r="U72" i="2"/>
  <c r="F78" i="1" s="1"/>
  <c r="AB72" i="2"/>
  <c r="M78" i="1" s="1"/>
  <c r="Y149" i="2"/>
  <c r="J160" i="1" s="1"/>
  <c r="R149" i="2"/>
  <c r="C160" i="1" s="1"/>
  <c r="Z122" i="4"/>
  <c r="K131" i="8" s="1"/>
  <c r="S122" i="4"/>
  <c r="D131" i="8" s="1"/>
  <c r="AB81" i="4"/>
  <c r="M87" i="8" s="1"/>
  <c r="U81" i="4"/>
  <c r="F87" i="8" s="1"/>
  <c r="AA96" i="2"/>
  <c r="L103" i="1" s="1"/>
  <c r="T96" i="2"/>
  <c r="E103" i="1" s="1"/>
  <c r="AB16" i="2"/>
  <c r="M18" i="1" s="1"/>
  <c r="U16" i="2"/>
  <c r="F18" i="1" s="1"/>
  <c r="Z114" i="2"/>
  <c r="K123" i="1" s="1"/>
  <c r="S114" i="2"/>
  <c r="D123" i="1" s="1"/>
  <c r="S170" i="2"/>
  <c r="D183" i="1" s="1"/>
  <c r="Z170" i="2"/>
  <c r="K183" i="1" s="1"/>
  <c r="U16" i="4"/>
  <c r="F18" i="8" s="1"/>
  <c r="AB16" i="4"/>
  <c r="M18" i="8" s="1"/>
  <c r="U44" i="4"/>
  <c r="F48" i="8" s="1"/>
  <c r="AB44" i="4"/>
  <c r="M48" i="8" s="1"/>
  <c r="T72" i="4"/>
  <c r="E78" i="8" s="1"/>
  <c r="AA72" i="4"/>
  <c r="L78" i="8" s="1"/>
  <c r="R100" i="4"/>
  <c r="C108" i="8" s="1"/>
  <c r="Y100" i="4"/>
  <c r="J108" i="8" s="1"/>
  <c r="S156" i="4"/>
  <c r="D168" i="8" s="1"/>
  <c r="Z156" i="4"/>
  <c r="K168" i="8" s="1"/>
  <c r="T184" i="4"/>
  <c r="E198" i="8" s="1"/>
  <c r="AA184" i="4"/>
  <c r="L198" i="8" s="1"/>
  <c r="U18" i="2"/>
  <c r="F20" i="1" s="1"/>
  <c r="AB18" i="2"/>
  <c r="M20" i="1" s="1"/>
  <c r="T87" i="2"/>
  <c r="E94" i="1" s="1"/>
  <c r="AA87" i="2"/>
  <c r="L94" i="1" s="1"/>
  <c r="Q130" i="2"/>
  <c r="B140" i="1" s="1"/>
  <c r="U211" i="4"/>
  <c r="F214" i="8" s="1"/>
  <c r="AB211" i="4"/>
  <c r="M214" i="8" s="1"/>
  <c r="T17" i="4"/>
  <c r="E19" i="8" s="1"/>
  <c r="AA17" i="4"/>
  <c r="L19" i="8" s="1"/>
  <c r="Y45" i="4"/>
  <c r="J49" i="8" s="1"/>
  <c r="R45" i="4"/>
  <c r="C49" i="8" s="1"/>
  <c r="Y73" i="4"/>
  <c r="J79" i="8" s="1"/>
  <c r="R73" i="4"/>
  <c r="C79" i="8" s="1"/>
  <c r="AB115" i="4"/>
  <c r="M124" i="8" s="1"/>
  <c r="U115" i="4"/>
  <c r="F124" i="8" s="1"/>
  <c r="T157" i="4"/>
  <c r="E169" i="8" s="1"/>
  <c r="AA157" i="4"/>
  <c r="L169" i="8" s="1"/>
  <c r="AA185" i="4"/>
  <c r="L199" i="8" s="1"/>
  <c r="T185" i="4"/>
  <c r="E199" i="8" s="1"/>
  <c r="Y4" i="2"/>
  <c r="J5" i="1" s="1"/>
  <c r="R4" i="2"/>
  <c r="C5" i="1" s="1"/>
  <c r="Y60" i="2"/>
  <c r="J65" i="1" s="1"/>
  <c r="R60" i="2"/>
  <c r="C65" i="1" s="1"/>
  <c r="Y172" i="2"/>
  <c r="J185" i="1" s="1"/>
  <c r="R172" i="2"/>
  <c r="C185" i="1" s="1"/>
  <c r="T18" i="4"/>
  <c r="E20" i="8" s="1"/>
  <c r="AA18" i="4"/>
  <c r="L20" i="8" s="1"/>
  <c r="Z46" i="4"/>
  <c r="K50" i="8" s="1"/>
  <c r="S46" i="4"/>
  <c r="D50" i="8" s="1"/>
  <c r="S74" i="4"/>
  <c r="D80" i="8" s="1"/>
  <c r="Z74" i="4"/>
  <c r="K80" i="8" s="1"/>
  <c r="Y102" i="4"/>
  <c r="J110" i="8" s="1"/>
  <c r="R102" i="4"/>
  <c r="C110" i="8" s="1"/>
  <c r="AA158" i="4"/>
  <c r="L170" i="8" s="1"/>
  <c r="T158" i="4"/>
  <c r="E170" i="8" s="1"/>
  <c r="Z186" i="4"/>
  <c r="K200" i="8" s="1"/>
  <c r="S186" i="4"/>
  <c r="D200" i="8" s="1"/>
  <c r="Z19" i="2"/>
  <c r="K21" i="1" s="1"/>
  <c r="S19" i="2"/>
  <c r="D21" i="1" s="1"/>
  <c r="R61" i="2"/>
  <c r="C66" i="1" s="1"/>
  <c r="Y61" i="2"/>
  <c r="J66" i="1" s="1"/>
  <c r="U159" i="2"/>
  <c r="F171" i="1" s="1"/>
  <c r="AB159" i="2"/>
  <c r="M171" i="1" s="1"/>
  <c r="Z213" i="4"/>
  <c r="K216" i="8" s="1"/>
  <c r="S213" i="4"/>
  <c r="D216" i="8" s="1"/>
  <c r="T19" i="4"/>
  <c r="E21" i="8" s="1"/>
  <c r="AA19" i="4"/>
  <c r="L21" i="8" s="1"/>
  <c r="S47" i="4"/>
  <c r="D51" i="8" s="1"/>
  <c r="Z47" i="4"/>
  <c r="K51" i="8" s="1"/>
  <c r="Z75" i="4"/>
  <c r="K81" i="8" s="1"/>
  <c r="S75" i="4"/>
  <c r="D81" i="8" s="1"/>
  <c r="S103" i="4"/>
  <c r="D111" i="8" s="1"/>
  <c r="Z103" i="4"/>
  <c r="K111" i="8" s="1"/>
  <c r="Z145" i="4"/>
  <c r="K156" i="8" s="1"/>
  <c r="S145" i="4"/>
  <c r="D156" i="8" s="1"/>
  <c r="U187" i="4"/>
  <c r="F201" i="8" s="1"/>
  <c r="AB187" i="4"/>
  <c r="M201" i="8" s="1"/>
  <c r="R20" i="2"/>
  <c r="C22" i="1" s="1"/>
  <c r="Y20" i="2"/>
  <c r="J22" i="1" s="1"/>
  <c r="S118" i="2"/>
  <c r="D127" i="1" s="1"/>
  <c r="Z118" i="2"/>
  <c r="K127" i="1" s="1"/>
  <c r="T174" i="2"/>
  <c r="E187" i="1" s="1"/>
  <c r="AA174" i="2"/>
  <c r="L187" i="1" s="1"/>
  <c r="Y6" i="4"/>
  <c r="J7" i="8" s="1"/>
  <c r="R6" i="4"/>
  <c r="C7" i="8" s="1"/>
  <c r="U104" i="4"/>
  <c r="F112" i="8" s="1"/>
  <c r="AB104" i="4"/>
  <c r="M112" i="8" s="1"/>
  <c r="R146" i="4"/>
  <c r="C157" i="8" s="1"/>
  <c r="Y146" i="4"/>
  <c r="J157" i="8" s="1"/>
  <c r="Y63" i="2"/>
  <c r="J68" i="1" s="1"/>
  <c r="R63" i="2"/>
  <c r="C68" i="1" s="1"/>
  <c r="U119" i="2"/>
  <c r="F128" i="1" s="1"/>
  <c r="AB119" i="2"/>
  <c r="M128" i="1" s="1"/>
  <c r="T175" i="2"/>
  <c r="E188" i="1" s="1"/>
  <c r="AA175" i="2"/>
  <c r="L188" i="1" s="1"/>
  <c r="T7" i="4"/>
  <c r="E8" i="8" s="1"/>
  <c r="AA7" i="4"/>
  <c r="L8" i="8" s="1"/>
  <c r="AA35" i="4"/>
  <c r="L38" i="8" s="1"/>
  <c r="T35" i="4"/>
  <c r="E38" i="8" s="1"/>
  <c r="AA63" i="4"/>
  <c r="L68" i="8" s="1"/>
  <c r="T63" i="4"/>
  <c r="E68" i="8" s="1"/>
  <c r="Z91" i="4"/>
  <c r="K98" i="8" s="1"/>
  <c r="S91" i="4"/>
  <c r="D98" i="8" s="1"/>
  <c r="S147" i="4"/>
  <c r="D158" i="8" s="1"/>
  <c r="Z147" i="4"/>
  <c r="K158" i="8" s="1"/>
  <c r="Z175" i="4"/>
  <c r="K188" i="8" s="1"/>
  <c r="S175" i="4"/>
  <c r="D188" i="8" s="1"/>
  <c r="T79" i="2"/>
  <c r="E85" i="1" s="1"/>
  <c r="AA79" i="2"/>
  <c r="L85" i="1" s="1"/>
  <c r="R120" i="2"/>
  <c r="C129" i="1" s="1"/>
  <c r="Y120" i="2"/>
  <c r="J129" i="1" s="1"/>
  <c r="AB176" i="2"/>
  <c r="M189" i="1" s="1"/>
  <c r="U176" i="2"/>
  <c r="F189" i="1" s="1"/>
  <c r="AB36" i="4"/>
  <c r="M39" i="8" s="1"/>
  <c r="U36" i="4"/>
  <c r="F39" i="8" s="1"/>
  <c r="AA64" i="4"/>
  <c r="L69" i="8" s="1"/>
  <c r="T64" i="4"/>
  <c r="E69" i="8" s="1"/>
  <c r="AA92" i="4"/>
  <c r="L99" i="8" s="1"/>
  <c r="T92" i="4"/>
  <c r="E99" i="8" s="1"/>
  <c r="S120" i="4"/>
  <c r="D129" i="8" s="1"/>
  <c r="Z120" i="4"/>
  <c r="K129" i="8" s="1"/>
  <c r="S162" i="4"/>
  <c r="D174" i="8" s="1"/>
  <c r="Z162" i="4"/>
  <c r="K174" i="8" s="1"/>
  <c r="U134" i="4"/>
  <c r="F144" i="8" s="1"/>
  <c r="AB134" i="4"/>
  <c r="M144" i="8" s="1"/>
  <c r="Y93" i="2"/>
  <c r="J100" i="1" s="1"/>
  <c r="R93" i="2"/>
  <c r="C100" i="1" s="1"/>
  <c r="S164" i="2"/>
  <c r="D176" i="1" s="1"/>
  <c r="Z164" i="2"/>
  <c r="K176" i="1" s="1"/>
  <c r="R217" i="4"/>
  <c r="C220" i="8" s="1"/>
  <c r="Y217" i="4"/>
  <c r="J220" i="8" s="1"/>
  <c r="AB37" i="4"/>
  <c r="M40" i="8" s="1"/>
  <c r="U37" i="4"/>
  <c r="F40" i="8" s="1"/>
  <c r="Z65" i="4"/>
  <c r="K70" i="8" s="1"/>
  <c r="S65" i="4"/>
  <c r="D70" i="8" s="1"/>
  <c r="S93" i="4"/>
  <c r="D100" i="8" s="1"/>
  <c r="Z93" i="4"/>
  <c r="K100" i="8" s="1"/>
  <c r="R121" i="4"/>
  <c r="C130" i="8" s="1"/>
  <c r="Y121" i="4"/>
  <c r="J130" i="8" s="1"/>
  <c r="S163" i="4"/>
  <c r="D175" i="8" s="1"/>
  <c r="Z163" i="4"/>
  <c r="K175" i="8" s="1"/>
  <c r="Q11" i="2"/>
  <c r="B12" i="1" s="1"/>
  <c r="X11" i="2"/>
  <c r="I12" i="1" s="1"/>
  <c r="S38" i="2"/>
  <c r="D41" i="1" s="1"/>
  <c r="Z38" i="2"/>
  <c r="K41" i="1" s="1"/>
  <c r="Y150" i="2"/>
  <c r="J161" i="1" s="1"/>
  <c r="R150" i="2"/>
  <c r="C161" i="1" s="1"/>
  <c r="AA218" i="4"/>
  <c r="L221" i="8" s="1"/>
  <c r="T218" i="4"/>
  <c r="E221" i="8" s="1"/>
  <c r="Z52" i="4"/>
  <c r="K56" i="8" s="1"/>
  <c r="S52" i="4"/>
  <c r="D56" i="8" s="1"/>
  <c r="S80" i="4"/>
  <c r="D86" i="8" s="1"/>
  <c r="Z80" i="4"/>
  <c r="K86" i="8" s="1"/>
  <c r="S108" i="4"/>
  <c r="D116" i="8" s="1"/>
  <c r="Z108" i="4"/>
  <c r="K116" i="8" s="1"/>
  <c r="Z164" i="4"/>
  <c r="K176" i="8" s="1"/>
  <c r="S164" i="4"/>
  <c r="D176" i="8" s="1"/>
  <c r="AB192" i="4"/>
  <c r="M206" i="8" s="1"/>
  <c r="U192" i="4"/>
  <c r="F206" i="8" s="1"/>
  <c r="Y11" i="2"/>
  <c r="J12" i="1" s="1"/>
  <c r="R11" i="2"/>
  <c r="C12" i="1" s="1"/>
  <c r="AA67" i="2"/>
  <c r="L72" i="1" s="1"/>
  <c r="T67" i="2"/>
  <c r="E72" i="1" s="1"/>
  <c r="AA109" i="2"/>
  <c r="L117" i="1" s="1"/>
  <c r="T109" i="2"/>
  <c r="E117" i="1" s="1"/>
  <c r="AA166" i="2"/>
  <c r="L178" i="1" s="1"/>
  <c r="T166" i="2"/>
  <c r="E178" i="1" s="1"/>
  <c r="AB25" i="4"/>
  <c r="M27" i="8" s="1"/>
  <c r="U25" i="4"/>
  <c r="F27" i="8" s="1"/>
  <c r="Q68" i="4"/>
  <c r="B73" i="8" s="1"/>
  <c r="X68" i="4"/>
  <c r="I73" i="8" s="1"/>
  <c r="T95" i="4"/>
  <c r="E102" i="8" s="1"/>
  <c r="AA95" i="4"/>
  <c r="L102" i="8" s="1"/>
  <c r="X151" i="4"/>
  <c r="I162" i="8" s="1"/>
  <c r="Q151" i="4"/>
  <c r="B162" i="8" s="1"/>
  <c r="AB179" i="4"/>
  <c r="M192" i="8" s="1"/>
  <c r="U179" i="4"/>
  <c r="F192" i="8" s="1"/>
  <c r="Y180" i="2"/>
  <c r="J193" i="1" s="1"/>
  <c r="R180" i="2"/>
  <c r="C193" i="1" s="1"/>
  <c r="Y12" i="4"/>
  <c r="J13" i="8" s="1"/>
  <c r="R12" i="4"/>
  <c r="C13" i="8" s="1"/>
  <c r="Y40" i="4"/>
  <c r="J43" i="8" s="1"/>
  <c r="R40" i="4"/>
  <c r="C43" i="8" s="1"/>
  <c r="AB82" i="4"/>
  <c r="M88" i="8" s="1"/>
  <c r="U82" i="4"/>
  <c r="F88" i="8" s="1"/>
  <c r="AA110" i="4"/>
  <c r="L118" i="8" s="1"/>
  <c r="T110" i="4"/>
  <c r="E118" i="8" s="1"/>
  <c r="AA152" i="4"/>
  <c r="L163" i="8" s="1"/>
  <c r="T152" i="4"/>
  <c r="E163" i="8" s="1"/>
  <c r="T180" i="4"/>
  <c r="E193" i="8" s="1"/>
  <c r="AA180" i="4"/>
  <c r="L193" i="8" s="1"/>
  <c r="X17" i="2"/>
  <c r="I19" i="1" s="1"/>
  <c r="Q4" i="2"/>
  <c r="B5" i="1" s="1"/>
  <c r="X19" i="2"/>
  <c r="I21" i="1" s="1"/>
  <c r="X35" i="2"/>
  <c r="I38" i="1" s="1"/>
  <c r="Q35" i="2"/>
  <c r="B38" i="1" s="1"/>
  <c r="Q122" i="2"/>
  <c r="B131" i="1" s="1"/>
  <c r="Q142" i="2"/>
  <c r="B153" i="1" s="1"/>
  <c r="Q145" i="2"/>
  <c r="B156" i="1" s="1"/>
  <c r="X145" i="2"/>
  <c r="I156" i="1" s="1"/>
  <c r="X160" i="2"/>
  <c r="I172" i="1" s="1"/>
  <c r="X18" i="4"/>
  <c r="I20" i="8" s="1"/>
  <c r="Q18" i="4"/>
  <c r="B20" i="8" s="1"/>
  <c r="Q78" i="4"/>
  <c r="B84" i="8" s="1"/>
  <c r="X78" i="4"/>
  <c r="I84" i="8" s="1"/>
  <c r="X138" i="4"/>
  <c r="I148" i="8" s="1"/>
  <c r="Q138" i="4"/>
  <c r="B148" i="8" s="1"/>
  <c r="X130" i="4"/>
  <c r="I140" i="8" s="1"/>
  <c r="Q130" i="4"/>
  <c r="B140" i="8" s="1"/>
  <c r="X164" i="4"/>
  <c r="I176" i="8" s="1"/>
  <c r="X109" i="2"/>
  <c r="I117" i="1" s="1"/>
  <c r="R132" i="4"/>
  <c r="C142" i="8" s="1"/>
  <c r="T152" i="2"/>
  <c r="E163" i="1" s="1"/>
  <c r="Z172" i="2"/>
  <c r="K185" i="1" s="1"/>
  <c r="S23" i="2"/>
  <c r="D25" i="1" s="1"/>
  <c r="R101" i="2"/>
  <c r="C109" i="1" s="1"/>
  <c r="AA124" i="2"/>
  <c r="L133" i="1" s="1"/>
  <c r="S107" i="2"/>
  <c r="D115" i="1" s="1"/>
  <c r="Z133" i="4"/>
  <c r="K143" i="8" s="1"/>
  <c r="Z132" i="2"/>
  <c r="K142" i="1" s="1"/>
  <c r="AA188" i="4"/>
  <c r="L202" i="8" s="1"/>
  <c r="AB174" i="4"/>
  <c r="M187" i="8" s="1"/>
  <c r="AB160" i="2"/>
  <c r="M172" i="1" s="1"/>
  <c r="T24" i="4"/>
  <c r="E26" i="8" s="1"/>
  <c r="AA49" i="2"/>
  <c r="L53" i="1" s="1"/>
  <c r="R116" i="2"/>
  <c r="C125" i="1" s="1"/>
  <c r="AA136" i="4"/>
  <c r="L146" i="8" s="1"/>
  <c r="Y20" i="4"/>
  <c r="J22" i="8" s="1"/>
  <c r="X165" i="2"/>
  <c r="I177" i="1" s="1"/>
  <c r="R161" i="2"/>
  <c r="C173" i="1" s="1"/>
  <c r="AA5" i="2"/>
  <c r="L6" i="1" s="1"/>
  <c r="Y212" i="4"/>
  <c r="J215" i="8" s="1"/>
  <c r="Q190" i="4"/>
  <c r="B204" i="8" s="1"/>
  <c r="T21" i="2"/>
  <c r="E23" i="1" s="1"/>
  <c r="Q79" i="2"/>
  <c r="B85" i="1" s="1"/>
  <c r="X79" i="2"/>
  <c r="I85" i="1" s="1"/>
  <c r="Q186" i="4"/>
  <c r="B200" i="8" s="1"/>
  <c r="X186" i="4"/>
  <c r="I200" i="8" s="1"/>
  <c r="Q89" i="2"/>
  <c r="B96" i="1" s="1"/>
  <c r="X89" i="2"/>
  <c r="I96" i="1" s="1"/>
  <c r="X31" i="2"/>
  <c r="I34" i="1" s="1"/>
  <c r="Q31" i="2"/>
  <c r="B34" i="1" s="1"/>
  <c r="S157" i="2"/>
  <c r="D169" i="1" s="1"/>
  <c r="Z157" i="2"/>
  <c r="K169" i="1" s="1"/>
  <c r="Y47" i="2"/>
  <c r="J51" i="1" s="1"/>
  <c r="R47" i="2"/>
  <c r="C51" i="1" s="1"/>
  <c r="S104" i="2"/>
  <c r="D112" i="1" s="1"/>
  <c r="Z104" i="2"/>
  <c r="K112" i="1" s="1"/>
  <c r="Q20" i="4"/>
  <c r="B22" i="8" s="1"/>
  <c r="X20" i="4"/>
  <c r="I22" i="8" s="1"/>
  <c r="AB190" i="2"/>
  <c r="M204" i="1" s="1"/>
  <c r="U190" i="2"/>
  <c r="F204" i="1" s="1"/>
  <c r="AB109" i="2"/>
  <c r="M117" i="1" s="1"/>
  <c r="U109" i="2"/>
  <c r="F117" i="1" s="1"/>
  <c r="X32" i="2"/>
  <c r="I35" i="1" s="1"/>
  <c r="Q32" i="2"/>
  <c r="B35" i="1" s="1"/>
  <c r="X24" i="2"/>
  <c r="I26" i="1" s="1"/>
  <c r="Q24" i="2"/>
  <c r="B26" i="1" s="1"/>
  <c r="X95" i="4"/>
  <c r="I102" i="8" s="1"/>
  <c r="Z77" i="2"/>
  <c r="K83" i="1" s="1"/>
  <c r="S77" i="2"/>
  <c r="D83" i="1" s="1"/>
  <c r="Z194" i="2"/>
  <c r="K208" i="1" s="1"/>
  <c r="AA156" i="2"/>
  <c r="L168" i="1" s="1"/>
  <c r="X103" i="2"/>
  <c r="I111" i="1" s="1"/>
  <c r="X110" i="4"/>
  <c r="I118" i="8" s="1"/>
  <c r="Q96" i="4"/>
  <c r="B103" i="8" s="1"/>
  <c r="X74" i="2"/>
  <c r="I80" i="1" s="1"/>
  <c r="X5" i="2"/>
  <c r="I6" i="1" s="1"/>
  <c r="X61" i="4"/>
  <c r="I66" i="8" s="1"/>
  <c r="Q90" i="2"/>
  <c r="B97" i="1" s="1"/>
  <c r="X60" i="2"/>
  <c r="I65" i="1" s="1"/>
  <c r="X19" i="4"/>
  <c r="I21" i="8" s="1"/>
  <c r="Q105" i="2"/>
  <c r="B113" i="1" s="1"/>
  <c r="X51" i="2"/>
  <c r="I55" i="1" s="1"/>
  <c r="Q36" i="2"/>
  <c r="B39" i="1" s="1"/>
  <c r="X53" i="4"/>
  <c r="I57" i="8" s="1"/>
  <c r="Q147" i="4"/>
  <c r="B158" i="8" s="1"/>
  <c r="Q192" i="2"/>
  <c r="B206" i="1" s="1"/>
  <c r="Q128" i="4"/>
  <c r="B138" i="8" s="1"/>
  <c r="X52" i="4"/>
  <c r="I56" i="8" s="1"/>
  <c r="Q176" i="2"/>
  <c r="B189" i="1" s="1"/>
  <c r="Q45" i="4"/>
  <c r="B49" i="8" s="1"/>
  <c r="X4" i="2"/>
  <c r="I5" i="1" s="1"/>
  <c r="Q160" i="2"/>
  <c r="B172" i="1" s="1"/>
  <c r="B214" i="8"/>
  <c r="X146" i="2"/>
  <c r="I157" i="1" s="1"/>
  <c r="Q121" i="4"/>
  <c r="B130" i="8" s="1"/>
  <c r="X62" i="4"/>
  <c r="I67" i="8" s="1"/>
  <c r="X9" i="4"/>
  <c r="I10" i="8" s="1"/>
  <c r="X10" i="4"/>
  <c r="I11" i="8" s="1"/>
  <c r="Q87" i="4"/>
  <c r="B94" i="8" s="1"/>
  <c r="Q131" i="4"/>
  <c r="B141" i="8" s="1"/>
  <c r="Q128" i="2"/>
  <c r="B138" i="1" s="1"/>
  <c r="X110" i="2"/>
  <c r="I118" i="1" s="1"/>
  <c r="X173" i="4"/>
  <c r="I186" i="8" s="1"/>
  <c r="X104" i="4"/>
  <c r="I112" i="8" s="1"/>
  <c r="X177" i="2"/>
  <c r="I190" i="1" s="1"/>
  <c r="Q59" i="2"/>
  <c r="B64" i="1" s="1"/>
  <c r="X35" i="4"/>
  <c r="I38" i="8" s="1"/>
  <c r="Q26" i="4"/>
  <c r="B28" i="8" s="1"/>
  <c r="X191" i="2"/>
  <c r="I205" i="1" s="1"/>
  <c r="X106" i="2"/>
  <c r="I114" i="1" s="1"/>
  <c r="Q174" i="4"/>
  <c r="B187" i="8" s="1"/>
  <c r="Q105" i="4"/>
  <c r="B113" i="8" s="1"/>
  <c r="Q79" i="4"/>
  <c r="B85" i="8" s="1"/>
  <c r="X20" i="2"/>
  <c r="I22" i="1" s="1"/>
  <c r="T130" i="4"/>
  <c r="E140" i="8" s="1"/>
  <c r="Q63" i="2"/>
  <c r="B68" i="1" s="1"/>
  <c r="U107" i="2"/>
  <c r="F115" i="1" s="1"/>
  <c r="AB107" i="2"/>
  <c r="M115" i="1" s="1"/>
  <c r="Z16" i="2"/>
  <c r="K18" i="1" s="1"/>
  <c r="S16" i="2"/>
  <c r="D18" i="1" s="1"/>
  <c r="X16" i="2"/>
  <c r="I18" i="1" s="1"/>
  <c r="Q16" i="2"/>
  <c r="B18" i="1" s="1"/>
  <c r="X80" i="2"/>
  <c r="I86" i="1" s="1"/>
  <c r="Q80" i="2"/>
  <c r="B86" i="1" s="1"/>
  <c r="R49" i="2"/>
  <c r="C53" i="1" s="1"/>
  <c r="Y49" i="2"/>
  <c r="J53" i="1" s="1"/>
  <c r="X184" i="2"/>
  <c r="I198" i="1" s="1"/>
  <c r="Q184" i="2"/>
  <c r="B198" i="1" s="1"/>
  <c r="X146" i="4"/>
  <c r="I157" i="8" s="1"/>
  <c r="Q146" i="4"/>
  <c r="B157" i="8" s="1"/>
  <c r="R158" i="2"/>
  <c r="C170" i="1" s="1"/>
  <c r="Y158" i="2"/>
  <c r="J170" i="1" s="1"/>
  <c r="R50" i="2"/>
  <c r="C54" i="1" s="1"/>
  <c r="Y50" i="2"/>
  <c r="J54" i="1" s="1"/>
  <c r="AB188" i="2"/>
  <c r="M202" i="1" s="1"/>
  <c r="U188" i="2"/>
  <c r="F202" i="1" s="1"/>
  <c r="Q120" i="4"/>
  <c r="B129" i="8" s="1"/>
  <c r="X120" i="4"/>
  <c r="I129" i="8" s="1"/>
  <c r="AA193" i="2"/>
  <c r="L207" i="1" s="1"/>
  <c r="T193" i="2"/>
  <c r="E207" i="1" s="1"/>
  <c r="S191" i="2"/>
  <c r="D205" i="1" s="1"/>
  <c r="Z191" i="2"/>
  <c r="K205" i="1" s="1"/>
  <c r="AB80" i="2"/>
  <c r="M86" i="1" s="1"/>
  <c r="U80" i="2"/>
  <c r="F86" i="1" s="1"/>
  <c r="X135" i="4"/>
  <c r="I145" i="8" s="1"/>
  <c r="Q135" i="4"/>
  <c r="B145" i="8" s="1"/>
  <c r="T162" i="2"/>
  <c r="E174" i="1" s="1"/>
  <c r="AA162" i="2"/>
  <c r="L174" i="1" s="1"/>
  <c r="AA23" i="2"/>
  <c r="L25" i="1" s="1"/>
  <c r="T23" i="2"/>
  <c r="E25" i="1" s="1"/>
  <c r="AA66" i="2"/>
  <c r="L71" i="1" s="1"/>
  <c r="T66" i="2"/>
  <c r="E71" i="1" s="1"/>
  <c r="Z54" i="2"/>
  <c r="K58" i="1" s="1"/>
  <c r="S54" i="2"/>
  <c r="D58" i="1" s="1"/>
  <c r="R96" i="4"/>
  <c r="C103" i="8" s="1"/>
  <c r="Y96" i="4"/>
  <c r="J103" i="8" s="1"/>
  <c r="Q44" i="2"/>
  <c r="B48" i="1" s="1"/>
  <c r="X44" i="2"/>
  <c r="I48" i="1" s="1"/>
  <c r="Y142" i="2"/>
  <c r="J153" i="1" s="1"/>
  <c r="R142" i="2"/>
  <c r="C153" i="1" s="1"/>
  <c r="U30" i="4"/>
  <c r="F33" i="8" s="1"/>
  <c r="AB30" i="4"/>
  <c r="M33" i="8" s="1"/>
  <c r="Y86" i="4"/>
  <c r="J93" i="8" s="1"/>
  <c r="R86" i="4"/>
  <c r="C93" i="8" s="1"/>
  <c r="S170" i="4"/>
  <c r="D183" i="8" s="1"/>
  <c r="Z170" i="4"/>
  <c r="K183" i="8" s="1"/>
  <c r="U59" i="2"/>
  <c r="F64" i="1" s="1"/>
  <c r="AB59" i="2"/>
  <c r="M64" i="1" s="1"/>
  <c r="U171" i="2"/>
  <c r="F184" i="1" s="1"/>
  <c r="AB171" i="2"/>
  <c r="M184" i="1" s="1"/>
  <c r="U143" i="4"/>
  <c r="F154" i="8" s="1"/>
  <c r="AB143" i="4"/>
  <c r="M154" i="8" s="1"/>
  <c r="AB129" i="4"/>
  <c r="M139" i="8" s="1"/>
  <c r="U129" i="4"/>
  <c r="F139" i="8" s="1"/>
  <c r="AB4" i="4"/>
  <c r="M5" i="8" s="1"/>
  <c r="U4" i="4"/>
  <c r="F5" i="8" s="1"/>
  <c r="AA32" i="4"/>
  <c r="L35" i="8" s="1"/>
  <c r="T32" i="4"/>
  <c r="E35" i="8" s="1"/>
  <c r="S60" i="4"/>
  <c r="D65" i="8" s="1"/>
  <c r="Z60" i="4"/>
  <c r="K65" i="8" s="1"/>
  <c r="Z172" i="4"/>
  <c r="K185" i="8" s="1"/>
  <c r="S172" i="4"/>
  <c r="D185" i="8" s="1"/>
  <c r="Z61" i="4"/>
  <c r="K66" i="8" s="1"/>
  <c r="S61" i="4"/>
  <c r="D66" i="8" s="1"/>
  <c r="S89" i="4"/>
  <c r="D96" i="8" s="1"/>
  <c r="Z89" i="4"/>
  <c r="K96" i="8" s="1"/>
  <c r="Z117" i="4"/>
  <c r="K126" i="8" s="1"/>
  <c r="S117" i="4"/>
  <c r="D126" i="8" s="1"/>
  <c r="Y146" i="2"/>
  <c r="J157" i="1" s="1"/>
  <c r="R146" i="2"/>
  <c r="C157" i="1" s="1"/>
  <c r="AB49" i="2"/>
  <c r="M53" i="1" s="1"/>
  <c r="U49" i="2"/>
  <c r="F53" i="1" s="1"/>
  <c r="Z161" i="4"/>
  <c r="K173" i="8" s="1"/>
  <c r="S161" i="4"/>
  <c r="D173" i="8" s="1"/>
  <c r="U216" i="4"/>
  <c r="F219" i="8" s="1"/>
  <c r="AB216" i="4"/>
  <c r="M219" i="8" s="1"/>
  <c r="Y10" i="2"/>
  <c r="J11" i="1" s="1"/>
  <c r="R10" i="2"/>
  <c r="C11" i="1" s="1"/>
  <c r="U95" i="2"/>
  <c r="F102" i="1" s="1"/>
  <c r="AB95" i="2"/>
  <c r="M102" i="1" s="1"/>
  <c r="T39" i="4"/>
  <c r="E42" i="8" s="1"/>
  <c r="AA39" i="4"/>
  <c r="L42" i="8" s="1"/>
  <c r="Q162" i="2"/>
  <c r="B174" i="1" s="1"/>
  <c r="U131" i="4"/>
  <c r="F141" i="8" s="1"/>
  <c r="X68" i="2"/>
  <c r="I73" i="1" s="1"/>
  <c r="Q68" i="2"/>
  <c r="B73" i="1" s="1"/>
  <c r="Q91" i="2"/>
  <c r="B98" i="1" s="1"/>
  <c r="X91" i="2"/>
  <c r="I98" i="1" s="1"/>
  <c r="Q36" i="4"/>
  <c r="B39" i="8" s="1"/>
  <c r="X36" i="4"/>
  <c r="I39" i="8" s="1"/>
  <c r="Q148" i="4"/>
  <c r="B159" i="8" s="1"/>
  <c r="X148" i="4"/>
  <c r="I159" i="8" s="1"/>
  <c r="X191" i="4"/>
  <c r="I205" i="8" s="1"/>
  <c r="Q191" i="4"/>
  <c r="B205" i="8" s="1"/>
  <c r="Q107" i="4"/>
  <c r="B115" i="8" s="1"/>
  <c r="X107" i="4"/>
  <c r="I115" i="8" s="1"/>
  <c r="Z110" i="2"/>
  <c r="K118" i="1" s="1"/>
  <c r="S110" i="2"/>
  <c r="D118" i="1" s="1"/>
  <c r="Y82" i="2"/>
  <c r="J88" i="1" s="1"/>
  <c r="R82" i="2"/>
  <c r="C88" i="1" s="1"/>
  <c r="S3" i="4"/>
  <c r="D4" i="8" s="1"/>
  <c r="Z3" i="4"/>
  <c r="K4" i="8" s="1"/>
  <c r="X12" i="2"/>
  <c r="I13" i="1" s="1"/>
  <c r="Q12" i="2"/>
  <c r="B13" i="1" s="1"/>
  <c r="Q170" i="4"/>
  <c r="B183" i="8" s="1"/>
  <c r="X170" i="4"/>
  <c r="I183" i="8" s="1"/>
  <c r="X161" i="2"/>
  <c r="I173" i="1" s="1"/>
  <c r="Q161" i="2"/>
  <c r="B173" i="1" s="1"/>
  <c r="Q39" i="4"/>
  <c r="B42" i="8" s="1"/>
  <c r="X39" i="4"/>
  <c r="I42" i="8" s="1"/>
  <c r="Z72" i="2"/>
  <c r="K78" i="1" s="1"/>
  <c r="S72" i="2"/>
  <c r="D78" i="1" s="1"/>
  <c r="Q21" i="4"/>
  <c r="B23" i="8" s="1"/>
  <c r="X21" i="4"/>
  <c r="I23" i="8" s="1"/>
  <c r="T76" i="2"/>
  <c r="E82" i="1" s="1"/>
  <c r="AA76" i="2"/>
  <c r="L82" i="1" s="1"/>
  <c r="AB162" i="2"/>
  <c r="M174" i="1" s="1"/>
  <c r="U162" i="2"/>
  <c r="F174" i="1" s="1"/>
  <c r="X89" i="4"/>
  <c r="I96" i="8" s="1"/>
  <c r="Q89" i="4"/>
  <c r="B96" i="8" s="1"/>
  <c r="X194" i="2"/>
  <c r="I208" i="1" s="1"/>
  <c r="Q194" i="2"/>
  <c r="B208" i="1" s="1"/>
  <c r="Y103" i="2"/>
  <c r="J111" i="1" s="1"/>
  <c r="R103" i="2"/>
  <c r="C111" i="1" s="1"/>
  <c r="AA82" i="2"/>
  <c r="L88" i="1" s="1"/>
  <c r="T82" i="2"/>
  <c r="E88" i="1" s="1"/>
  <c r="R194" i="2"/>
  <c r="C208" i="1" s="1"/>
  <c r="Y194" i="2"/>
  <c r="J208" i="1" s="1"/>
  <c r="Q67" i="2"/>
  <c r="B72" i="1" s="1"/>
  <c r="X67" i="2"/>
  <c r="I72" i="1" s="1"/>
  <c r="T184" i="2"/>
  <c r="E198" i="1" s="1"/>
  <c r="AA184" i="2"/>
  <c r="L198" i="1" s="1"/>
  <c r="U86" i="4"/>
  <c r="F93" i="8" s="1"/>
  <c r="AB86" i="4"/>
  <c r="M93" i="8" s="1"/>
  <c r="Q39" i="2"/>
  <c r="B42" i="1" s="1"/>
  <c r="X39" i="2"/>
  <c r="I42" i="1" s="1"/>
  <c r="Z52" i="2"/>
  <c r="K56" i="1" s="1"/>
  <c r="Y21" i="2"/>
  <c r="J23" i="1" s="1"/>
  <c r="AC36" i="1"/>
  <c r="W48" i="1"/>
  <c r="Y202" i="1"/>
  <c r="Q206" i="1"/>
  <c r="AB143" i="1"/>
  <c r="V11" i="1"/>
  <c r="AC173" i="1"/>
  <c r="Q129" i="1"/>
  <c r="P178" i="1"/>
  <c r="Y101" i="1"/>
  <c r="Q110" i="1"/>
  <c r="AC68" i="1"/>
  <c r="W145" i="1"/>
  <c r="AC82" i="1"/>
  <c r="S57" i="1"/>
  <c r="P9" i="1"/>
  <c r="Q185" i="1"/>
  <c r="P176" i="1"/>
  <c r="AB187" i="1"/>
  <c r="P57" i="1"/>
  <c r="Y133" i="8"/>
  <c r="T162" i="1"/>
  <c r="Z185" i="1"/>
  <c r="Q27" i="1"/>
  <c r="Q26" i="1"/>
  <c r="S175" i="1"/>
  <c r="W57" i="1"/>
  <c r="Z26" i="1"/>
  <c r="Z24" i="1"/>
  <c r="S103" i="1"/>
  <c r="AC163" i="1"/>
  <c r="Q66" i="1"/>
  <c r="T85" i="1"/>
  <c r="AB118" i="1"/>
  <c r="P34" i="1"/>
  <c r="Q72" i="1"/>
  <c r="Q79" i="1"/>
  <c r="T19" i="1"/>
  <c r="T111" i="1"/>
  <c r="Q193" i="1"/>
  <c r="T68" i="1"/>
  <c r="V70" i="1"/>
  <c r="P115" i="1"/>
  <c r="Q38" i="1"/>
  <c r="Z112" i="1"/>
  <c r="W129" i="1"/>
  <c r="W156" i="1"/>
  <c r="V117" i="1"/>
  <c r="S93" i="1"/>
  <c r="Q86" i="1"/>
  <c r="AC186" i="1"/>
  <c r="Y84" i="1"/>
  <c r="Q57" i="1"/>
  <c r="Q207" i="1"/>
  <c r="AB57" i="1"/>
  <c r="Z34" i="1"/>
  <c r="T177" i="1"/>
  <c r="Z176" i="1"/>
  <c r="W140" i="1"/>
  <c r="AC204" i="1"/>
  <c r="T79" i="1"/>
  <c r="Q103" i="1"/>
  <c r="P7" i="1"/>
  <c r="Q24" i="1"/>
  <c r="V173" i="1"/>
  <c r="Z187" i="1"/>
  <c r="Y174" i="1"/>
  <c r="AB11" i="1"/>
  <c r="W113" i="1"/>
  <c r="W127" i="1"/>
  <c r="P140" i="1"/>
  <c r="Y199" i="1"/>
  <c r="S148" i="1"/>
  <c r="AC3" i="1"/>
  <c r="W133" i="1"/>
  <c r="AC118" i="1"/>
  <c r="Q143" i="1"/>
  <c r="Q39" i="1"/>
  <c r="Q190" i="1"/>
  <c r="Z53" i="1"/>
  <c r="P26" i="1"/>
  <c r="T23" i="1"/>
  <c r="T50" i="1"/>
  <c r="AC158" i="1"/>
  <c r="W191" i="1"/>
  <c r="W192" i="1"/>
  <c r="Y198" i="1"/>
  <c r="W79" i="1"/>
  <c r="W97" i="1"/>
  <c r="Q172" i="1"/>
  <c r="Z111" i="1"/>
  <c r="S58" i="1"/>
  <c r="T52" i="1"/>
  <c r="T88" i="1"/>
  <c r="W101" i="1"/>
  <c r="Z102" i="1"/>
  <c r="Y157" i="1"/>
  <c r="S199" i="1"/>
  <c r="W130" i="1"/>
  <c r="T117" i="1"/>
  <c r="S80" i="1"/>
  <c r="AB129" i="1"/>
  <c r="Y130" i="1"/>
  <c r="AB199" i="1"/>
  <c r="T159" i="1"/>
  <c r="S159" i="1"/>
  <c r="T201" i="1"/>
  <c r="Q56" i="1"/>
  <c r="Q162" i="1"/>
  <c r="Y81" i="1"/>
  <c r="V157" i="1"/>
  <c r="T114" i="1"/>
  <c r="W19" i="1"/>
  <c r="Q113" i="1"/>
  <c r="P79" i="1"/>
  <c r="Q159" i="1"/>
  <c r="Q4" i="1"/>
  <c r="W170" i="1"/>
  <c r="P202" i="1"/>
  <c r="AB43" i="1"/>
  <c r="W160" i="1"/>
  <c r="AB41" i="1"/>
  <c r="Y153" i="1"/>
  <c r="T192" i="1"/>
  <c r="T208" i="8"/>
  <c r="T64" i="1"/>
  <c r="Y206" i="1"/>
  <c r="Q168" i="1"/>
  <c r="Q55" i="1"/>
  <c r="P40" i="1"/>
  <c r="Q101" i="1"/>
  <c r="AC43" i="1"/>
  <c r="Y37" i="1"/>
  <c r="AB108" i="1"/>
  <c r="T189" i="1"/>
  <c r="V138" i="1"/>
  <c r="W102" i="1"/>
  <c r="Q147" i="1"/>
  <c r="Q78" i="1"/>
  <c r="P114" i="1"/>
  <c r="AC79" i="1"/>
  <c r="V88" i="1"/>
  <c r="AB206" i="1"/>
  <c r="S48" i="1"/>
  <c r="Z100" i="1"/>
  <c r="Q146" i="1"/>
  <c r="AC183" i="1"/>
  <c r="Q176" i="1"/>
  <c r="P177" i="1"/>
  <c r="T154" i="1"/>
  <c r="Q68" i="1"/>
  <c r="P39" i="1"/>
  <c r="Y190" i="1"/>
  <c r="Q208" i="1"/>
  <c r="AB56" i="1"/>
  <c r="W38" i="1"/>
  <c r="Q5" i="1"/>
  <c r="T40" i="1"/>
  <c r="AC5" i="1"/>
  <c r="Y141" i="1"/>
  <c r="Y109" i="1"/>
  <c r="V21" i="1"/>
  <c r="V171" i="1"/>
  <c r="Z52" i="1"/>
  <c r="AB148" i="1"/>
  <c r="Y103" i="1"/>
  <c r="P103" i="1"/>
  <c r="Y131" i="1"/>
  <c r="AB5" i="1"/>
  <c r="Y102" i="1"/>
  <c r="T161" i="1"/>
  <c r="AB78" i="1"/>
  <c r="Z155" i="1"/>
  <c r="Y146" i="1"/>
  <c r="Y43" i="1"/>
  <c r="V113" i="1"/>
  <c r="V206" i="1"/>
  <c r="P19" i="1"/>
  <c r="W103" i="1"/>
  <c r="S6" i="1"/>
  <c r="AC116" i="1"/>
  <c r="Y3" i="1"/>
  <c r="P192" i="1"/>
  <c r="Z157" i="1"/>
  <c r="Y11" i="1"/>
  <c r="AB208" i="1"/>
  <c r="P4" i="1"/>
  <c r="S126" i="1"/>
  <c r="Z5" i="1"/>
  <c r="Z154" i="1"/>
  <c r="AC49" i="1"/>
  <c r="V148" i="1"/>
  <c r="P110" i="1"/>
  <c r="W174" i="1"/>
  <c r="T39" i="1"/>
  <c r="AC190" i="1"/>
  <c r="V94" i="1"/>
  <c r="P171" i="1"/>
  <c r="T82" i="1"/>
  <c r="Z43" i="1"/>
  <c r="AC130" i="1"/>
  <c r="Z128" i="1"/>
  <c r="Q202" i="1"/>
  <c r="V72" i="1"/>
  <c r="W21" i="1"/>
  <c r="Y54" i="1"/>
  <c r="AB160" i="1"/>
  <c r="W159" i="1"/>
  <c r="AB144" i="1"/>
  <c r="Z4" i="1"/>
  <c r="AB116" i="1"/>
  <c r="V80" i="1"/>
  <c r="P174" i="1"/>
  <c r="Q138" i="1"/>
  <c r="V115" i="1"/>
  <c r="W56" i="1"/>
  <c r="Y40" i="1"/>
  <c r="P72" i="1"/>
  <c r="Q23" i="1"/>
  <c r="V144" i="1"/>
  <c r="P56" i="1"/>
  <c r="T202" i="1"/>
  <c r="Q21" i="1"/>
  <c r="V126" i="1"/>
  <c r="Y48" i="1"/>
  <c r="Q20" i="1"/>
  <c r="AB7" i="1"/>
  <c r="P43" i="1"/>
  <c r="V86" i="1"/>
  <c r="Y7" i="1"/>
  <c r="V65" i="1"/>
  <c r="P51" i="1"/>
  <c r="V192" i="1"/>
  <c r="S36" i="1"/>
  <c r="AB63" i="1"/>
  <c r="P191" i="1"/>
  <c r="Z40" i="1"/>
  <c r="W6" i="1"/>
  <c r="T26" i="1"/>
  <c r="T187" i="1"/>
  <c r="Z109" i="1"/>
  <c r="V188" i="1"/>
  <c r="V73" i="1"/>
  <c r="W176" i="1"/>
  <c r="P139" i="1"/>
  <c r="W33" i="1"/>
  <c r="V141" i="1"/>
  <c r="AB127" i="1"/>
  <c r="W118" i="1"/>
  <c r="Q8" i="1"/>
  <c r="Q93" i="1"/>
  <c r="T178" i="1"/>
  <c r="Q173" i="1"/>
  <c r="Z159" i="1"/>
  <c r="Q99" i="1"/>
  <c r="T160" i="1"/>
  <c r="Q115" i="1"/>
  <c r="Z72" i="1"/>
  <c r="Q102" i="1"/>
  <c r="Q49" i="1"/>
  <c r="AC208" i="1"/>
  <c r="Z41" i="1"/>
  <c r="T176" i="1"/>
  <c r="T126" i="1"/>
  <c r="W5" i="1"/>
  <c r="Y155" i="1"/>
  <c r="P93" i="1"/>
  <c r="AB158" i="1"/>
  <c r="S125" i="1"/>
  <c r="Y118" i="1"/>
  <c r="Y23" i="1"/>
  <c r="S158" i="1"/>
  <c r="T199" i="1"/>
  <c r="Z103" i="1"/>
  <c r="S201" i="1"/>
  <c r="Q117" i="1"/>
  <c r="S85" i="1"/>
  <c r="AC188" i="1"/>
  <c r="Z83" i="1"/>
  <c r="V132" i="1"/>
  <c r="AB186" i="1"/>
  <c r="V54" i="1"/>
  <c r="P20" i="1"/>
  <c r="W24" i="1"/>
  <c r="AB49" i="1"/>
  <c r="AC19" i="1"/>
  <c r="S146" i="1"/>
  <c r="P63" i="1"/>
  <c r="AB71" i="1"/>
  <c r="S155" i="1"/>
  <c r="S73" i="1"/>
  <c r="AB65" i="1"/>
  <c r="Q33" i="1"/>
  <c r="Z189" i="1"/>
  <c r="AC131" i="1"/>
  <c r="Q170" i="1"/>
  <c r="S142" i="1"/>
  <c r="Z7" i="1"/>
  <c r="V8" i="1"/>
  <c r="Y12" i="1"/>
  <c r="Z193" i="1"/>
  <c r="Q158" i="1"/>
  <c r="AB156" i="1"/>
  <c r="W99" i="1"/>
  <c r="Y83" i="1"/>
  <c r="AB38" i="1"/>
  <c r="AC178" i="1"/>
  <c r="T67" i="1"/>
  <c r="Q145" i="1"/>
  <c r="Q28" i="1"/>
  <c r="P10" i="1"/>
  <c r="Q155" i="1"/>
  <c r="W128" i="1"/>
  <c r="Q116" i="1"/>
  <c r="V154" i="1"/>
  <c r="Q199" i="1"/>
  <c r="T155" i="1"/>
  <c r="P100" i="1"/>
  <c r="W4" i="1"/>
  <c r="W8" i="1"/>
  <c r="Y161" i="1"/>
  <c r="Z110" i="1"/>
  <c r="W95" i="1"/>
  <c r="W37" i="1"/>
  <c r="T190" i="1"/>
  <c r="S202" i="1"/>
  <c r="W35" i="1"/>
  <c r="AC42" i="1"/>
  <c r="Y142" i="1"/>
  <c r="S20" i="1"/>
  <c r="AC100" i="1"/>
  <c r="W184" i="1"/>
  <c r="T193" i="1"/>
  <c r="T10" i="1"/>
  <c r="S78" i="1"/>
  <c r="V169" i="1"/>
  <c r="S52" i="1"/>
  <c r="Q22" i="1"/>
  <c r="T20" i="1"/>
  <c r="AC148" i="1"/>
  <c r="Y5" i="1"/>
  <c r="P193" i="1"/>
  <c r="V43" i="1"/>
  <c r="AB131" i="1"/>
  <c r="AB25" i="1"/>
  <c r="AB12" i="1"/>
  <c r="AB141" i="1"/>
  <c r="W158" i="1"/>
  <c r="W203" i="1"/>
  <c r="P54" i="1"/>
  <c r="AB19" i="1"/>
  <c r="Z186" i="1"/>
  <c r="V172" i="1"/>
  <c r="W148" i="1"/>
  <c r="AB10" i="1"/>
  <c r="W42" i="1"/>
  <c r="W39" i="1"/>
  <c r="AC114" i="1"/>
  <c r="Z10" i="1"/>
  <c r="V82" i="1"/>
  <c r="Y144" i="1"/>
  <c r="AB125" i="1"/>
  <c r="AB169" i="1"/>
  <c r="P143" i="1"/>
  <c r="W86" i="1"/>
  <c r="T103" i="1"/>
  <c r="W55" i="1"/>
  <c r="S7" i="1"/>
  <c r="Q83" i="1"/>
  <c r="AC205" i="1"/>
  <c r="Y176" i="1"/>
  <c r="T188" i="1"/>
  <c r="P159" i="1"/>
  <c r="V200" i="1"/>
  <c r="P50" i="1"/>
  <c r="Z63" i="1"/>
  <c r="AC18" i="1"/>
  <c r="Q97" i="1"/>
  <c r="Z175" i="1"/>
  <c r="P111" i="1"/>
  <c r="W125" i="1"/>
  <c r="V204" i="1"/>
  <c r="Z36" i="1"/>
  <c r="T207" i="1"/>
  <c r="Q142" i="1"/>
  <c r="S28" i="1"/>
  <c r="AB82" i="1"/>
  <c r="P188" i="1"/>
  <c r="P3" i="1"/>
  <c r="S79" i="1"/>
  <c r="Q126" i="1"/>
  <c r="P18" i="1"/>
  <c r="P189" i="1"/>
  <c r="Q95" i="1"/>
  <c r="P124" i="1"/>
  <c r="S12" i="1"/>
  <c r="T63" i="1"/>
  <c r="T118" i="1"/>
  <c r="AC185" i="1"/>
  <c r="T142" i="1"/>
  <c r="W155" i="1"/>
  <c r="T146" i="1"/>
  <c r="S97" i="1"/>
  <c r="T205" i="1"/>
  <c r="Y187" i="1"/>
  <c r="P58" i="1"/>
  <c r="AC153" i="1"/>
  <c r="Z133" i="1"/>
  <c r="AC81" i="1"/>
  <c r="AB28" i="1"/>
  <c r="W100" i="1"/>
  <c r="P142" i="1"/>
  <c r="Z21" i="1"/>
  <c r="Y111" i="1"/>
  <c r="AC11" i="1"/>
  <c r="Y112" i="1"/>
  <c r="Y145" i="1"/>
  <c r="AB185" i="1"/>
  <c r="AC156" i="1"/>
  <c r="Q125" i="1"/>
  <c r="W72" i="1"/>
  <c r="Z78" i="1"/>
  <c r="V128" i="1"/>
  <c r="S140" i="1"/>
  <c r="P187" i="1"/>
  <c r="AB79" i="1"/>
  <c r="AC37" i="1"/>
  <c r="Y80" i="1"/>
  <c r="S141" i="1"/>
  <c r="W85" i="1"/>
  <c r="P25" i="1"/>
  <c r="P71" i="1"/>
  <c r="AC70" i="1"/>
  <c r="S101" i="1"/>
  <c r="V160" i="1"/>
  <c r="AC161" i="1"/>
  <c r="Q183" i="1"/>
  <c r="P113" i="1"/>
  <c r="P127" i="1"/>
  <c r="S198" i="1"/>
  <c r="T38" i="1"/>
  <c r="S40" i="1"/>
  <c r="W28" i="1"/>
  <c r="V23" i="1"/>
  <c r="P133" i="1"/>
  <c r="S161" i="1"/>
  <c r="Z184" i="1"/>
  <c r="Q94" i="1"/>
  <c r="AC184" i="1"/>
  <c r="V4" i="1"/>
  <c r="W141" i="1"/>
  <c r="AB37" i="1"/>
  <c r="Q18" i="1"/>
  <c r="P85" i="1"/>
  <c r="P204" i="1"/>
  <c r="S170" i="1"/>
  <c r="Q11" i="1"/>
  <c r="Y128" i="1"/>
  <c r="AB124" i="1"/>
  <c r="P21" i="1"/>
  <c r="AC103" i="1"/>
  <c r="AC65" i="1"/>
  <c r="Y39" i="1"/>
  <c r="Z66" i="1"/>
  <c r="AC97" i="1"/>
  <c r="T65" i="1"/>
  <c r="V133" i="1"/>
  <c r="AB145" i="1"/>
  <c r="P101" i="1"/>
  <c r="V52" i="1"/>
  <c r="W110" i="1"/>
  <c r="W124" i="1"/>
  <c r="W114" i="1"/>
  <c r="Y177" i="1"/>
  <c r="Q192" i="1"/>
  <c r="AC41" i="1"/>
  <c r="W84" i="1"/>
  <c r="P36" i="1"/>
  <c r="T35" i="1"/>
  <c r="T186" i="1"/>
  <c r="W73" i="1"/>
  <c r="AB201" i="1"/>
  <c r="AB130" i="1"/>
  <c r="Q141" i="1"/>
  <c r="W87" i="1"/>
  <c r="V101" i="1"/>
  <c r="P158" i="1"/>
  <c r="W188" i="1"/>
  <c r="P52" i="1"/>
  <c r="W43" i="1"/>
  <c r="Z50" i="1"/>
  <c r="Z96" i="1"/>
  <c r="Q161" i="1"/>
  <c r="S178" i="1"/>
  <c r="Z54" i="1"/>
  <c r="W3" i="1"/>
  <c r="P160" i="1"/>
  <c r="P163" i="1"/>
  <c r="Q130" i="1"/>
  <c r="Q132" i="1"/>
  <c r="Y41" i="1"/>
  <c r="V37" i="1"/>
  <c r="Q191" i="1"/>
  <c r="V84" i="1"/>
  <c r="P157" i="1"/>
  <c r="AB81" i="1"/>
  <c r="Y78" i="1"/>
  <c r="Q52" i="1"/>
  <c r="V55" i="1"/>
  <c r="T7" i="1"/>
  <c r="Y18" i="1"/>
  <c r="Y79" i="1"/>
  <c r="AC155" i="1"/>
  <c r="AC207" i="1"/>
  <c r="Q36" i="1"/>
  <c r="AB175" i="1"/>
  <c r="Y22" i="1"/>
  <c r="Q175" i="1"/>
  <c r="Q87" i="1"/>
  <c r="T110" i="1"/>
  <c r="Q71" i="1"/>
  <c r="Z156" i="1"/>
  <c r="W7" i="1"/>
  <c r="P130" i="1"/>
  <c r="Q88" i="1"/>
  <c r="AB70" i="1"/>
  <c r="S8" i="1"/>
  <c r="T101" i="1"/>
  <c r="P132" i="1"/>
  <c r="Q3" i="1"/>
  <c r="V143" i="1"/>
  <c r="T18" i="1"/>
  <c r="S200" i="1"/>
  <c r="P183" i="1"/>
  <c r="P41" i="1"/>
  <c r="AC27" i="1"/>
  <c r="T144" i="1"/>
  <c r="S185" i="1"/>
  <c r="T66" i="1"/>
  <c r="Z85" i="1"/>
  <c r="Y117" i="1"/>
  <c r="P131" i="1"/>
  <c r="Y163" i="1"/>
  <c r="Q10" i="1"/>
  <c r="W139" i="1"/>
  <c r="Q63" i="1"/>
  <c r="V67" i="1"/>
  <c r="V63" i="1"/>
  <c r="Q154" i="1"/>
  <c r="Q123" i="1"/>
  <c r="AB84" i="1"/>
  <c r="P37" i="1"/>
  <c r="W50" i="1"/>
  <c r="AC175" i="1"/>
  <c r="S145" i="1"/>
  <c r="T56" i="1"/>
  <c r="T87" i="1"/>
  <c r="T4" i="1"/>
  <c r="V68" i="1"/>
  <c r="Z57" i="1"/>
  <c r="Z9" i="1"/>
  <c r="S102" i="1"/>
  <c r="S43" i="1"/>
  <c r="S18" i="1"/>
  <c r="Z138" i="1"/>
  <c r="Y113" i="1"/>
  <c r="W177" i="1"/>
  <c r="Y188" i="1"/>
  <c r="S129" i="1"/>
  <c r="T100" i="1"/>
  <c r="S51" i="1"/>
  <c r="Q157" i="1"/>
  <c r="AC115" i="1"/>
  <c r="Y25" i="1"/>
  <c r="S157" i="1"/>
  <c r="P73" i="1"/>
  <c r="AB174" i="1"/>
  <c r="Y88" i="1"/>
  <c r="P117" i="1"/>
  <c r="S177" i="1"/>
  <c r="AC101" i="1"/>
  <c r="V102" i="1"/>
  <c r="AB198" i="1"/>
  <c r="P94" i="1"/>
  <c r="AB69" i="1"/>
  <c r="Y126" i="1"/>
  <c r="Z81" i="1"/>
  <c r="AB190" i="1"/>
  <c r="Q174" i="1"/>
  <c r="AB184" i="1"/>
  <c r="W54" i="1"/>
  <c r="AB157" i="1"/>
  <c r="V13" i="1"/>
  <c r="P207" i="1"/>
  <c r="Y185" i="1"/>
  <c r="S21" i="1"/>
  <c r="Z51" i="1"/>
  <c r="W41" i="1"/>
  <c r="Y132" i="1"/>
  <c r="Y52" i="1"/>
  <c r="V131" i="1"/>
  <c r="Q7" i="1"/>
  <c r="Q171" i="1"/>
  <c r="T175" i="1"/>
  <c r="P205" i="1"/>
  <c r="AB27" i="1"/>
  <c r="Y82" i="1"/>
  <c r="AB110" i="1"/>
  <c r="P128" i="1"/>
  <c r="W201" i="1"/>
  <c r="T112" i="1"/>
  <c r="V34" i="1"/>
  <c r="AB126" i="1"/>
  <c r="Z98" i="1"/>
  <c r="AC109" i="1"/>
  <c r="Z28" i="1"/>
  <c r="AB48" i="1"/>
  <c r="V110" i="1"/>
  <c r="P190" i="1"/>
  <c r="V189" i="1"/>
  <c r="AB117" i="1"/>
  <c r="AC206" i="1"/>
  <c r="Y203" i="1"/>
  <c r="W161" i="1"/>
  <c r="Q80" i="1"/>
  <c r="Z206" i="1"/>
  <c r="V116" i="1"/>
  <c r="W94" i="1"/>
  <c r="S67" i="1"/>
  <c r="V199" i="1"/>
  <c r="AC34" i="1"/>
  <c r="S63" i="1"/>
  <c r="Z115" i="1"/>
  <c r="AC54" i="1"/>
  <c r="Z199" i="1"/>
  <c r="V66" i="1"/>
  <c r="W132" i="1"/>
  <c r="S96" i="1"/>
  <c r="AB87" i="1"/>
  <c r="T204" i="1"/>
  <c r="P8" i="1"/>
  <c r="Y204" i="1"/>
  <c r="Q9" i="1"/>
  <c r="V58" i="1"/>
  <c r="T131" i="1"/>
  <c r="Z125" i="1"/>
  <c r="T11" i="1"/>
  <c r="AB22" i="1"/>
  <c r="V162" i="1"/>
  <c r="Y193" i="1"/>
  <c r="AC159" i="1"/>
  <c r="AC177" i="1"/>
  <c r="AC48" i="1"/>
  <c r="AC8" i="1"/>
  <c r="T115" i="1"/>
  <c r="S188" i="1"/>
  <c r="Q100" i="1"/>
  <c r="AB154" i="1"/>
  <c r="Y115" i="1"/>
  <c r="Q188" i="1"/>
  <c r="V20" i="1"/>
  <c r="P12" i="1"/>
  <c r="W208" i="1"/>
  <c r="P64" i="1"/>
  <c r="AB200" i="1"/>
  <c r="Z114" i="1"/>
  <c r="Q84" i="1"/>
  <c r="P203" i="1"/>
  <c r="AC94" i="1"/>
  <c r="T129" i="1"/>
  <c r="W18" i="1"/>
  <c r="S208" i="1"/>
  <c r="Z129" i="1"/>
  <c r="Y63" i="1"/>
  <c r="V123" i="1"/>
  <c r="T184" i="1"/>
  <c r="P170" i="1"/>
  <c r="V42" i="1"/>
  <c r="S13" i="1"/>
  <c r="W40" i="1"/>
  <c r="W53" i="1"/>
  <c r="V64" i="1"/>
  <c r="Y68" i="1"/>
  <c r="W49" i="1"/>
  <c r="AC39" i="1"/>
  <c r="P199" i="1"/>
  <c r="AB114" i="1"/>
  <c r="W183" i="1"/>
  <c r="Y71" i="1"/>
  <c r="V78" i="1"/>
  <c r="T48" i="1"/>
  <c r="AB13" i="1"/>
  <c r="Q109" i="1"/>
  <c r="AB20" i="1"/>
  <c r="V175" i="1"/>
  <c r="AB86" i="1"/>
  <c r="AB97" i="1"/>
  <c r="P201" i="1"/>
  <c r="S5" i="1"/>
  <c r="AC96" i="1"/>
  <c r="Y100" i="1"/>
  <c r="S176" i="1"/>
  <c r="V174" i="1"/>
  <c r="T133" i="1"/>
  <c r="Y72" i="1"/>
  <c r="T34" i="1"/>
  <c r="AB189" i="1"/>
  <c r="AC78" i="1"/>
  <c r="AC198" i="1"/>
  <c r="T127" i="1"/>
  <c r="Y24" i="1"/>
  <c r="AC133" i="1"/>
  <c r="W108" i="1"/>
  <c r="Z191" i="1"/>
  <c r="AC178" i="8"/>
  <c r="Y189" i="1"/>
  <c r="AC55" i="1"/>
  <c r="V7" i="1"/>
  <c r="P82" i="1"/>
  <c r="AC52" i="1"/>
  <c r="T3" i="1"/>
  <c r="Z142" i="1"/>
  <c r="AC20" i="1"/>
  <c r="AB128" i="1"/>
  <c r="W169" i="1"/>
  <c r="Q6" i="1"/>
  <c r="P68" i="1"/>
  <c r="S88" i="1"/>
  <c r="Q51" i="1"/>
  <c r="P6" i="1"/>
  <c r="T8" i="1"/>
  <c r="P5" i="1"/>
  <c r="P208" i="1"/>
  <c r="S37" i="1"/>
  <c r="P144" i="1"/>
  <c r="Z42" i="1"/>
  <c r="V156" i="1"/>
  <c r="Z178" i="1"/>
  <c r="V111" i="1"/>
  <c r="Y183" i="1"/>
  <c r="W185" i="1"/>
  <c r="T53" i="1"/>
  <c r="AB85" i="1"/>
  <c r="P161" i="1"/>
  <c r="AC10" i="1"/>
  <c r="Q25" i="1"/>
  <c r="W80" i="1"/>
  <c r="Y154" i="1"/>
  <c r="P141" i="1"/>
  <c r="P53" i="1"/>
  <c r="T139" i="1"/>
  <c r="AB153" i="1"/>
  <c r="Z93" i="1"/>
  <c r="S70" i="1"/>
  <c r="W68" i="1"/>
  <c r="Y9" i="1"/>
  <c r="V183" i="1"/>
  <c r="T22" i="1"/>
  <c r="Z6" i="1"/>
  <c r="P200" i="1"/>
  <c r="Q108" i="1"/>
  <c r="Q58" i="1"/>
  <c r="S147" i="1"/>
  <c r="V95" i="1"/>
  <c r="AC24" i="1"/>
  <c r="AC87" i="1"/>
  <c r="Y147" i="1"/>
  <c r="W190" i="1"/>
  <c r="AC162" i="1"/>
  <c r="Y148" i="1"/>
  <c r="AB176" i="1"/>
  <c r="AB93" i="1"/>
  <c r="P116" i="1"/>
  <c r="T108" i="1"/>
  <c r="P66" i="1"/>
  <c r="W187" i="1"/>
  <c r="Q40" i="1"/>
  <c r="P27" i="1"/>
  <c r="T138" i="1"/>
  <c r="Y93" i="1"/>
  <c r="W168" i="1"/>
  <c r="S114" i="1"/>
  <c r="W88" i="1"/>
  <c r="T156" i="1"/>
  <c r="W173" i="1"/>
  <c r="AB203" i="1"/>
  <c r="W112" i="1"/>
  <c r="V18" i="1"/>
  <c r="Q98" i="1"/>
  <c r="Q42" i="1"/>
  <c r="S50" i="1"/>
  <c r="Q50" i="1"/>
  <c r="Z70" i="1"/>
  <c r="AC157" i="1"/>
  <c r="Y38" i="1"/>
  <c r="W200" i="1"/>
  <c r="Z12" i="1"/>
  <c r="AC63" i="1"/>
  <c r="S193" i="1"/>
  <c r="AC4" i="1"/>
  <c r="T183" i="1"/>
  <c r="P129" i="1"/>
  <c r="Q153" i="1"/>
  <c r="Q189" i="1"/>
  <c r="P126" i="1"/>
  <c r="P112" i="1"/>
  <c r="Z33" i="1"/>
  <c r="W12" i="1"/>
  <c r="V118" i="1"/>
  <c r="V100" i="1"/>
  <c r="W23" i="1"/>
  <c r="T140" i="1"/>
  <c r="V36" i="1"/>
  <c r="T198" i="1"/>
  <c r="S169" i="1"/>
  <c r="T84" i="1"/>
  <c r="Q160" i="1"/>
  <c r="Y162" i="1"/>
  <c r="Z169" i="1"/>
  <c r="P169" i="1"/>
  <c r="T174" i="1"/>
  <c r="V28" i="1"/>
  <c r="Q81" i="1"/>
  <c r="Y58" i="1"/>
  <c r="Z170" i="1"/>
  <c r="P55" i="1"/>
  <c r="Q114" i="1"/>
  <c r="Z117" i="1"/>
  <c r="AB204" i="1"/>
  <c r="P86" i="1"/>
  <c r="Y207" i="1"/>
  <c r="P173" i="1"/>
  <c r="Z198" i="1"/>
  <c r="Q34" i="1"/>
  <c r="AC127" i="1"/>
  <c r="V124" i="1"/>
  <c r="S9" i="1"/>
  <c r="S71" i="1"/>
  <c r="Y175" i="1"/>
  <c r="S173" i="1"/>
  <c r="W171" i="1"/>
  <c r="V193" i="1"/>
  <c r="AC98" i="1"/>
  <c r="Y19" i="1"/>
  <c r="S172" i="1"/>
  <c r="P145" i="1"/>
  <c r="T81" i="1"/>
  <c r="V187" i="1"/>
  <c r="S72" i="1"/>
  <c r="V22" i="1"/>
  <c r="S203" i="1"/>
  <c r="Z35" i="1"/>
  <c r="AB26" i="1"/>
  <c r="Q82" i="1"/>
  <c r="Q69" i="1"/>
  <c r="T102" i="1"/>
  <c r="AB112" i="1"/>
  <c r="V177" i="1"/>
  <c r="Z188" i="1"/>
  <c r="Y178" i="1"/>
  <c r="P96" i="1"/>
  <c r="Q198" i="1"/>
  <c r="P98" i="1"/>
  <c r="W58" i="1"/>
  <c r="T123" i="1"/>
  <c r="P83" i="1"/>
  <c r="Z113" i="1"/>
  <c r="V198" i="1"/>
  <c r="V191" i="1"/>
  <c r="Q203" i="1"/>
  <c r="V163" i="1"/>
  <c r="Y160" i="1"/>
  <c r="S206" i="1"/>
  <c r="AB111" i="1"/>
  <c r="P108" i="1"/>
  <c r="Z65" i="1"/>
  <c r="P70" i="1"/>
  <c r="S123" i="1"/>
  <c r="Z126" i="1"/>
  <c r="S94" i="1"/>
  <c r="Q148" i="1"/>
  <c r="AB188" i="1"/>
  <c r="Z69" i="1"/>
  <c r="T12" i="1"/>
  <c r="S153" i="1"/>
  <c r="P13" i="1"/>
  <c r="Q169" i="1"/>
  <c r="V203" i="1"/>
  <c r="Q124" i="1"/>
  <c r="T83" i="1"/>
  <c r="AC110" i="1"/>
  <c r="Y98" i="1"/>
  <c r="Q144" i="1"/>
  <c r="AC147" i="1"/>
  <c r="Z58" i="1"/>
  <c r="S117" i="1"/>
  <c r="AB3" i="1"/>
  <c r="Y66" i="1"/>
  <c r="W96" i="1"/>
  <c r="AC140" i="1"/>
  <c r="AB23" i="1"/>
  <c r="T28" i="1"/>
  <c r="W70" i="1"/>
  <c r="Z162" i="1"/>
  <c r="Y156" i="1"/>
  <c r="P88" i="1"/>
  <c r="Y67" i="1"/>
  <c r="V12" i="1"/>
  <c r="W193" i="1"/>
  <c r="S192" i="1"/>
  <c r="T200" i="1"/>
  <c r="Y51" i="1"/>
  <c r="Q41" i="1"/>
  <c r="Y26" i="1"/>
  <c r="P102" i="1"/>
  <c r="S160" i="1"/>
  <c r="AB18" i="1"/>
  <c r="T185" i="1"/>
  <c r="Y85" i="1"/>
  <c r="P38" i="1"/>
  <c r="W83" i="1"/>
  <c r="P172" i="1"/>
  <c r="T170" i="1"/>
  <c r="Z174" i="1"/>
  <c r="S111" i="1"/>
  <c r="W162" i="1"/>
  <c r="T128" i="1"/>
  <c r="W9" i="1"/>
  <c r="Q178" i="1"/>
  <c r="P95" i="1"/>
  <c r="Y97" i="1"/>
  <c r="Y127" i="1"/>
  <c r="Y125" i="1"/>
  <c r="Q118" i="1"/>
  <c r="W205" i="1"/>
  <c r="P78" i="1"/>
  <c r="V93" i="1"/>
  <c r="AB173" i="1"/>
  <c r="S162" i="1"/>
  <c r="P175" i="1"/>
  <c r="S110" i="1"/>
  <c r="T171" i="1"/>
  <c r="Z172" i="1"/>
  <c r="P11" i="1"/>
  <c r="P184" i="1"/>
  <c r="Y108" i="1"/>
  <c r="S87" i="1"/>
  <c r="Z183" i="1"/>
  <c r="S69" i="1"/>
  <c r="P81" i="1"/>
  <c r="Y138" i="1"/>
  <c r="Z168" i="1"/>
  <c r="T153" i="1"/>
  <c r="AC88" i="1"/>
  <c r="T168" i="1"/>
  <c r="P155" i="1"/>
  <c r="S124" i="1"/>
  <c r="T9" i="1"/>
  <c r="S11" i="1"/>
  <c r="Z173" i="1"/>
  <c r="AB123" i="1"/>
  <c r="T95" i="1"/>
  <c r="AC73" i="1"/>
  <c r="Y200" i="1"/>
  <c r="W26" i="1"/>
  <c r="W175" i="1"/>
  <c r="AB51" i="1"/>
  <c r="Z208" i="1"/>
  <c r="W206" i="1"/>
  <c r="Y70" i="1"/>
  <c r="P146" i="1"/>
  <c r="Q54" i="1"/>
  <c r="V35" i="1"/>
  <c r="AC9" i="1"/>
  <c r="AC187" i="1"/>
  <c r="W204" i="1"/>
  <c r="S205" i="1"/>
  <c r="T5" i="1"/>
  <c r="Q19" i="1"/>
  <c r="T130" i="1"/>
  <c r="T71" i="1"/>
  <c r="Q200" i="1"/>
  <c r="T6" i="1"/>
  <c r="P48" i="1"/>
  <c r="Z139" i="1"/>
  <c r="AC86" i="1"/>
  <c r="V161" i="1"/>
  <c r="W27" i="1"/>
  <c r="Y139" i="1"/>
  <c r="W189" i="1"/>
  <c r="W34" i="1"/>
  <c r="Y49" i="1"/>
  <c r="Q112" i="1"/>
  <c r="Q163" i="1"/>
  <c r="Z67" i="1"/>
  <c r="AB55" i="1"/>
  <c r="AB21" i="1"/>
  <c r="AC128" i="1"/>
  <c r="Q177" i="1"/>
  <c r="T51" i="1"/>
  <c r="AC117" i="1"/>
  <c r="V83" i="1"/>
  <c r="P138" i="1"/>
  <c r="Q205" i="1"/>
  <c r="AB115" i="1"/>
  <c r="S53" i="1"/>
  <c r="S54" i="1"/>
  <c r="T157" i="1"/>
  <c r="AC174" i="1"/>
  <c r="Z88" i="1"/>
  <c r="P109" i="1"/>
  <c r="S68" i="1"/>
  <c r="Z145" i="1"/>
  <c r="P87" i="1"/>
  <c r="P49" i="1"/>
  <c r="AC71" i="1"/>
  <c r="AB33" i="1"/>
  <c r="Z99" i="1"/>
  <c r="V50" i="1"/>
  <c r="W154" i="1"/>
  <c r="W123" i="1"/>
  <c r="S143" i="1"/>
  <c r="W172" i="1"/>
  <c r="V205" i="1"/>
  <c r="S65" i="1"/>
  <c r="V87" i="1"/>
  <c r="S22" i="1"/>
  <c r="T158" i="1"/>
  <c r="S144" i="1"/>
  <c r="W36" i="1"/>
  <c r="AC192" i="1"/>
  <c r="V125" i="1"/>
  <c r="AB94" i="1"/>
  <c r="AB178" i="1"/>
  <c r="P206" i="1"/>
  <c r="P185" i="1"/>
  <c r="Z82" i="1"/>
  <c r="P28" i="1"/>
  <c r="P69" i="1"/>
  <c r="T113" i="1"/>
  <c r="W143" i="1"/>
  <c r="AB171" i="1"/>
  <c r="P97" i="1"/>
  <c r="Q48" i="1"/>
  <c r="W144" i="1"/>
  <c r="S115" i="1"/>
  <c r="V184" i="1"/>
  <c r="P22" i="1"/>
  <c r="P153" i="1"/>
  <c r="AB183" i="1"/>
  <c r="T54" i="1"/>
  <c r="S139" i="1"/>
  <c r="Z87" i="1"/>
  <c r="AB95" i="1"/>
  <c r="Z73" i="1"/>
  <c r="S86" i="1"/>
  <c r="AC138" i="1"/>
  <c r="V153" i="1"/>
  <c r="AB139" i="1"/>
  <c r="Y86" i="1"/>
  <c r="W111" i="1"/>
  <c r="Y28" i="1"/>
  <c r="Y69" i="1"/>
  <c r="W199" i="1"/>
  <c r="S100" i="1"/>
  <c r="Z71" i="1"/>
  <c r="W78" i="1"/>
  <c r="W66" i="1"/>
  <c r="V27" i="1"/>
  <c r="AB83" i="1"/>
  <c r="Z13" i="1"/>
  <c r="Y110" i="1"/>
  <c r="AC202" i="1"/>
  <c r="W186" i="1"/>
  <c r="AC66" i="1"/>
  <c r="V98" i="1"/>
  <c r="Z205" i="1"/>
  <c r="Y192" i="1"/>
  <c r="S25" i="1"/>
  <c r="AC58" i="1"/>
  <c r="Y73" i="1"/>
  <c r="P148" i="1"/>
  <c r="Q139" i="1"/>
  <c r="Z108" i="1"/>
  <c r="AB113" i="1"/>
  <c r="T33" i="1"/>
  <c r="V5" i="1"/>
  <c r="S83" i="1"/>
  <c r="Z94" i="1"/>
  <c r="V127" i="1"/>
  <c r="AC64" i="1"/>
  <c r="AC102" i="1"/>
  <c r="S128" i="1"/>
  <c r="AB133" i="1"/>
  <c r="Z207" i="1"/>
  <c r="T145" i="1"/>
  <c r="Z158" i="1"/>
  <c r="V6" i="1"/>
  <c r="P125" i="1"/>
  <c r="T69" i="1"/>
  <c r="S131" i="1"/>
  <c r="AC40" i="1"/>
  <c r="V186" i="1"/>
  <c r="P33" i="1"/>
  <c r="T99" i="1"/>
  <c r="Q43" i="1"/>
  <c r="T191" i="1"/>
  <c r="T98" i="1"/>
  <c r="V71" i="1"/>
  <c r="S27" i="1"/>
  <c r="AC176" i="1"/>
  <c r="Z11" i="1"/>
  <c r="Y205" i="1"/>
  <c r="V26" i="1"/>
  <c r="V109" i="1"/>
  <c r="AC93" i="1"/>
  <c r="Z192" i="1"/>
  <c r="AC132" i="1"/>
  <c r="AC111" i="1"/>
  <c r="P67" i="1"/>
  <c r="V53" i="1"/>
  <c r="P123" i="1"/>
  <c r="AC51" i="1"/>
  <c r="Y143" i="1"/>
  <c r="AB146" i="1"/>
  <c r="Y208" i="1"/>
  <c r="AB58" i="1"/>
  <c r="S108" i="1"/>
  <c r="W64" i="1"/>
  <c r="Y65" i="1"/>
  <c r="Y201" i="1"/>
  <c r="AC67" i="1"/>
  <c r="W69" i="1"/>
  <c r="W207" i="1"/>
  <c r="S187" i="1"/>
  <c r="Q70" i="1"/>
  <c r="P65" i="1"/>
  <c r="T55" i="1"/>
  <c r="S49" i="1"/>
  <c r="V139" i="1"/>
  <c r="W51" i="1"/>
  <c r="T94" i="1"/>
  <c r="Q64" i="1"/>
  <c r="Y57" i="1"/>
  <c r="AC72" i="1"/>
  <c r="S156" i="1"/>
  <c r="Q12" i="1"/>
  <c r="AB102" i="1"/>
  <c r="Y56" i="1"/>
  <c r="AC142" i="1"/>
  <c r="Q37" i="1"/>
  <c r="Z20" i="1"/>
  <c r="AB35" i="1"/>
  <c r="AC171" i="1"/>
  <c r="AB40" i="1"/>
  <c r="AC6" i="1"/>
  <c r="AC168" i="1"/>
  <c r="Z55" i="1"/>
  <c r="Q67" i="1"/>
  <c r="AB142" i="1"/>
  <c r="Z201" i="1"/>
  <c r="V69" i="1"/>
  <c r="Q53" i="1"/>
  <c r="AB138" i="1"/>
  <c r="Q184" i="1"/>
  <c r="AB170" i="1"/>
  <c r="Y35" i="1"/>
  <c r="W178" i="1"/>
  <c r="W81" i="1"/>
  <c r="T116" i="1"/>
  <c r="V176" i="1"/>
  <c r="P198" i="1"/>
  <c r="AB53" i="1"/>
  <c r="AC108" i="1"/>
  <c r="Z161" i="1"/>
  <c r="Z25" i="1"/>
  <c r="Q128" i="1"/>
  <c r="W157" i="1"/>
  <c r="AB161" i="1"/>
  <c r="V25" i="1"/>
  <c r="T24" i="1"/>
  <c r="Y158" i="1"/>
  <c r="Q133" i="1"/>
  <c r="Z38" i="1"/>
  <c r="Y64" i="1"/>
  <c r="P99" i="1"/>
  <c r="AB202" i="1"/>
  <c r="W142" i="1"/>
  <c r="AC13" i="1"/>
  <c r="AB67" i="1"/>
  <c r="S38" i="1"/>
  <c r="T169" i="1"/>
  <c r="Q204" i="1"/>
  <c r="AC50" i="1"/>
  <c r="Z86" i="1"/>
  <c r="V108" i="1"/>
  <c r="S184" i="1"/>
  <c r="AC112" i="1"/>
  <c r="V41" i="1"/>
  <c r="P35" i="1"/>
  <c r="Q201" i="1"/>
  <c r="V170" i="1"/>
  <c r="AC139" i="1"/>
  <c r="Y173" i="1"/>
  <c r="V146" i="1"/>
  <c r="S109" i="1"/>
  <c r="AC21" i="1"/>
  <c r="S66" i="1"/>
  <c r="Q85" i="1"/>
  <c r="Z131" i="1"/>
  <c r="AC146" i="1"/>
  <c r="V207" i="1"/>
  <c r="T41" i="1"/>
  <c r="V10" i="1"/>
  <c r="S154" i="1"/>
  <c r="Z95" i="1"/>
  <c r="P80" i="1"/>
  <c r="T124" i="1"/>
  <c r="W65" i="1"/>
  <c r="AB72" i="1"/>
  <c r="Q156" i="1"/>
  <c r="Q73" i="1"/>
  <c r="AC193" i="1"/>
  <c r="T147" i="1"/>
  <c r="P118" i="1"/>
  <c r="Q140" i="1"/>
  <c r="AC95" i="1"/>
  <c r="AC99" i="1"/>
  <c r="AB191" i="1"/>
  <c r="Y27" i="1"/>
  <c r="Z140" i="1"/>
  <c r="P23" i="1"/>
  <c r="V129" i="1"/>
  <c r="AC189" i="1"/>
  <c r="Q96" i="1"/>
  <c r="Q186" i="1"/>
  <c r="Q131" i="1"/>
  <c r="Y124" i="1"/>
  <c r="Z68" i="1"/>
  <c r="S42" i="1"/>
  <c r="S41" i="1"/>
  <c r="Y116" i="1"/>
  <c r="W67" i="1"/>
  <c r="AB99" i="1"/>
  <c r="Z171" i="1"/>
  <c r="V202" i="1"/>
  <c r="S138" i="1"/>
  <c r="V147" i="1"/>
  <c r="AC170" i="1"/>
  <c r="Z27" i="1"/>
  <c r="W146" i="1"/>
  <c r="S33" i="1"/>
  <c r="S174" i="1"/>
  <c r="AC123" i="1"/>
  <c r="S4" i="1"/>
  <c r="Z127" i="1"/>
  <c r="S113" i="1"/>
  <c r="T43" i="1"/>
  <c r="V81" i="1"/>
  <c r="AC203" i="1"/>
  <c r="S116" i="1"/>
  <c r="Y94" i="1"/>
  <c r="P156" i="1"/>
  <c r="AC172" i="1"/>
  <c r="V112" i="1"/>
  <c r="Q35" i="1"/>
  <c r="Q65" i="1"/>
  <c r="AB64" i="1"/>
  <c r="AC53" i="1"/>
  <c r="Q13" i="1"/>
  <c r="P42" i="1"/>
  <c r="Y8" i="1"/>
  <c r="Z143" i="1"/>
  <c r="T42" i="1"/>
  <c r="S81" i="1"/>
  <c r="Y123" i="1"/>
  <c r="AC80" i="1"/>
  <c r="P84" i="1"/>
  <c r="T203" i="1"/>
  <c r="P168" i="1"/>
  <c r="AC83" i="1"/>
  <c r="V140" i="1"/>
  <c r="P24" i="1"/>
  <c r="Q111" i="1"/>
  <c r="T208" i="1"/>
  <c r="X11" i="4" l="1"/>
  <c r="I12" i="8" s="1"/>
  <c r="Q19" i="4"/>
  <c r="B21" i="8" s="1"/>
  <c r="Q62" i="4"/>
  <c r="B67" i="8" s="1"/>
  <c r="X96" i="4"/>
  <c r="I103" i="8" s="1"/>
  <c r="X131" i="4"/>
  <c r="I141" i="8" s="1"/>
  <c r="Q137" i="2"/>
  <c r="B147" i="1" s="1"/>
  <c r="P147" i="1"/>
  <c r="I50" i="9" l="1"/>
  <c r="B51" i="9"/>
  <c r="B52" i="9"/>
  <c r="B53" i="9"/>
  <c r="B54" i="9"/>
  <c r="I55" i="9"/>
  <c r="I56" i="9"/>
  <c r="B49" i="9"/>
  <c r="I48" i="9"/>
  <c r="I51" i="9" l="1"/>
  <c r="B50" i="9"/>
  <c r="I54" i="9"/>
  <c r="B55" i="9"/>
  <c r="I53" i="9"/>
  <c r="I49" i="9"/>
  <c r="B48" i="9"/>
  <c r="I52" i="9"/>
  <c r="B56" i="9"/>
  <c r="B35" i="9" l="1"/>
  <c r="I35" i="9"/>
  <c r="I33" i="9"/>
  <c r="B33" i="9"/>
  <c r="B36" i="9"/>
  <c r="I36" i="9"/>
  <c r="B38" i="9" l="1"/>
  <c r="I38" i="9"/>
  <c r="I42" i="9"/>
  <c r="B42" i="9"/>
  <c r="I40" i="9"/>
  <c r="B40" i="9"/>
  <c r="I37" i="9"/>
  <c r="B37" i="9"/>
  <c r="B39" i="9"/>
  <c r="I39" i="9"/>
  <c r="B43" i="9"/>
  <c r="I43" i="9"/>
  <c r="I41" i="9"/>
  <c r="B41" i="9"/>
  <c r="B34" i="9"/>
  <c r="I34" i="9"/>
  <c r="Y123" i="8"/>
  <c r="V141" i="8"/>
  <c r="P97" i="8"/>
  <c r="Y84" i="8"/>
  <c r="AB109" i="8"/>
  <c r="W172" i="8"/>
  <c r="W86" i="8"/>
  <c r="T43" i="8"/>
  <c r="Q177" i="8"/>
  <c r="W198" i="8"/>
  <c r="AB129" i="8"/>
  <c r="Y160" i="8"/>
  <c r="V65" i="8"/>
  <c r="AC185" i="8"/>
  <c r="P159" i="8"/>
  <c r="AB84" i="8"/>
  <c r="Z54" i="8"/>
  <c r="T11" i="8"/>
  <c r="T87" i="8"/>
  <c r="P52" i="9"/>
  <c r="Y144" i="8"/>
  <c r="W222" i="8"/>
  <c r="V176" i="8"/>
  <c r="Q214" i="8"/>
  <c r="Y130" i="8"/>
  <c r="W36" i="8"/>
  <c r="V112" i="8"/>
  <c r="AB163" i="8"/>
  <c r="V114" i="8"/>
  <c r="P216" i="8"/>
  <c r="Q159" i="8"/>
  <c r="Z153" i="8"/>
  <c r="AC21" i="8"/>
  <c r="T22" i="8"/>
  <c r="AC34" i="8"/>
  <c r="AB221" i="8"/>
  <c r="V123" i="8"/>
  <c r="W216" i="8"/>
  <c r="AC52" i="8"/>
  <c r="AB177" i="8"/>
  <c r="AB125" i="8"/>
  <c r="Y117" i="8"/>
  <c r="Y79" i="8"/>
  <c r="V25" i="8"/>
  <c r="Z169" i="8"/>
  <c r="S177" i="8"/>
  <c r="S81" i="8"/>
  <c r="Q168" i="8"/>
  <c r="P96" i="8"/>
  <c r="Z190" i="8"/>
  <c r="W88" i="8"/>
  <c r="V9" i="8"/>
  <c r="AC94" i="8"/>
  <c r="T33" i="8"/>
  <c r="AC176" i="8"/>
  <c r="AC170" i="8"/>
  <c r="P36" i="9"/>
  <c r="V128" i="8"/>
  <c r="P81" i="8"/>
  <c r="Y163" i="8"/>
  <c r="Q185" i="8"/>
  <c r="W111" i="8"/>
  <c r="Q68" i="8"/>
  <c r="Q147" i="8"/>
  <c r="V51" i="8"/>
  <c r="P161" i="8"/>
  <c r="Q33" i="8"/>
  <c r="Y223" i="8"/>
  <c r="Z131" i="8"/>
  <c r="AB5" i="8"/>
  <c r="AB23" i="8"/>
  <c r="AB162" i="8"/>
  <c r="AB141" i="8"/>
  <c r="AB157" i="8"/>
  <c r="S34" i="8"/>
  <c r="T171" i="8"/>
  <c r="Q218" i="8"/>
  <c r="W193" i="8"/>
  <c r="T100" i="8"/>
  <c r="T169" i="8"/>
  <c r="Q42" i="8"/>
  <c r="AB204" i="8"/>
  <c r="V221" i="8"/>
  <c r="AB155" i="8"/>
  <c r="Q129" i="8"/>
  <c r="S13" i="8"/>
  <c r="AC53" i="8"/>
  <c r="AB112" i="8"/>
  <c r="W203" i="8"/>
  <c r="S79" i="8"/>
  <c r="Y139" i="8"/>
  <c r="AC198" i="8"/>
  <c r="V24" i="8"/>
  <c r="P155" i="8"/>
  <c r="V160" i="8"/>
  <c r="Q71" i="8"/>
  <c r="Q206" i="8"/>
  <c r="W200" i="8"/>
  <c r="W204" i="8"/>
  <c r="W70" i="8"/>
  <c r="W147" i="8"/>
  <c r="S171" i="8"/>
  <c r="P38" i="9"/>
  <c r="Y198" i="8"/>
  <c r="Q22" i="8"/>
  <c r="Z174" i="8"/>
  <c r="W156" i="8"/>
  <c r="P111" i="8"/>
  <c r="T26" i="8"/>
  <c r="S18" i="8"/>
  <c r="T222" i="8"/>
  <c r="S110" i="8"/>
  <c r="AC95" i="8"/>
  <c r="S86" i="8"/>
  <c r="W85" i="8"/>
  <c r="Q171" i="8"/>
  <c r="AC153" i="8"/>
  <c r="T217" i="8"/>
  <c r="AB33" i="8"/>
  <c r="W67" i="8"/>
  <c r="T133" i="8"/>
  <c r="Y52" i="8"/>
  <c r="AB173" i="8"/>
  <c r="AB63" i="8"/>
  <c r="AC33" i="8"/>
  <c r="AB218" i="8"/>
  <c r="AB52" i="8"/>
  <c r="AB58" i="8"/>
  <c r="V177" i="8"/>
  <c r="Q84" i="8"/>
  <c r="AB199" i="8"/>
  <c r="Z35" i="8"/>
  <c r="P3" i="8"/>
  <c r="P145" i="8"/>
  <c r="Q10" i="8"/>
  <c r="T118" i="8"/>
  <c r="Q125" i="8"/>
  <c r="S69" i="8"/>
  <c r="Q184" i="8"/>
  <c r="Z185" i="8"/>
  <c r="P4" i="8"/>
  <c r="Z155" i="8"/>
  <c r="Q56" i="8"/>
  <c r="Z49" i="8"/>
  <c r="P27" i="8"/>
  <c r="V36" i="8"/>
  <c r="P108" i="8"/>
  <c r="P88" i="8"/>
  <c r="Z163" i="8"/>
  <c r="Q5" i="8"/>
  <c r="W108" i="8"/>
  <c r="T65" i="8"/>
  <c r="Q198" i="8"/>
  <c r="Q69" i="8"/>
  <c r="AB185" i="8"/>
  <c r="W142" i="8"/>
  <c r="S185" i="8"/>
  <c r="S148" i="8"/>
  <c r="V126" i="8"/>
  <c r="Y184" i="8"/>
  <c r="W218" i="8"/>
  <c r="V118" i="8"/>
  <c r="Z8" i="8"/>
  <c r="Y207" i="8"/>
  <c r="P153" i="8"/>
  <c r="T28" i="8"/>
  <c r="AB80" i="8"/>
  <c r="W184" i="8"/>
  <c r="P183" i="8"/>
  <c r="P99" i="8"/>
  <c r="AC56" i="8"/>
  <c r="V115" i="8"/>
  <c r="P139" i="8"/>
  <c r="W48" i="8"/>
  <c r="Q51" i="9"/>
  <c r="Q110" i="8"/>
  <c r="Y208" i="8"/>
  <c r="S178" i="8"/>
  <c r="T64" i="8"/>
  <c r="Q13" i="8"/>
  <c r="AC162" i="8"/>
  <c r="P69" i="8"/>
  <c r="V88" i="8"/>
  <c r="Z80" i="8"/>
  <c r="Q143" i="8"/>
  <c r="Y131" i="8"/>
  <c r="S33" i="8"/>
  <c r="Y173" i="8"/>
  <c r="AB124" i="8"/>
  <c r="Y49" i="8"/>
  <c r="AB171" i="8"/>
  <c r="Q18" i="8"/>
  <c r="AB11" i="8"/>
  <c r="Z132" i="8"/>
  <c r="Q131" i="8"/>
  <c r="W188" i="8"/>
  <c r="Z51" i="8"/>
  <c r="W140" i="8"/>
  <c r="V63" i="8"/>
  <c r="T71" i="8"/>
  <c r="P57" i="8"/>
  <c r="AB66" i="8"/>
  <c r="AB97" i="8"/>
  <c r="Q34" i="8"/>
  <c r="AB133" i="8"/>
  <c r="Y108" i="8"/>
  <c r="P172" i="8"/>
  <c r="P138" i="8"/>
  <c r="W129" i="8"/>
  <c r="AB139" i="8"/>
  <c r="Z175" i="8"/>
  <c r="AB219" i="8"/>
  <c r="S153" i="8"/>
  <c r="Q65" i="8"/>
  <c r="AB8" i="8"/>
  <c r="Y132" i="8"/>
  <c r="Z141" i="8"/>
  <c r="S36" i="8"/>
  <c r="P72" i="8"/>
  <c r="Z20" i="8"/>
  <c r="S132" i="8"/>
  <c r="W116" i="8"/>
  <c r="S155" i="8"/>
  <c r="P53" i="8"/>
  <c r="Z72" i="8"/>
  <c r="AB51" i="8"/>
  <c r="Y111" i="8"/>
  <c r="Q20" i="8"/>
  <c r="Z222" i="8"/>
  <c r="Q64" i="8"/>
  <c r="S85" i="8"/>
  <c r="W207" i="8"/>
  <c r="P116" i="8"/>
  <c r="W175" i="8"/>
  <c r="P185" i="8"/>
  <c r="AC146" i="8"/>
  <c r="Q113" i="8"/>
  <c r="V21" i="8"/>
  <c r="P132" i="8"/>
  <c r="T83" i="8"/>
  <c r="AB192" i="8"/>
  <c r="Z171" i="8"/>
  <c r="Y128" i="8"/>
  <c r="AC50" i="8"/>
  <c r="S139" i="8"/>
  <c r="S116" i="8"/>
  <c r="W78" i="8"/>
  <c r="W25" i="8"/>
  <c r="S156" i="8"/>
  <c r="W174" i="8"/>
  <c r="S190" i="8"/>
  <c r="V73" i="8"/>
  <c r="AB126" i="8"/>
  <c r="V87" i="8"/>
  <c r="P101" i="8"/>
  <c r="S218" i="8"/>
  <c r="Q142" i="8"/>
  <c r="Z138" i="8"/>
  <c r="P163" i="8"/>
  <c r="P41" i="9"/>
  <c r="Q8" i="8"/>
  <c r="Y170" i="8"/>
  <c r="W103" i="8"/>
  <c r="T178" i="8"/>
  <c r="AB26" i="8"/>
  <c r="Z69" i="8"/>
  <c r="AB203" i="8"/>
  <c r="W102" i="8"/>
  <c r="V39" i="8"/>
  <c r="V146" i="8"/>
  <c r="W22" i="8"/>
  <c r="P41" i="8"/>
  <c r="Z208" i="8"/>
  <c r="Y18" i="8"/>
  <c r="W221" i="8"/>
  <c r="Q215" i="8"/>
  <c r="P98" i="8"/>
  <c r="Z129" i="8"/>
  <c r="AB22" i="8"/>
  <c r="P186" i="8"/>
  <c r="Y183" i="8"/>
  <c r="AC65" i="8"/>
  <c r="Q50" i="9"/>
  <c r="T23" i="8"/>
  <c r="AB102" i="8"/>
  <c r="AB205" i="8"/>
  <c r="V168" i="8"/>
  <c r="S124" i="8"/>
  <c r="AC200" i="8"/>
  <c r="W101" i="8"/>
  <c r="P73" i="8"/>
  <c r="T205" i="8"/>
  <c r="V131" i="8"/>
  <c r="Y81" i="8"/>
  <c r="AC10" i="8"/>
  <c r="S220" i="8"/>
  <c r="T97" i="8"/>
  <c r="Q126" i="8"/>
  <c r="W124" i="8"/>
  <c r="V153" i="8"/>
  <c r="Y129" i="8"/>
  <c r="T157" i="8"/>
  <c r="T141" i="8"/>
  <c r="T101" i="8"/>
  <c r="Y70" i="8"/>
  <c r="P48" i="9"/>
  <c r="T3" i="8"/>
  <c r="T216" i="8"/>
  <c r="W219" i="8"/>
  <c r="T159" i="8"/>
  <c r="V202" i="8"/>
  <c r="Y201" i="8"/>
  <c r="V173" i="8"/>
  <c r="Q176" i="8"/>
  <c r="AC87" i="8"/>
  <c r="Y157" i="8"/>
  <c r="P35" i="9"/>
  <c r="W5" i="8"/>
  <c r="V175" i="8"/>
  <c r="P199" i="8"/>
  <c r="T170" i="8"/>
  <c r="V13" i="8"/>
  <c r="Z103" i="8"/>
  <c r="AC215" i="8"/>
  <c r="Q19" i="8"/>
  <c r="W4" i="8"/>
  <c r="W55" i="8"/>
  <c r="V129" i="8"/>
  <c r="W183" i="8"/>
  <c r="T25" i="8"/>
  <c r="T109" i="8"/>
  <c r="T124" i="8"/>
  <c r="T129" i="8"/>
  <c r="S129" i="8"/>
  <c r="Y3" i="8"/>
  <c r="Q41" i="8"/>
  <c r="P51" i="9"/>
  <c r="S217" i="8"/>
  <c r="Z73" i="8"/>
  <c r="V28" i="8"/>
  <c r="V156" i="8"/>
  <c r="V189" i="8"/>
  <c r="Q78" i="8"/>
  <c r="T13" i="8"/>
  <c r="V85" i="8"/>
  <c r="W148" i="8"/>
  <c r="P58" i="8"/>
  <c r="AC81" i="8"/>
  <c r="Y191" i="8"/>
  <c r="P205" i="8"/>
  <c r="W94" i="8"/>
  <c r="Q57" i="8"/>
  <c r="AC80" i="8"/>
  <c r="P176" i="8"/>
  <c r="S24" i="8"/>
  <c r="T79" i="8"/>
  <c r="S73" i="8"/>
  <c r="AC99" i="8"/>
  <c r="Z4" i="8"/>
  <c r="T50" i="8"/>
  <c r="T12" i="8"/>
  <c r="AC139" i="8"/>
  <c r="AB200" i="8"/>
  <c r="P221" i="8"/>
  <c r="Q28" i="8"/>
  <c r="W84" i="8"/>
  <c r="T160" i="8"/>
  <c r="AB174" i="8"/>
  <c r="AC109" i="8"/>
  <c r="P36" i="8"/>
  <c r="V193" i="8"/>
  <c r="T111" i="8"/>
  <c r="AB67" i="8"/>
  <c r="T139" i="8"/>
  <c r="AC82" i="8"/>
  <c r="S99" i="8"/>
  <c r="Y19" i="8"/>
  <c r="AB20" i="8"/>
  <c r="T191" i="8"/>
  <c r="Z130" i="8"/>
  <c r="P223" i="8"/>
  <c r="Z38" i="8"/>
  <c r="W35" i="8"/>
  <c r="Z143" i="8"/>
  <c r="AC20" i="8"/>
  <c r="W159" i="8"/>
  <c r="T27" i="8"/>
  <c r="W68" i="8"/>
  <c r="T131" i="8"/>
  <c r="S3" i="8"/>
  <c r="AC64" i="8"/>
  <c r="T187" i="8"/>
  <c r="AC113" i="8"/>
  <c r="P148" i="8"/>
  <c r="V52" i="8"/>
  <c r="W80" i="8"/>
  <c r="T198" i="8"/>
  <c r="Q39" i="8"/>
  <c r="W109" i="8"/>
  <c r="AB37" i="8"/>
  <c r="Q146" i="8"/>
  <c r="S57" i="8"/>
  <c r="Y8" i="8"/>
  <c r="Z193" i="8"/>
  <c r="Z125" i="8"/>
  <c r="AC11" i="8"/>
  <c r="T147" i="8"/>
  <c r="AC154" i="8"/>
  <c r="Y140" i="8"/>
  <c r="Y11" i="8"/>
  <c r="Q204" i="8"/>
  <c r="V43" i="8"/>
  <c r="S133" i="8"/>
  <c r="W42" i="8"/>
  <c r="AB130" i="8"/>
  <c r="V163" i="8"/>
  <c r="S200" i="8"/>
  <c r="P12" i="8"/>
  <c r="P23" i="8"/>
  <c r="Z116" i="8"/>
  <c r="Y216" i="8"/>
  <c r="AB13" i="8"/>
  <c r="AC140" i="8"/>
  <c r="P25" i="8"/>
  <c r="P201" i="8"/>
  <c r="Q114" i="8"/>
  <c r="W220" i="8"/>
  <c r="P38" i="8"/>
  <c r="AB7" i="8"/>
  <c r="AC184" i="8"/>
  <c r="AB184" i="8"/>
  <c r="T130" i="8"/>
  <c r="W50" i="8"/>
  <c r="Q155" i="8"/>
  <c r="Y43" i="8"/>
  <c r="S63" i="8"/>
  <c r="Q111" i="8"/>
  <c r="W126" i="8"/>
  <c r="AB223" i="8"/>
  <c r="P50" i="8"/>
  <c r="Q37" i="9"/>
  <c r="Z94" i="8"/>
  <c r="Q144" i="8"/>
  <c r="V78" i="8"/>
  <c r="Q124" i="8"/>
  <c r="V187" i="8"/>
  <c r="S201" i="8"/>
  <c r="W64" i="8"/>
  <c r="Q35" i="9"/>
  <c r="Y86" i="8"/>
  <c r="Q9" i="8"/>
  <c r="T114" i="8"/>
  <c r="Q123" i="8"/>
  <c r="S35" i="8"/>
  <c r="T8" i="8"/>
  <c r="AB79" i="8"/>
  <c r="AB132" i="8"/>
  <c r="V54" i="8"/>
  <c r="Y63" i="8"/>
  <c r="W34" i="8"/>
  <c r="AB207" i="8"/>
  <c r="Q112" i="8"/>
  <c r="W112" i="8"/>
  <c r="S6" i="8"/>
  <c r="P64" i="8"/>
  <c r="Z110" i="8"/>
  <c r="Q163" i="8"/>
  <c r="AC199" i="8"/>
  <c r="Q175" i="8"/>
  <c r="V178" i="8"/>
  <c r="W43" i="8"/>
  <c r="Y78" i="8"/>
  <c r="W144" i="8"/>
  <c r="AB186" i="8"/>
  <c r="T156" i="8"/>
  <c r="Q58" i="8"/>
  <c r="Z23" i="8"/>
  <c r="AB71" i="8"/>
  <c r="AB110" i="8"/>
  <c r="Y186" i="8"/>
  <c r="W192" i="8"/>
  <c r="Q43" i="8"/>
  <c r="Y156" i="8"/>
  <c r="S66" i="8"/>
  <c r="Q35" i="8"/>
  <c r="W21" i="8"/>
  <c r="Y162" i="8"/>
  <c r="Y50" i="8"/>
  <c r="S93" i="8"/>
  <c r="P128" i="8"/>
  <c r="Z12" i="8"/>
  <c r="Q118" i="8"/>
  <c r="Q26" i="8"/>
  <c r="V207" i="8"/>
  <c r="AC191" i="8"/>
  <c r="S131" i="8"/>
  <c r="AB216" i="8"/>
  <c r="V8" i="8"/>
  <c r="V157" i="8"/>
  <c r="S154" i="8"/>
  <c r="P55" i="9"/>
  <c r="P24" i="8"/>
  <c r="AB56" i="8"/>
  <c r="T213" i="8"/>
  <c r="Z124" i="8"/>
  <c r="P146" i="8"/>
  <c r="V99" i="8"/>
  <c r="V96" i="8"/>
  <c r="Z177" i="8"/>
  <c r="T143" i="8"/>
  <c r="Q132" i="8"/>
  <c r="V50" i="8"/>
  <c r="S219" i="8"/>
  <c r="W118" i="8"/>
  <c r="W214" i="8"/>
  <c r="AC145" i="8"/>
  <c r="S157" i="8"/>
  <c r="AC220" i="8"/>
  <c r="W82" i="8"/>
  <c r="V48" i="8"/>
  <c r="T48" i="8"/>
  <c r="AC36" i="8"/>
  <c r="V81" i="8"/>
  <c r="Q85" i="8"/>
  <c r="AC175" i="8"/>
  <c r="Q186" i="8"/>
  <c r="AB222" i="8"/>
  <c r="S221" i="8"/>
  <c r="S5" i="8"/>
  <c r="P42" i="8"/>
  <c r="AC67" i="8"/>
  <c r="AC49" i="8"/>
  <c r="V70" i="8"/>
  <c r="P18" i="8"/>
  <c r="V219" i="8"/>
  <c r="Y215" i="8"/>
  <c r="AC171" i="8"/>
  <c r="V208" i="8"/>
  <c r="P133" i="8"/>
  <c r="Y88" i="8"/>
  <c r="P26" i="8"/>
  <c r="AB69" i="8"/>
  <c r="Z221" i="8"/>
  <c r="Y20" i="8"/>
  <c r="T158" i="8"/>
  <c r="Y26" i="8"/>
  <c r="P124" i="8"/>
  <c r="AC123" i="8"/>
  <c r="T206" i="8"/>
  <c r="AC221" i="8"/>
  <c r="Y69" i="8"/>
  <c r="V133" i="8"/>
  <c r="S214" i="8"/>
  <c r="W153" i="8"/>
  <c r="Y154" i="8"/>
  <c r="AC96" i="8"/>
  <c r="Z200" i="8"/>
  <c r="AB98" i="8"/>
  <c r="S51" i="8"/>
  <c r="W69" i="8"/>
  <c r="T207" i="8"/>
  <c r="S25" i="8"/>
  <c r="P189" i="8"/>
  <c r="W7" i="8"/>
  <c r="AB208" i="8"/>
  <c r="AB85" i="8"/>
  <c r="V111" i="8"/>
  <c r="T223" i="8"/>
  <c r="Q99" i="8"/>
  <c r="AC223" i="8"/>
  <c r="T38" i="8"/>
  <c r="P170" i="8"/>
  <c r="P54" i="8"/>
  <c r="AC147" i="8"/>
  <c r="Y7" i="8"/>
  <c r="P130" i="8"/>
  <c r="T40" i="8"/>
  <c r="AB143" i="8"/>
  <c r="Y39" i="8"/>
  <c r="V68" i="8"/>
  <c r="S175" i="8"/>
  <c r="Q72" i="8"/>
  <c r="T176" i="8"/>
  <c r="W24" i="8"/>
  <c r="Y9" i="8"/>
  <c r="Y65" i="8"/>
  <c r="Q138" i="8"/>
  <c r="Z113" i="8"/>
  <c r="Y193" i="8"/>
  <c r="W57" i="8"/>
  <c r="AB70" i="8"/>
  <c r="Q49" i="8"/>
  <c r="P218" i="8"/>
  <c r="Y192" i="8"/>
  <c r="Q3" i="8"/>
  <c r="AC78" i="8"/>
  <c r="Z172" i="8"/>
  <c r="AC72" i="8"/>
  <c r="AC163" i="8"/>
  <c r="Q130" i="8"/>
  <c r="Y175" i="8"/>
  <c r="Y42" i="8"/>
  <c r="AB176" i="8"/>
  <c r="V80" i="8"/>
  <c r="P206" i="8"/>
  <c r="AB123" i="8"/>
  <c r="S52" i="8"/>
  <c r="Z33" i="8"/>
  <c r="P175" i="8"/>
  <c r="Z199" i="8"/>
  <c r="Y87" i="8"/>
  <c r="S40" i="8"/>
  <c r="Q100" i="8"/>
  <c r="S193" i="8"/>
  <c r="T161" i="8"/>
  <c r="AB81" i="8"/>
  <c r="Q66" i="8"/>
  <c r="P103" i="8"/>
  <c r="V102" i="8"/>
  <c r="AC3" i="8"/>
  <c r="V10" i="8"/>
  <c r="Q56" i="9"/>
  <c r="AB189" i="8"/>
  <c r="W202" i="8"/>
  <c r="Q4" i="8"/>
  <c r="Z176" i="8"/>
  <c r="Y102" i="8"/>
  <c r="Y206" i="8"/>
  <c r="T57" i="8"/>
  <c r="P48" i="8"/>
  <c r="AB21" i="8"/>
  <c r="S53" i="8"/>
  <c r="Q36" i="8"/>
  <c r="W162" i="8"/>
  <c r="P173" i="8"/>
  <c r="Q67" i="8"/>
  <c r="T132" i="8"/>
  <c r="Y54" i="8"/>
  <c r="T58" i="8"/>
  <c r="Q43" i="9"/>
  <c r="P192" i="8"/>
  <c r="Q54" i="9"/>
  <c r="Q188" i="8"/>
  <c r="S70" i="8"/>
  <c r="Z71" i="8"/>
  <c r="P127" i="8"/>
  <c r="Y27" i="8"/>
  <c r="Q86" i="8"/>
  <c r="W56" i="8"/>
  <c r="Z81" i="8"/>
  <c r="Y101" i="8"/>
  <c r="AC188" i="8"/>
  <c r="Z99" i="8"/>
  <c r="W9" i="8"/>
  <c r="AB24" i="8"/>
  <c r="S143" i="8"/>
  <c r="AC190" i="8"/>
  <c r="S184" i="8"/>
  <c r="AC41" i="8"/>
  <c r="AB27" i="8"/>
  <c r="P40" i="8"/>
  <c r="Q88" i="8"/>
  <c r="T34" i="8"/>
  <c r="P198" i="8"/>
  <c r="T155" i="8"/>
  <c r="W213" i="8"/>
  <c r="AB28" i="8"/>
  <c r="Y220" i="8"/>
  <c r="V145" i="8"/>
  <c r="Q145" i="8"/>
  <c r="P220" i="8"/>
  <c r="P63" i="8"/>
  <c r="W157" i="8"/>
  <c r="W54" i="8"/>
  <c r="Y96" i="8"/>
  <c r="W187" i="8"/>
  <c r="T123" i="8"/>
  <c r="Y25" i="8"/>
  <c r="P204" i="8"/>
  <c r="P171" i="8"/>
  <c r="Y22" i="8"/>
  <c r="AB93" i="8"/>
  <c r="Q223" i="8"/>
  <c r="AB108" i="8"/>
  <c r="P178" i="8"/>
  <c r="Q173" i="8"/>
  <c r="Q96" i="8"/>
  <c r="AB159" i="8"/>
  <c r="Q108" i="8"/>
  <c r="Y28" i="8"/>
  <c r="Z118" i="8"/>
  <c r="W79" i="8"/>
  <c r="Y57" i="8"/>
  <c r="Z50" i="8"/>
  <c r="S100" i="8"/>
  <c r="V161" i="8"/>
  <c r="AC192" i="8"/>
  <c r="P56" i="9"/>
  <c r="P66" i="8"/>
  <c r="AB18" i="8"/>
  <c r="W13" i="8"/>
  <c r="T108" i="8"/>
  <c r="Q216" i="8"/>
  <c r="Q33" i="9"/>
  <c r="Z68" i="8"/>
  <c r="Z206" i="8"/>
  <c r="Q54" i="8"/>
  <c r="S87" i="8"/>
  <c r="Q6" i="8"/>
  <c r="T24" i="8"/>
  <c r="Z86" i="8"/>
  <c r="T188" i="8"/>
  <c r="Y100" i="8"/>
  <c r="Q158" i="8"/>
  <c r="T86" i="8"/>
  <c r="W199" i="8"/>
  <c r="W223" i="8"/>
  <c r="V82" i="8"/>
  <c r="AB160" i="8"/>
  <c r="P154" i="8"/>
  <c r="Z183" i="8"/>
  <c r="P214" i="8"/>
  <c r="T41" i="8"/>
  <c r="Z83" i="8"/>
  <c r="AC68" i="8"/>
  <c r="W155" i="8"/>
  <c r="P56" i="8"/>
  <c r="P115" i="8"/>
  <c r="T221" i="8"/>
  <c r="Q79" i="8"/>
  <c r="T84" i="8"/>
  <c r="P7" i="8"/>
  <c r="Q27" i="8"/>
  <c r="AC23" i="8"/>
  <c r="Z24" i="8"/>
  <c r="P215" i="8"/>
  <c r="V144" i="8"/>
  <c r="Y72" i="8"/>
  <c r="AC219" i="8"/>
  <c r="AC4" i="8"/>
  <c r="Z217" i="8"/>
  <c r="Q73" i="8"/>
  <c r="Y190" i="8"/>
  <c r="S112" i="8"/>
  <c r="Y141" i="8"/>
  <c r="V4" i="8"/>
  <c r="S12" i="8"/>
  <c r="Z85" i="8"/>
  <c r="P184" i="8"/>
  <c r="Q52" i="9"/>
  <c r="AC88" i="8"/>
  <c r="Y118" i="8"/>
  <c r="AB38" i="8"/>
  <c r="Y80" i="8"/>
  <c r="Y94" i="8"/>
  <c r="S26" i="8"/>
  <c r="Q11" i="8"/>
  <c r="Z56" i="8"/>
  <c r="V26" i="8"/>
  <c r="W143" i="8"/>
  <c r="AB113" i="8"/>
  <c r="T55" i="8"/>
  <c r="Q172" i="8"/>
  <c r="Z22" i="8"/>
  <c r="P85" i="8"/>
  <c r="Q37" i="8"/>
  <c r="Y168" i="8"/>
  <c r="P187" i="8"/>
  <c r="AC143" i="8"/>
  <c r="AC187" i="8"/>
  <c r="S206" i="8"/>
  <c r="Q38" i="9"/>
  <c r="V86" i="8"/>
  <c r="W73" i="8"/>
  <c r="T42" i="8"/>
  <c r="AC5" i="8"/>
  <c r="Y214" i="8"/>
  <c r="S10" i="8"/>
  <c r="W154" i="8"/>
  <c r="AC186" i="8"/>
  <c r="AC202" i="8"/>
  <c r="AB193" i="8"/>
  <c r="T72" i="8"/>
  <c r="Y178" i="8"/>
  <c r="S37" i="8"/>
  <c r="T163" i="8"/>
  <c r="S19" i="8"/>
  <c r="AC156" i="8"/>
  <c r="S109" i="8"/>
  <c r="AB48" i="8"/>
  <c r="W176" i="8"/>
  <c r="T37" i="8"/>
  <c r="Y37" i="8"/>
  <c r="T69" i="8"/>
  <c r="P83" i="8"/>
  <c r="Z147" i="8"/>
  <c r="Z36" i="8"/>
  <c r="W186" i="8"/>
  <c r="T51" i="8"/>
  <c r="Y99" i="8"/>
  <c r="Q148" i="8"/>
  <c r="T103" i="8"/>
  <c r="S114" i="8"/>
  <c r="T219" i="8"/>
  <c r="S117" i="8"/>
  <c r="V5" i="8"/>
  <c r="P147" i="8"/>
  <c r="S49" i="8"/>
  <c r="V3" i="8"/>
  <c r="Z158" i="8"/>
  <c r="P141" i="8"/>
  <c r="AB202" i="8"/>
  <c r="P34" i="9"/>
  <c r="P123" i="8"/>
  <c r="Y51" i="8"/>
  <c r="AB116" i="8"/>
  <c r="W96" i="8"/>
  <c r="Y35" i="8"/>
  <c r="P49" i="9"/>
  <c r="W191" i="8"/>
  <c r="Y124" i="8"/>
  <c r="W206" i="8"/>
  <c r="Q178" i="8"/>
  <c r="S161" i="8"/>
  <c r="Q98" i="8"/>
  <c r="T68" i="8"/>
  <c r="AB115" i="8"/>
  <c r="Y38" i="8"/>
  <c r="P174" i="8"/>
  <c r="P52" i="8"/>
  <c r="Y188" i="8"/>
  <c r="W58" i="8"/>
  <c r="V71" i="8"/>
  <c r="P168" i="8"/>
  <c r="Z205" i="8"/>
  <c r="Y185" i="8"/>
  <c r="Z216" i="8"/>
  <c r="AC40" i="8"/>
  <c r="Z161" i="8"/>
  <c r="V40" i="8"/>
  <c r="Q205" i="8"/>
  <c r="AC102" i="8"/>
  <c r="V200" i="8"/>
  <c r="Y145" i="8"/>
  <c r="AC18" i="8"/>
  <c r="Z198" i="8"/>
  <c r="Q169" i="8"/>
  <c r="Z21" i="8"/>
  <c r="S191" i="8"/>
  <c r="Y127" i="8"/>
  <c r="AC25" i="8"/>
  <c r="S138" i="8"/>
  <c r="Y48" i="8"/>
  <c r="Z43" i="8"/>
  <c r="W65" i="8"/>
  <c r="Y82" i="8"/>
  <c r="W185" i="8"/>
  <c r="S67" i="8"/>
  <c r="Z3" i="8"/>
  <c r="T80" i="8"/>
  <c r="Q39" i="9"/>
  <c r="P219" i="8"/>
  <c r="V185" i="8"/>
  <c r="Z13" i="8"/>
  <c r="W100" i="8"/>
  <c r="P110" i="8"/>
  <c r="P21" i="8"/>
  <c r="T115" i="8"/>
  <c r="P49" i="8"/>
  <c r="P95" i="8"/>
  <c r="S189" i="8"/>
  <c r="P113" i="8"/>
  <c r="P143" i="8"/>
  <c r="P51" i="8"/>
  <c r="P39" i="8"/>
  <c r="V205" i="8"/>
  <c r="P177" i="8"/>
  <c r="Q139" i="8"/>
  <c r="Q52" i="8"/>
  <c r="Y142" i="8"/>
  <c r="T126" i="8"/>
  <c r="S11" i="8"/>
  <c r="AC38" i="8"/>
  <c r="Q116" i="8"/>
  <c r="T153" i="8"/>
  <c r="AB55" i="8"/>
  <c r="Z7" i="8"/>
  <c r="Y21" i="8"/>
  <c r="P13" i="8"/>
  <c r="V69" i="8"/>
  <c r="AC168" i="8"/>
  <c r="Z57" i="8"/>
  <c r="P22" i="8"/>
  <c r="Z127" i="8"/>
  <c r="S174" i="8"/>
  <c r="W131" i="8"/>
  <c r="P71" i="8"/>
  <c r="S142" i="8"/>
  <c r="P43" i="9"/>
  <c r="AC58" i="8"/>
  <c r="AC174" i="8"/>
  <c r="V12" i="8"/>
  <c r="Q83" i="8"/>
  <c r="V214" i="8"/>
  <c r="AB36" i="8"/>
  <c r="AB206" i="8"/>
  <c r="T184" i="8"/>
  <c r="V220" i="8"/>
  <c r="V186" i="8"/>
  <c r="AC85" i="8"/>
  <c r="Y221" i="8"/>
  <c r="Y126" i="8"/>
  <c r="Z188" i="8"/>
  <c r="P19" i="8"/>
  <c r="P109" i="8"/>
  <c r="Z187" i="8"/>
  <c r="S172" i="8"/>
  <c r="V158" i="8"/>
  <c r="W177" i="8"/>
  <c r="V183" i="8"/>
  <c r="S111" i="8"/>
  <c r="Z215" i="8"/>
  <c r="T144" i="8"/>
  <c r="AB94" i="8"/>
  <c r="Y189" i="8"/>
  <c r="S204" i="8"/>
  <c r="P86" i="8"/>
  <c r="S198" i="8"/>
  <c r="AC79" i="8"/>
  <c r="P125" i="8"/>
  <c r="AB42" i="8"/>
  <c r="S21" i="8"/>
  <c r="Y5" i="8"/>
  <c r="S95" i="8"/>
  <c r="T203" i="8"/>
  <c r="W66" i="8"/>
  <c r="AB111" i="8"/>
  <c r="Q97" i="8"/>
  <c r="Y34" i="8"/>
  <c r="AC39" i="8"/>
  <c r="Q48" i="8"/>
  <c r="Z114" i="8"/>
  <c r="AB86" i="8"/>
  <c r="Q25" i="8"/>
  <c r="W83" i="8"/>
  <c r="Y172" i="8"/>
  <c r="Q38" i="8"/>
  <c r="Z204" i="8"/>
  <c r="AB127" i="8"/>
  <c r="S43" i="8"/>
  <c r="T146" i="8"/>
  <c r="Q202" i="8"/>
  <c r="W38" i="8"/>
  <c r="S68" i="8"/>
  <c r="Q219" i="8"/>
  <c r="T110" i="8"/>
  <c r="Y112" i="8"/>
  <c r="Y174" i="8"/>
  <c r="AB35" i="8"/>
  <c r="Z202" i="8"/>
  <c r="T154" i="8"/>
  <c r="Q40" i="9"/>
  <c r="P93" i="8"/>
  <c r="AC214" i="8"/>
  <c r="Q24" i="8"/>
  <c r="Q55" i="8"/>
  <c r="AB158" i="8"/>
  <c r="AB50" i="8"/>
  <c r="S118" i="8"/>
  <c r="T56" i="8"/>
  <c r="Q162" i="8"/>
  <c r="AC43" i="8"/>
  <c r="AC115" i="8"/>
  <c r="P84" i="8"/>
  <c r="T202" i="8"/>
  <c r="AC131" i="8"/>
  <c r="Y95" i="8"/>
  <c r="Q203" i="8"/>
  <c r="P200" i="8"/>
  <c r="T162" i="8"/>
  <c r="W63" i="8"/>
  <c r="AB144" i="8"/>
  <c r="S56" i="8"/>
  <c r="Q36" i="9"/>
  <c r="AC28" i="8"/>
  <c r="W168" i="8"/>
  <c r="Z82" i="8"/>
  <c r="AB190" i="8"/>
  <c r="W27" i="8"/>
  <c r="V41" i="8"/>
  <c r="V79" i="8"/>
  <c r="AC112" i="8"/>
  <c r="Q80" i="8"/>
  <c r="T70" i="8"/>
  <c r="AB169" i="8"/>
  <c r="P11" i="8"/>
  <c r="AB73" i="8"/>
  <c r="AB128" i="8"/>
  <c r="AB72" i="8"/>
  <c r="V37" i="8"/>
  <c r="P114" i="8"/>
  <c r="P158" i="8"/>
  <c r="W113" i="8"/>
  <c r="Q160" i="8"/>
  <c r="W217" i="8"/>
  <c r="Q217" i="8"/>
  <c r="S158" i="8"/>
  <c r="Q109" i="8"/>
  <c r="P94" i="8"/>
  <c r="AC27" i="8"/>
  <c r="S98" i="8"/>
  <c r="V124" i="8"/>
  <c r="P55" i="8"/>
  <c r="S50" i="8"/>
  <c r="P131" i="8"/>
  <c r="V201" i="8"/>
  <c r="AB220" i="8"/>
  <c r="V142" i="8"/>
  <c r="W98" i="8"/>
  <c r="AC205" i="8"/>
  <c r="S20" i="8"/>
  <c r="S9" i="8"/>
  <c r="S207" i="8"/>
  <c r="P144" i="8"/>
  <c r="Y55" i="8"/>
  <c r="AC97" i="8"/>
  <c r="S65" i="8"/>
  <c r="T52" i="8"/>
  <c r="V169" i="8"/>
  <c r="Y114" i="8"/>
  <c r="T7" i="8"/>
  <c r="Z52" i="8"/>
  <c r="W132" i="8"/>
  <c r="V130" i="8"/>
  <c r="Z95" i="8"/>
  <c r="Q161" i="8"/>
  <c r="T73" i="8"/>
  <c r="W72" i="8"/>
  <c r="S38" i="8"/>
  <c r="V215" i="8"/>
  <c r="P100" i="8"/>
  <c r="Z19" i="8"/>
  <c r="V170" i="8"/>
  <c r="P43" i="8"/>
  <c r="S97" i="8"/>
  <c r="P42" i="9"/>
  <c r="Q70" i="8"/>
  <c r="W26" i="8"/>
  <c r="P40" i="9"/>
  <c r="W33" i="8"/>
  <c r="T220" i="8"/>
  <c r="Q193" i="8"/>
  <c r="W71" i="8"/>
  <c r="V108" i="8"/>
  <c r="T145" i="8"/>
  <c r="S84" i="8"/>
  <c r="Q192" i="8"/>
  <c r="Y219" i="8"/>
  <c r="S169" i="8"/>
  <c r="V7" i="8"/>
  <c r="V64" i="8"/>
  <c r="Y68" i="8"/>
  <c r="Z123" i="8"/>
  <c r="V18" i="8"/>
  <c r="AC130" i="8"/>
  <c r="W171" i="8"/>
  <c r="Q221" i="8"/>
  <c r="Z111" i="8"/>
  <c r="P35" i="8"/>
  <c r="V172" i="8"/>
  <c r="W178" i="8"/>
  <c r="Q153" i="8"/>
  <c r="S130" i="8"/>
  <c r="Q199" i="8"/>
  <c r="Q117" i="8"/>
  <c r="AC57" i="8"/>
  <c r="P207" i="8"/>
  <c r="W87" i="8"/>
  <c r="V103" i="8"/>
  <c r="AC177" i="8"/>
  <c r="Y203" i="8"/>
  <c r="Y115" i="8"/>
  <c r="V132" i="8"/>
  <c r="Q222" i="8"/>
  <c r="S125" i="8"/>
  <c r="AC48" i="8"/>
  <c r="P8" i="8"/>
  <c r="P5" i="8"/>
  <c r="Z201" i="8"/>
  <c r="Q170" i="8"/>
  <c r="W110" i="8"/>
  <c r="AC70" i="8"/>
  <c r="W117" i="8"/>
  <c r="AC93" i="8"/>
  <c r="Z186" i="8"/>
  <c r="P65" i="8"/>
  <c r="AB88" i="8"/>
  <c r="Q174" i="8"/>
  <c r="AB188" i="8"/>
  <c r="Q187" i="8"/>
  <c r="AB19" i="8"/>
  <c r="AB87" i="8"/>
  <c r="P37" i="8"/>
  <c r="Q23" i="8"/>
  <c r="P80" i="8"/>
  <c r="V127" i="8"/>
  <c r="T93" i="8"/>
  <c r="P87" i="8"/>
  <c r="P142" i="8"/>
  <c r="AC86" i="8"/>
  <c r="V110" i="8"/>
  <c r="T21" i="8"/>
  <c r="Z6" i="8"/>
  <c r="AC173" i="8"/>
  <c r="T173" i="8"/>
  <c r="W125" i="8"/>
  <c r="Z191" i="8"/>
  <c r="V53" i="8"/>
  <c r="S140" i="8"/>
  <c r="T39" i="8"/>
  <c r="P162" i="8"/>
  <c r="Q41" i="9"/>
  <c r="Y116" i="8"/>
  <c r="P78" i="8"/>
  <c r="W41" i="8"/>
  <c r="Y158" i="8"/>
  <c r="P129" i="8"/>
  <c r="T4" i="8"/>
  <c r="Z156" i="8"/>
  <c r="Z93" i="8"/>
  <c r="AC83" i="8"/>
  <c r="Q50" i="8"/>
  <c r="Q102" i="8"/>
  <c r="Z42" i="8"/>
  <c r="P213" i="8"/>
  <c r="AC206" i="8"/>
  <c r="AC118" i="8"/>
  <c r="S141" i="8"/>
  <c r="W6" i="8"/>
  <c r="Q213" i="8"/>
  <c r="Q95" i="8"/>
  <c r="W93" i="8"/>
  <c r="W12" i="8"/>
  <c r="T215" i="8"/>
  <c r="V223" i="8"/>
  <c r="Q42" i="9"/>
  <c r="V33" i="8"/>
  <c r="AC129" i="8"/>
  <c r="P112" i="8"/>
  <c r="P39" i="9"/>
  <c r="AB114" i="8"/>
  <c r="T174" i="8"/>
  <c r="Y200" i="8"/>
  <c r="AC51" i="8"/>
  <c r="AC26" i="8"/>
  <c r="Q200" i="8"/>
  <c r="T18" i="8"/>
  <c r="Z40" i="8"/>
  <c r="Z96" i="8"/>
  <c r="AB117" i="8"/>
  <c r="AC116" i="8"/>
  <c r="Y109" i="8"/>
  <c r="T192" i="8"/>
  <c r="AC35" i="8"/>
  <c r="Q12" i="8"/>
  <c r="AB40" i="8"/>
  <c r="AB57" i="8"/>
  <c r="Y64" i="8"/>
  <c r="AB53" i="8"/>
  <c r="S187" i="8"/>
  <c r="Z100" i="8"/>
  <c r="AC12" i="8"/>
  <c r="Q34" i="9"/>
  <c r="S108" i="8"/>
  <c r="AC169" i="8"/>
  <c r="AB145" i="8"/>
  <c r="Z88" i="8"/>
  <c r="Y110" i="8"/>
  <c r="S186" i="8"/>
  <c r="AC144" i="8"/>
  <c r="Z170" i="8"/>
  <c r="Z220" i="8"/>
  <c r="V20" i="8"/>
  <c r="Z102" i="8"/>
  <c r="T49" i="8"/>
  <c r="AC213" i="8"/>
  <c r="V155" i="8"/>
  <c r="P217" i="8"/>
  <c r="P9" i="8"/>
  <c r="V190" i="8"/>
  <c r="P188" i="8"/>
  <c r="AB214" i="8"/>
  <c r="AB138" i="8"/>
  <c r="Z78" i="8"/>
  <c r="S176" i="8"/>
  <c r="S8" i="8"/>
  <c r="P102" i="8"/>
  <c r="P68" i="8"/>
  <c r="Z159" i="8"/>
  <c r="AB78" i="8"/>
  <c r="W23" i="8"/>
  <c r="V66" i="8"/>
  <c r="Q183" i="8"/>
  <c r="AB201" i="8"/>
  <c r="T5" i="8"/>
  <c r="Q94" i="8"/>
  <c r="P190" i="8"/>
  <c r="AC161" i="8"/>
  <c r="Z168" i="8"/>
  <c r="AB154" i="8"/>
  <c r="P222" i="8"/>
  <c r="Q49" i="9"/>
  <c r="P33" i="8"/>
  <c r="Z48" i="8"/>
  <c r="AB101" i="8"/>
  <c r="Z218" i="8"/>
  <c r="P50" i="9"/>
  <c r="V188" i="8"/>
  <c r="T200" i="8"/>
  <c r="V174" i="8"/>
  <c r="Q207" i="8"/>
  <c r="Q40" i="8"/>
  <c r="Q154" i="8"/>
  <c r="AB68" i="8"/>
  <c r="V58" i="8"/>
  <c r="Q127" i="8"/>
  <c r="Y169" i="8"/>
  <c r="Q93" i="8"/>
  <c r="Z98" i="8"/>
  <c r="P202" i="8"/>
  <c r="Z157" i="8"/>
  <c r="S168" i="8"/>
  <c r="AC127" i="8"/>
  <c r="AB140" i="8"/>
  <c r="V192" i="8"/>
  <c r="Z53" i="8"/>
  <c r="P160" i="8"/>
  <c r="Q87" i="8"/>
  <c r="AC100" i="8"/>
  <c r="P53" i="9"/>
  <c r="P10" i="8"/>
  <c r="T67" i="8"/>
  <c r="Z108" i="8"/>
  <c r="P117" i="8"/>
  <c r="V171" i="8"/>
  <c r="Q191" i="8"/>
  <c r="Y199" i="8"/>
  <c r="T127" i="8"/>
  <c r="AC189" i="8"/>
  <c r="P157" i="8"/>
  <c r="P208" i="8"/>
  <c r="Q141" i="8"/>
  <c r="T218" i="8"/>
  <c r="V138" i="8"/>
  <c r="AB156" i="8"/>
  <c r="AB175" i="8"/>
  <c r="P70" i="8"/>
  <c r="AC111" i="8"/>
  <c r="S128" i="8"/>
  <c r="AC201" i="8"/>
  <c r="Y217" i="8"/>
  <c r="Y213" i="8"/>
  <c r="Q220" i="8"/>
  <c r="Y58" i="8"/>
  <c r="Y56" i="8"/>
  <c r="S113" i="8"/>
  <c r="AB96" i="8"/>
  <c r="V56" i="8"/>
  <c r="T204" i="8"/>
  <c r="P67" i="8"/>
  <c r="V116" i="8"/>
  <c r="Q103" i="8"/>
  <c r="T96" i="8"/>
  <c r="T94" i="8"/>
  <c r="Y40" i="8"/>
  <c r="Q63" i="8"/>
  <c r="Q156" i="8"/>
  <c r="AB54" i="8"/>
  <c r="W130" i="8"/>
  <c r="Z67" i="8"/>
  <c r="S82" i="8"/>
  <c r="Z39" i="8"/>
  <c r="V109" i="8"/>
  <c r="W158" i="8"/>
  <c r="W163" i="8"/>
  <c r="P193" i="8"/>
  <c r="S103" i="8"/>
  <c r="AC148" i="8"/>
  <c r="T193" i="8"/>
  <c r="P54" i="9"/>
  <c r="AB10" i="8"/>
  <c r="AB83" i="8"/>
  <c r="S205" i="8"/>
  <c r="Y98" i="8"/>
  <c r="AB6" i="8"/>
  <c r="Z87" i="8"/>
  <c r="S4" i="8"/>
  <c r="S23" i="8"/>
  <c r="V216" i="8"/>
  <c r="Z66" i="8"/>
  <c r="AC103" i="8"/>
  <c r="Q128" i="8"/>
  <c r="Q51" i="8"/>
  <c r="AC128" i="8"/>
  <c r="T177" i="8"/>
  <c r="S78" i="8"/>
  <c r="AC183" i="8"/>
  <c r="Q48" i="9"/>
  <c r="Q55" i="9"/>
  <c r="P140" i="8"/>
  <c r="P118" i="8"/>
  <c r="AC124" i="8"/>
  <c r="V98" i="8"/>
  <c r="Q157" i="8"/>
  <c r="T54" i="8"/>
  <c r="T6" i="8"/>
  <c r="Q201" i="8"/>
  <c r="AB147" i="8"/>
  <c r="AC158" i="8"/>
  <c r="Y12" i="8"/>
  <c r="W99" i="8"/>
  <c r="Y97" i="8"/>
  <c r="P82" i="8"/>
  <c r="W139" i="8"/>
  <c r="V49" i="8"/>
  <c r="AC9" i="8"/>
  <c r="P156" i="8"/>
  <c r="AC117" i="8"/>
  <c r="W81" i="8"/>
  <c r="AB95" i="8"/>
  <c r="Z145" i="8"/>
  <c r="P191" i="8"/>
  <c r="P79" i="8"/>
  <c r="P6" i="8"/>
  <c r="AB39" i="8"/>
  <c r="AC217" i="8"/>
  <c r="AB198" i="8"/>
  <c r="V27" i="8"/>
  <c r="T175" i="8"/>
  <c r="W97" i="8"/>
  <c r="Q189" i="8"/>
  <c r="Q21" i="8"/>
  <c r="AC54" i="8"/>
  <c r="W201" i="8"/>
  <c r="Z154" i="8"/>
  <c r="AC13" i="8"/>
  <c r="Z70" i="8"/>
  <c r="P203" i="8"/>
  <c r="T53" i="8"/>
  <c r="Q101" i="8"/>
  <c r="W51" i="8"/>
  <c r="S199" i="8"/>
  <c r="W173" i="8"/>
  <c r="T98" i="8"/>
  <c r="Z18" i="8"/>
  <c r="V213" i="8"/>
  <c r="AB148" i="8"/>
  <c r="P37" i="9"/>
  <c r="V95" i="8"/>
  <c r="S88" i="8"/>
  <c r="S27" i="8"/>
  <c r="V100" i="8"/>
  <c r="Q53" i="9"/>
  <c r="T116" i="8"/>
  <c r="P28" i="8"/>
  <c r="Q133" i="8"/>
  <c r="V11" i="8"/>
  <c r="AC98" i="8"/>
  <c r="Q82" i="8"/>
  <c r="Z146" i="8"/>
  <c r="AC142" i="8"/>
  <c r="Y10" i="8"/>
  <c r="T183" i="8"/>
  <c r="P20" i="8"/>
  <c r="W215" i="8"/>
  <c r="Y204" i="8"/>
  <c r="S7" i="8"/>
  <c r="S102" i="8"/>
  <c r="Q53" i="8"/>
  <c r="P169" i="8"/>
  <c r="AB100" i="8"/>
  <c r="Q140" i="8"/>
  <c r="Z148" i="8"/>
  <c r="Y125" i="8"/>
  <c r="W8" i="8"/>
  <c r="Q115" i="8"/>
  <c r="AC172" i="8"/>
  <c r="Q81" i="8"/>
  <c r="W19" i="8"/>
  <c r="Y83" i="8"/>
  <c r="P33" i="9"/>
</calcChain>
</file>

<file path=xl/sharedStrings.xml><?xml version="1.0" encoding="utf-8"?>
<sst xmlns="http://schemas.openxmlformats.org/spreadsheetml/2006/main" count="6220" uniqueCount="1944">
  <si>
    <t>ATM Vol</t>
  </si>
  <si>
    <t>RR25</t>
  </si>
  <si>
    <t>RR10</t>
  </si>
  <si>
    <t>Fly25</t>
  </si>
  <si>
    <t>Fly10</t>
  </si>
  <si>
    <t>ON</t>
  </si>
  <si>
    <t>1W</t>
  </si>
  <si>
    <t>2W</t>
  </si>
  <si>
    <t>1M</t>
  </si>
  <si>
    <t>2M</t>
  </si>
  <si>
    <t>3M</t>
  </si>
  <si>
    <t>6M</t>
  </si>
  <si>
    <t>9M</t>
  </si>
  <si>
    <t>1Y</t>
  </si>
  <si>
    <t>2Y</t>
  </si>
  <si>
    <t>Bid</t>
    <phoneticPr fontId="4" type="noConversion"/>
  </si>
  <si>
    <t>Ask</t>
    <phoneticPr fontId="4" type="noConversion"/>
  </si>
  <si>
    <t>ADUSV1D</t>
  </si>
  <si>
    <t>ADUSV1W</t>
  </si>
  <si>
    <t>ADUSV2W</t>
  </si>
  <si>
    <t>ADUSV1M</t>
  </si>
  <si>
    <t>ADUSV2M</t>
  </si>
  <si>
    <t>ADUSV3M</t>
  </si>
  <si>
    <t>ADUSV6M</t>
  </si>
  <si>
    <t>ADUSV9M</t>
  </si>
  <si>
    <t>ADUSV1Y</t>
  </si>
  <si>
    <t>ADUSV2Y</t>
  </si>
  <si>
    <t>ADUSRR1D</t>
  </si>
  <si>
    <t>ADUSRR1W</t>
  </si>
  <si>
    <t>ADUSRR2W</t>
  </si>
  <si>
    <t>ADUSVRR</t>
  </si>
  <si>
    <t>ADUSRR2M</t>
  </si>
  <si>
    <t>ADUSRR3M</t>
  </si>
  <si>
    <t>ADUSRR6M</t>
  </si>
  <si>
    <t>ADUSRR9M</t>
  </si>
  <si>
    <t>ADUSRR1Y</t>
  </si>
  <si>
    <t>ADUSB1D</t>
  </si>
  <si>
    <t>ADUSB1W</t>
  </si>
  <si>
    <t>ADUSB2W</t>
  </si>
  <si>
    <t>ADUSB1M</t>
  </si>
  <si>
    <t>ADUSB2M</t>
  </si>
  <si>
    <t>ADUSB3M</t>
  </si>
  <si>
    <t>ADUSB6M</t>
  </si>
  <si>
    <t>ADUSB9M</t>
  </si>
  <si>
    <t>ADUSB1Y</t>
  </si>
  <si>
    <t>ADUSB2Y</t>
  </si>
  <si>
    <t>ADUSRX1D</t>
  </si>
  <si>
    <t>ADUSRX1W</t>
  </si>
  <si>
    <t>ADUSRX2W</t>
  </si>
  <si>
    <t>ADUSRX1M</t>
  </si>
  <si>
    <t>ADUSRX2M</t>
  </si>
  <si>
    <t>ADUSRX3M</t>
  </si>
  <si>
    <t>ADUSRX6M</t>
  </si>
  <si>
    <t>ADUSRX9M</t>
  </si>
  <si>
    <t>ADUSRX1Y</t>
  </si>
  <si>
    <t>ADUSRX2Y</t>
  </si>
  <si>
    <t>ADUSBX1D</t>
  </si>
  <si>
    <t>ADUSBX1W</t>
  </si>
  <si>
    <t>ADUSBX2W</t>
  </si>
  <si>
    <t>ADUSBX1M</t>
  </si>
  <si>
    <t>ADUSBX2M</t>
  </si>
  <si>
    <t>ADUSBX3M</t>
  </si>
  <si>
    <t>ADUSBX6M</t>
  </si>
  <si>
    <t>ADUSBX9M</t>
  </si>
  <si>
    <t>ADUSBX1Y</t>
  </si>
  <si>
    <t>ADUSBX2Y</t>
  </si>
  <si>
    <t>ATM</t>
  </si>
  <si>
    <t>Bloomberg</t>
  </si>
  <si>
    <t>DCAP Formula</t>
  </si>
  <si>
    <t>BID</t>
    <phoneticPr fontId="4" type="noConversion"/>
  </si>
  <si>
    <t>Ccy Pair</t>
  </si>
  <si>
    <t>AUDUSD</t>
  </si>
  <si>
    <t>NDUSV1D</t>
  </si>
  <si>
    <t>NDUSV1W</t>
  </si>
  <si>
    <t>NDUSV2W</t>
  </si>
  <si>
    <t>NDUSV1M</t>
  </si>
  <si>
    <t>NDUSV2M</t>
  </si>
  <si>
    <t>NDUSV3M</t>
  </si>
  <si>
    <t>NDUSV6M</t>
  </si>
  <si>
    <t>NDUSV9M</t>
  </si>
  <si>
    <t>NDUSV1Y</t>
  </si>
  <si>
    <t>NDUSV2Y</t>
  </si>
  <si>
    <t>NDUSRR1D</t>
  </si>
  <si>
    <t>NDUSRR1W</t>
  </si>
  <si>
    <t>NDUSRR2W</t>
  </si>
  <si>
    <t>NDUSVRR</t>
  </si>
  <si>
    <t>NDUSRR2M</t>
  </si>
  <si>
    <t>NDUSRR3M</t>
  </si>
  <si>
    <t>NDUSRR6M</t>
  </si>
  <si>
    <t>NDUSRR9M</t>
  </si>
  <si>
    <t>NDUSRR1Y</t>
  </si>
  <si>
    <t>NDUSRR2Y</t>
  </si>
  <si>
    <t>NDUSRX1D</t>
  </si>
  <si>
    <t>NDUSRX1W</t>
  </si>
  <si>
    <t>NDUSRX2W</t>
  </si>
  <si>
    <t>NDUSRX1M</t>
  </si>
  <si>
    <t>NDUSRX2M</t>
  </si>
  <si>
    <t>NDUSRX3M</t>
  </si>
  <si>
    <t>NDUSRX6M</t>
  </si>
  <si>
    <t>NDUSRX9M</t>
  </si>
  <si>
    <t>NDUSRX1Y</t>
  </si>
  <si>
    <t>NDUSRX2Y</t>
  </si>
  <si>
    <t>NDUSB1D</t>
  </si>
  <si>
    <t>NDUSB1W</t>
  </si>
  <si>
    <t>NDUSB2W</t>
  </si>
  <si>
    <t>NDUSB1M</t>
  </si>
  <si>
    <t>NDUSB2M</t>
  </si>
  <si>
    <t>NDUSB3M</t>
  </si>
  <si>
    <t>NDUSB6M</t>
  </si>
  <si>
    <t>NDUSB9M</t>
  </si>
  <si>
    <t>NDUSB1Y</t>
  </si>
  <si>
    <t>NDUSB2Y</t>
  </si>
  <si>
    <t>NDUSBX1D</t>
  </si>
  <si>
    <t>NDUSBX1W</t>
  </si>
  <si>
    <t>NDUSBX2W</t>
  </si>
  <si>
    <t>NDUSBX1M</t>
  </si>
  <si>
    <t>NDUSBX2M</t>
  </si>
  <si>
    <t>NDUSBX3M</t>
  </si>
  <si>
    <t>NDUSBX6M</t>
  </si>
  <si>
    <t>NDUSBX9M</t>
  </si>
  <si>
    <t>NDUSBX1Y</t>
  </si>
  <si>
    <t>NDUSBX2Y</t>
  </si>
  <si>
    <t>USJYV1D</t>
  </si>
  <si>
    <t>USJYV1W</t>
  </si>
  <si>
    <t>USJYV2W</t>
  </si>
  <si>
    <t>USJYV1M</t>
  </si>
  <si>
    <t>USJYV2M</t>
  </si>
  <si>
    <t>USJYV3M</t>
  </si>
  <si>
    <t>USJYV6M</t>
  </si>
  <si>
    <t>USJYV9M</t>
  </si>
  <si>
    <t>USJYV1Y</t>
  </si>
  <si>
    <t>USJYV2Y</t>
  </si>
  <si>
    <t>USJYRR1D</t>
  </si>
  <si>
    <t>USJYRR1W</t>
  </si>
  <si>
    <t>USJYRR2W</t>
  </si>
  <si>
    <t>USJYVRR</t>
  </si>
  <si>
    <t>USJYRR2M</t>
  </si>
  <si>
    <t>USJYRR3M</t>
  </si>
  <si>
    <t>USJYRR6M</t>
  </si>
  <si>
    <t>USJYRR9M</t>
  </si>
  <si>
    <t>USJYRR1Y</t>
  </si>
  <si>
    <t>USJYRR2Y</t>
  </si>
  <si>
    <t>USJYRX1D</t>
  </si>
  <si>
    <t>USJYRX1W</t>
  </si>
  <si>
    <t>USJYRX2W</t>
  </si>
  <si>
    <t>USJYRX1M</t>
  </si>
  <si>
    <t>USJYRX2M</t>
  </si>
  <si>
    <t>USJYRX3M</t>
  </si>
  <si>
    <t>USJYRX6M</t>
  </si>
  <si>
    <t>USJYRX9M</t>
  </si>
  <si>
    <t>USJYRX1Y</t>
  </si>
  <si>
    <t>USJYRX2Y</t>
  </si>
  <si>
    <t>USJYB1D</t>
  </si>
  <si>
    <t>USJYB1W</t>
  </si>
  <si>
    <t>USJYB2W</t>
  </si>
  <si>
    <t>USJYB1M</t>
  </si>
  <si>
    <t>USJYB2M</t>
  </si>
  <si>
    <t>USJYB3M</t>
  </si>
  <si>
    <t>USJYB6M</t>
  </si>
  <si>
    <t>USJYB9M</t>
  </si>
  <si>
    <t>USJYB1Y</t>
  </si>
  <si>
    <t>USJYB2Y</t>
  </si>
  <si>
    <t>USJYBX1D</t>
  </si>
  <si>
    <t>USJYBX1W</t>
  </si>
  <si>
    <t>USJYBX2W</t>
  </si>
  <si>
    <t>USJYBX1M</t>
  </si>
  <si>
    <t>USJYBX2M</t>
  </si>
  <si>
    <t>USJYBX3M</t>
  </si>
  <si>
    <t>USJYBX6M</t>
  </si>
  <si>
    <t>USJYBX9M</t>
  </si>
  <si>
    <t>USJYBX1Y</t>
  </si>
  <si>
    <t>USJYBX2Y</t>
  </si>
  <si>
    <t>ADHDV1D</t>
  </si>
  <si>
    <t>ADHDV1W</t>
  </si>
  <si>
    <t>ADHDV2W</t>
  </si>
  <si>
    <t>ADHDV1M</t>
  </si>
  <si>
    <t>ADHDV2M</t>
  </si>
  <si>
    <t>ADHDV3M</t>
  </si>
  <si>
    <t>ADHDV6M</t>
  </si>
  <si>
    <t>ADHDV9M</t>
  </si>
  <si>
    <t>ADHDV1Y</t>
  </si>
  <si>
    <t>ADHDV2Y</t>
  </si>
  <si>
    <t>ADHDRR1D</t>
  </si>
  <si>
    <t>ADHDRR1W</t>
  </si>
  <si>
    <t>ADHDRR2W</t>
  </si>
  <si>
    <t>ADHDVRR</t>
  </si>
  <si>
    <t>ADHDRR2M</t>
  </si>
  <si>
    <t>ADHDRR3M</t>
  </si>
  <si>
    <t>ADHDRR6M</t>
  </si>
  <si>
    <t>ADHDRR9M</t>
  </si>
  <si>
    <t>ADHDRR1Y</t>
  </si>
  <si>
    <t>ADHDRR2Y</t>
  </si>
  <si>
    <t>ADHDRX1D</t>
  </si>
  <si>
    <t>ADHDRX1W</t>
  </si>
  <si>
    <t>ADHDRX2W</t>
  </si>
  <si>
    <t>ADHDRX1M</t>
  </si>
  <si>
    <t>ADHDRX2M</t>
  </si>
  <si>
    <t>ADHDRX3M</t>
  </si>
  <si>
    <t>ADHDRX6M</t>
  </si>
  <si>
    <t>ADHDRX9M</t>
  </si>
  <si>
    <t>ADHDRX1Y</t>
  </si>
  <si>
    <t>ADHDRX2Y</t>
  </si>
  <si>
    <t>ADHDB1D</t>
  </si>
  <si>
    <t>ADHDB1W</t>
  </si>
  <si>
    <t>ADHDB2W</t>
  </si>
  <si>
    <t>ADHDB1M</t>
  </si>
  <si>
    <t>ADHDB2M</t>
  </si>
  <si>
    <t>ADHDB3M</t>
  </si>
  <si>
    <t>ADHDB6M</t>
  </si>
  <si>
    <t>ADHDB9M</t>
  </si>
  <si>
    <t>ADHDB1Y</t>
  </si>
  <si>
    <t>ADHDB2Y</t>
  </si>
  <si>
    <t>ADHDBX1D</t>
  </si>
  <si>
    <t>ADHDBX1W</t>
  </si>
  <si>
    <t>ADHDBX2W</t>
  </si>
  <si>
    <t>ADHDBX1M</t>
  </si>
  <si>
    <t>ADHDBX2M</t>
  </si>
  <si>
    <t>ADHDBX3M</t>
  </si>
  <si>
    <t>ADHDBX6M</t>
  </si>
  <si>
    <t>ADHDBX9M</t>
  </si>
  <si>
    <t>ADHDBX1Y</t>
  </si>
  <si>
    <t>ADHDBX2Y</t>
  </si>
  <si>
    <t>NDHDV1D</t>
  </si>
  <si>
    <t>NDHDV1W</t>
  </si>
  <si>
    <t>NDHDV2W</t>
  </si>
  <si>
    <t>NDHDV1M</t>
  </si>
  <si>
    <t>NDHDV2M</t>
  </si>
  <si>
    <t>NDHDV3M</t>
  </si>
  <si>
    <t>NDHDV6M</t>
  </si>
  <si>
    <t>NDHDV9M</t>
  </si>
  <si>
    <t>NDHDV1Y</t>
  </si>
  <si>
    <t>NDHDV2Y</t>
  </si>
  <si>
    <t>NDHDRR1D</t>
  </si>
  <si>
    <t>NDHDRR1W</t>
  </si>
  <si>
    <t>NDHDRR2W</t>
  </si>
  <si>
    <t>NDHDVRR</t>
  </si>
  <si>
    <t>NDHDRR2M</t>
  </si>
  <si>
    <t>NDHDRR3M</t>
  </si>
  <si>
    <t>NDHDRR6M</t>
  </si>
  <si>
    <t>NDHDRR9M</t>
  </si>
  <si>
    <t>NDHDRR1Y</t>
  </si>
  <si>
    <t>NDHDRR2Y</t>
  </si>
  <si>
    <t>NDHDRX1D</t>
  </si>
  <si>
    <t>NDHDRX1W</t>
  </si>
  <si>
    <t>NDHDRX2W</t>
  </si>
  <si>
    <t>NDHDRX1M</t>
  </si>
  <si>
    <t>NDHDRX2M</t>
  </si>
  <si>
    <t>NDHDRX3M</t>
  </si>
  <si>
    <t>NDHDRX6M</t>
  </si>
  <si>
    <t>NDHDRX9M</t>
  </si>
  <si>
    <t>NDHDRX1Y</t>
  </si>
  <si>
    <t>NDHDRX2Y</t>
  </si>
  <si>
    <t>NDHDBX1D</t>
  </si>
  <si>
    <t>NDHDBX1W</t>
  </si>
  <si>
    <t>NDHDBX2W</t>
  </si>
  <si>
    <t>NDHDBX1M</t>
  </si>
  <si>
    <t>NDHDBX2M</t>
  </si>
  <si>
    <t>NDHDBX3M</t>
  </si>
  <si>
    <t>NDHDBX6M</t>
  </si>
  <si>
    <t>NDHDBX9M</t>
  </si>
  <si>
    <t>NDHDBX1Y</t>
  </si>
  <si>
    <t>NDHDBX2Y</t>
  </si>
  <si>
    <t>EUHDV1D</t>
  </si>
  <si>
    <t>EUHDV1W</t>
  </si>
  <si>
    <t>EUHDV2W</t>
  </si>
  <si>
    <t>EUHDV1M</t>
  </si>
  <si>
    <t>EUHDV2M</t>
  </si>
  <si>
    <t>EUHDV3M</t>
  </si>
  <si>
    <t>EUHDV6M</t>
  </si>
  <si>
    <t>EUHDV9M</t>
  </si>
  <si>
    <t>EUHDV1Y</t>
  </si>
  <si>
    <t>EUHDV2Y</t>
  </si>
  <si>
    <t>EUHDRR1D</t>
  </si>
  <si>
    <t>EUHDRR1W</t>
  </si>
  <si>
    <t>EUHDRR2W</t>
  </si>
  <si>
    <t>EUHDVRR</t>
  </si>
  <si>
    <t>EUHDRR2M</t>
  </si>
  <si>
    <t>EUHDRR3M</t>
  </si>
  <si>
    <t>EUHDRR6M</t>
  </si>
  <si>
    <t>EUHDRR9M</t>
  </si>
  <si>
    <t>EUHDRR1Y</t>
  </si>
  <si>
    <t>EUHDRX1D</t>
  </si>
  <si>
    <t>EUHDRX1W</t>
  </si>
  <si>
    <t>EUHDRX2W</t>
  </si>
  <si>
    <t>EUHDRX1M</t>
  </si>
  <si>
    <t>EUHDRX2M</t>
  </si>
  <si>
    <t>EUHDRX3M</t>
  </si>
  <si>
    <t>EUHDRX6M</t>
  </si>
  <si>
    <t>EUHDRX9M</t>
  </si>
  <si>
    <t>EUHDRX1Y</t>
  </si>
  <si>
    <t>EUHDRX2Y</t>
  </si>
  <si>
    <t>EUHDB1D</t>
  </si>
  <si>
    <t>EUHDB1W</t>
  </si>
  <si>
    <t>EUHDB2W</t>
  </si>
  <si>
    <t>EUHDB1M</t>
  </si>
  <si>
    <t>EUHDB2M</t>
  </si>
  <si>
    <t>EUHDB3M</t>
  </si>
  <si>
    <t>EUHDB6M</t>
  </si>
  <si>
    <t>EUHDB9M</t>
  </si>
  <si>
    <t>EUHDB1Y</t>
  </si>
  <si>
    <t>EUHDB2Y</t>
  </si>
  <si>
    <t>EUHDBX1D</t>
  </si>
  <si>
    <t>EUHDBX1W</t>
  </si>
  <si>
    <t>EUHDBX2W</t>
  </si>
  <si>
    <t>EUHDBX1M</t>
  </si>
  <si>
    <t>EUHDBX2M</t>
  </si>
  <si>
    <t>EUHDBX3M</t>
  </si>
  <si>
    <t>EUHDBX6M</t>
  </si>
  <si>
    <t>EUHDBX9M</t>
  </si>
  <si>
    <t>EUHDBX1Y</t>
  </si>
  <si>
    <t>EUHDBX2Y</t>
  </si>
  <si>
    <t>ATM</t>
    <phoneticPr fontId="4" type="noConversion"/>
  </si>
  <si>
    <t>25D RR</t>
    <phoneticPr fontId="4" type="noConversion"/>
  </si>
  <si>
    <t>10D RR</t>
    <phoneticPr fontId="4" type="noConversion"/>
  </si>
  <si>
    <t>25D BF</t>
    <phoneticPr fontId="4" type="noConversion"/>
  </si>
  <si>
    <t>10D BF</t>
    <phoneticPr fontId="4" type="noConversion"/>
  </si>
  <si>
    <t>25D BF</t>
    <phoneticPr fontId="4" type="noConversion"/>
  </si>
  <si>
    <t>10D BF</t>
    <phoneticPr fontId="4" type="noConversion"/>
  </si>
  <si>
    <t>OFFER</t>
    <phoneticPr fontId="4" type="noConversion"/>
  </si>
  <si>
    <t>ATM</t>
    <phoneticPr fontId="4" type="noConversion"/>
  </si>
  <si>
    <t>25D RR</t>
    <phoneticPr fontId="4" type="noConversion"/>
  </si>
  <si>
    <t>10D RR</t>
    <phoneticPr fontId="4" type="noConversion"/>
  </si>
  <si>
    <t>ATM</t>
    <phoneticPr fontId="4" type="noConversion"/>
  </si>
  <si>
    <t>25D RR</t>
    <phoneticPr fontId="4" type="noConversion"/>
  </si>
  <si>
    <t>10D RR</t>
    <phoneticPr fontId="4" type="noConversion"/>
  </si>
  <si>
    <t>25D BF</t>
    <phoneticPr fontId="4" type="noConversion"/>
  </si>
  <si>
    <t>10D BF</t>
    <phoneticPr fontId="4" type="noConversion"/>
  </si>
  <si>
    <t>Mid</t>
    <phoneticPr fontId="4" type="noConversion"/>
  </si>
  <si>
    <t>Spread</t>
    <phoneticPr fontId="4" type="noConversion"/>
  </si>
  <si>
    <t>NZDUSD</t>
    <phoneticPr fontId="4" type="noConversion"/>
  </si>
  <si>
    <t>AUDHKD</t>
    <phoneticPr fontId="4" type="noConversion"/>
  </si>
  <si>
    <t>Bid</t>
    <phoneticPr fontId="4" type="noConversion"/>
  </si>
  <si>
    <t>Ask</t>
    <phoneticPr fontId="4" type="noConversion"/>
  </si>
  <si>
    <t>AUDUSD</t>
    <phoneticPr fontId="4" type="noConversion"/>
  </si>
  <si>
    <t>NZDUSD</t>
    <phoneticPr fontId="4" type="noConversion"/>
  </si>
  <si>
    <t>USDJPY</t>
    <phoneticPr fontId="4" type="noConversion"/>
  </si>
  <si>
    <t>EURUSD</t>
    <phoneticPr fontId="4" type="noConversion"/>
  </si>
  <si>
    <t>GBPUSD</t>
    <phoneticPr fontId="4" type="noConversion"/>
  </si>
  <si>
    <t>USDCAD</t>
    <phoneticPr fontId="4" type="noConversion"/>
  </si>
  <si>
    <t>USDJPY</t>
    <phoneticPr fontId="4" type="noConversion"/>
  </si>
  <si>
    <t>Mid</t>
    <phoneticPr fontId="4" type="noConversion"/>
  </si>
  <si>
    <t>ATM</t>
    <phoneticPr fontId="4" type="noConversion"/>
  </si>
  <si>
    <t>25D RR</t>
    <phoneticPr fontId="4" type="noConversion"/>
  </si>
  <si>
    <t>10D RR</t>
    <phoneticPr fontId="4" type="noConversion"/>
  </si>
  <si>
    <t>25D BF</t>
    <phoneticPr fontId="4" type="noConversion"/>
  </si>
  <si>
    <t>10D BF</t>
    <phoneticPr fontId="4" type="noConversion"/>
  </si>
  <si>
    <t>Spread</t>
    <phoneticPr fontId="4" type="noConversion"/>
  </si>
  <si>
    <t>ATM</t>
    <phoneticPr fontId="4" type="noConversion"/>
  </si>
  <si>
    <t>25D RR</t>
    <phoneticPr fontId="4" type="noConversion"/>
  </si>
  <si>
    <t>BID</t>
    <phoneticPr fontId="4" type="noConversion"/>
  </si>
  <si>
    <t>OFFER</t>
    <phoneticPr fontId="4" type="noConversion"/>
  </si>
  <si>
    <t>Mid</t>
    <phoneticPr fontId="4" type="noConversion"/>
  </si>
  <si>
    <t>NZDHKD</t>
    <phoneticPr fontId="4" type="noConversion"/>
  </si>
  <si>
    <t>EURHKD</t>
    <phoneticPr fontId="4" type="noConversion"/>
  </si>
  <si>
    <t>GBPHKD</t>
    <phoneticPr fontId="4" type="noConversion"/>
  </si>
  <si>
    <t>CADHKD</t>
    <phoneticPr fontId="4" type="noConversion"/>
  </si>
  <si>
    <t>HKDJPY</t>
    <phoneticPr fontId="4" type="noConversion"/>
  </si>
  <si>
    <t>AUDJPY</t>
    <phoneticPr fontId="4" type="noConversion"/>
  </si>
  <si>
    <t>NZDJPY</t>
    <phoneticPr fontId="4" type="noConversion"/>
  </si>
  <si>
    <t>EURJPY</t>
    <phoneticPr fontId="4" type="noConversion"/>
  </si>
  <si>
    <t>GBPJPY</t>
    <phoneticPr fontId="4" type="noConversion"/>
  </si>
  <si>
    <t>NZDHKD</t>
    <phoneticPr fontId="4" type="noConversion"/>
  </si>
  <si>
    <t>EURHKD</t>
    <phoneticPr fontId="4" type="noConversion"/>
  </si>
  <si>
    <t>HKDJPY</t>
    <phoneticPr fontId="4" type="noConversion"/>
  </si>
  <si>
    <t>ADUSRR2Y</t>
  </si>
  <si>
    <t>EUUSV1D</t>
  </si>
  <si>
    <t>EUUSV1W</t>
  </si>
  <si>
    <t>EUUSV2W</t>
  </si>
  <si>
    <t>EUUSV1M</t>
  </si>
  <si>
    <t>EUUSV2M</t>
  </si>
  <si>
    <t>EUUSV3M</t>
  </si>
  <si>
    <t>EUUSV6M</t>
  </si>
  <si>
    <t>EUUSV9M</t>
  </si>
  <si>
    <t>EUUSV1Y</t>
  </si>
  <si>
    <t>EUUSV2Y</t>
  </si>
  <si>
    <t>EUUSRR1D</t>
  </si>
  <si>
    <t>EUUSRR1W</t>
  </si>
  <si>
    <t>EUUSRR2W</t>
  </si>
  <si>
    <t>EUUSVRR</t>
  </si>
  <si>
    <t>EUUSRR2M</t>
  </si>
  <si>
    <t>EUUSRR3M</t>
  </si>
  <si>
    <t>EUUSRR6M</t>
  </si>
  <si>
    <t>EUUSRR9M</t>
  </si>
  <si>
    <t>EUUSRR1Y</t>
  </si>
  <si>
    <t>EUUSRR2Y</t>
  </si>
  <si>
    <t>EUUSRX1D</t>
  </si>
  <si>
    <t>EUUSRX1W</t>
  </si>
  <si>
    <t>EUUSRX2W</t>
  </si>
  <si>
    <t>EUUSRX1M</t>
  </si>
  <si>
    <t>EUUSRX2M</t>
  </si>
  <si>
    <t>EUUSRX3M</t>
  </si>
  <si>
    <t>EUUSRX6M</t>
  </si>
  <si>
    <t>EUUSRX9M</t>
  </si>
  <si>
    <t>EUUSRX1Y</t>
  </si>
  <si>
    <t>EUUSRX2Y</t>
  </si>
  <si>
    <t>EUUSB1D</t>
  </si>
  <si>
    <t>EUUSB1W</t>
  </si>
  <si>
    <t>EUUSB2W</t>
  </si>
  <si>
    <t>EUUSB1M</t>
  </si>
  <si>
    <t>EUUSB2M</t>
  </si>
  <si>
    <t>EUUSB3M</t>
  </si>
  <si>
    <t>EUUSB6M</t>
  </si>
  <si>
    <t>EUUSB9M</t>
  </si>
  <si>
    <t>EUUSB1Y</t>
  </si>
  <si>
    <t>EUUSB2Y</t>
  </si>
  <si>
    <t>EUUSBX1D</t>
  </si>
  <si>
    <t>EUUSBX1W</t>
  </si>
  <si>
    <t>EUUSBX2W</t>
  </si>
  <si>
    <t>EUUSBX1M</t>
  </si>
  <si>
    <t>EUUSBX2M</t>
  </si>
  <si>
    <t>EUUSBX3M</t>
  </si>
  <si>
    <t>EUUSBX6M</t>
  </si>
  <si>
    <t>EUUSBX9M</t>
  </si>
  <si>
    <t>EUUSBX1Y</t>
  </si>
  <si>
    <t>EUUSBX2Y</t>
  </si>
  <si>
    <t>BPUSV1D</t>
  </si>
  <si>
    <t>BPUSV1W</t>
  </si>
  <si>
    <t>BPUSV2W</t>
  </si>
  <si>
    <t>BPUSV1M</t>
  </si>
  <si>
    <t>BPUSV2M</t>
  </si>
  <si>
    <t>BPUSV3M</t>
  </si>
  <si>
    <t>BPUSV6M</t>
  </si>
  <si>
    <t>BPUSV9M</t>
  </si>
  <si>
    <t>BPUSV1Y</t>
  </si>
  <si>
    <t>BPUSV2Y</t>
  </si>
  <si>
    <t>BPUSRR1D</t>
  </si>
  <si>
    <t>BPUSRR1W</t>
  </si>
  <si>
    <t>BPUSRR2W</t>
  </si>
  <si>
    <t>BPUSVRR</t>
  </si>
  <si>
    <t>BPUSRR2M</t>
  </si>
  <si>
    <t>BPUSRR3M</t>
  </si>
  <si>
    <t>BPUSRR6M</t>
  </si>
  <si>
    <t>BPUSRR9M</t>
  </si>
  <si>
    <t>BPUSRR1Y</t>
  </si>
  <si>
    <t>BPUSRR2Y</t>
  </si>
  <si>
    <t>BPUSRX1D</t>
  </si>
  <si>
    <t>BPUSRX1W</t>
  </si>
  <si>
    <t>BPUSRX2W</t>
  </si>
  <si>
    <t>BPUSRX1M</t>
  </si>
  <si>
    <t>BPUSRX2M</t>
  </si>
  <si>
    <t>BPUSRX3M</t>
  </si>
  <si>
    <t>BPUSRX6M</t>
  </si>
  <si>
    <t>BPUSRX9M</t>
  </si>
  <si>
    <t>BPUSRX1Y</t>
  </si>
  <si>
    <t>BPUSRX2Y</t>
  </si>
  <si>
    <t>BPUSB1D</t>
  </si>
  <si>
    <t>BPUSB1W</t>
  </si>
  <si>
    <t>BPUSB2W</t>
  </si>
  <si>
    <t>BPUSB1M</t>
  </si>
  <si>
    <t>BPUSB2M</t>
  </si>
  <si>
    <t>BPUSB3M</t>
  </si>
  <si>
    <t>BPUSB6M</t>
  </si>
  <si>
    <t>BPUSB9M</t>
  </si>
  <si>
    <t>BPUSB1Y</t>
  </si>
  <si>
    <t>BPUSB2Y</t>
  </si>
  <si>
    <t>BPUSBX1D</t>
  </si>
  <si>
    <t>BPUSBX1W</t>
  </si>
  <si>
    <t>BPUSBX2W</t>
  </si>
  <si>
    <t>BPUSBX1M</t>
  </si>
  <si>
    <t>BPUSBX2M</t>
  </si>
  <si>
    <t>BPUSBX3M</t>
  </si>
  <si>
    <t>BPUSBX6M</t>
  </si>
  <si>
    <t>BPUSBX9M</t>
  </si>
  <si>
    <t>BPUSBX1Y</t>
  </si>
  <si>
    <t>BPUSBX2Y</t>
  </si>
  <si>
    <t>USCDV1D</t>
  </si>
  <si>
    <t>USCDV1W</t>
  </si>
  <si>
    <t>USCDV2W</t>
  </si>
  <si>
    <t>USCDV1M</t>
  </si>
  <si>
    <t>USCDV2M</t>
  </si>
  <si>
    <t>USCDV3M</t>
  </si>
  <si>
    <t>USCDV6M</t>
  </si>
  <si>
    <t>USCDV9M</t>
  </si>
  <si>
    <t>USCDV1Y</t>
  </si>
  <si>
    <t>USCDV2Y</t>
  </si>
  <si>
    <t>USCDRR1D</t>
  </si>
  <si>
    <t>USCDRR1W</t>
  </si>
  <si>
    <t>USCDRR2W</t>
  </si>
  <si>
    <t>USCDVRR</t>
  </si>
  <si>
    <t>USCDRR2M</t>
  </si>
  <si>
    <t>USCDRR3M</t>
  </si>
  <si>
    <t>USCDRR6M</t>
  </si>
  <si>
    <t>USCDRR9M</t>
  </si>
  <si>
    <t>USCDRR1Y</t>
  </si>
  <si>
    <t>USCDRR2Y</t>
  </si>
  <si>
    <t>USCDRX1D</t>
  </si>
  <si>
    <t>USCDRX1W</t>
  </si>
  <si>
    <t>USCDRX2W</t>
  </si>
  <si>
    <t>USCDRX1M</t>
  </si>
  <si>
    <t>USCDRX2M</t>
  </si>
  <si>
    <t>USCDRX3M</t>
  </si>
  <si>
    <t>USCDRX6M</t>
  </si>
  <si>
    <t>USCDRX9M</t>
  </si>
  <si>
    <t>USCDRX1Y</t>
  </si>
  <si>
    <t>USCDRX2Y</t>
  </si>
  <si>
    <t>USCDB1D</t>
  </si>
  <si>
    <t>USCDB1W</t>
  </si>
  <si>
    <t>USCDB2W</t>
  </si>
  <si>
    <t>USCDB1M</t>
  </si>
  <si>
    <t>USCDB2M</t>
  </si>
  <si>
    <t>USCDB3M</t>
  </si>
  <si>
    <t>USCDB6M</t>
  </si>
  <si>
    <t>USCDB9M</t>
  </si>
  <si>
    <t>USCDB1Y</t>
  </si>
  <si>
    <t>USCDB2Y</t>
  </si>
  <si>
    <t>USCDBX1D</t>
  </si>
  <si>
    <t>USCDBX1W</t>
  </si>
  <si>
    <t>USCDBX2W</t>
  </si>
  <si>
    <t>USCDBX1M</t>
  </si>
  <si>
    <t>USCDBX2M</t>
  </si>
  <si>
    <t>USCDBX3M</t>
  </si>
  <si>
    <t>USCDBX6M</t>
  </si>
  <si>
    <t>USCDBX9M</t>
  </si>
  <si>
    <t>USCDBX1Y</t>
  </si>
  <si>
    <t>USCDBX2Y</t>
  </si>
  <si>
    <t>NDHDB1D</t>
  </si>
  <si>
    <t>NDHDB1W</t>
  </si>
  <si>
    <t>NDHDB2W</t>
  </si>
  <si>
    <t>NDHDB1M</t>
  </si>
  <si>
    <t>NDHDB2M</t>
  </si>
  <si>
    <t>NDHDB3M</t>
  </si>
  <si>
    <t>NDHDB6M</t>
  </si>
  <si>
    <t>NDHDB9M</t>
  </si>
  <si>
    <t>NDHDB1Y</t>
  </si>
  <si>
    <t>NDHDB2Y</t>
  </si>
  <si>
    <t>EUHDRR2Y</t>
  </si>
  <si>
    <t>BPHDV1D</t>
  </si>
  <si>
    <t>BPHDV1W</t>
  </si>
  <si>
    <t>BPHDV2W</t>
  </si>
  <si>
    <t>BPHDV1M</t>
  </si>
  <si>
    <t>BPHDV2M</t>
  </si>
  <si>
    <t>BPHDV3M</t>
  </si>
  <si>
    <t>BPHDV6M</t>
  </si>
  <si>
    <t>BPHDV9M</t>
  </si>
  <si>
    <t>BPHDV1Y</t>
  </si>
  <si>
    <t>BPHDV2Y</t>
  </si>
  <si>
    <t>BPHDRR1D</t>
  </si>
  <si>
    <t>BPHDRR1W</t>
  </si>
  <si>
    <t>BPHDRR2W</t>
  </si>
  <si>
    <t>BPHDVRR</t>
  </si>
  <si>
    <t>BPHDRR2M</t>
  </si>
  <si>
    <t>BPHDRR3M</t>
  </si>
  <si>
    <t>BPHDRR6M</t>
  </si>
  <si>
    <t>BPHDRR9M</t>
  </si>
  <si>
    <t>BPHDRR1Y</t>
  </si>
  <si>
    <t>BPHDRR2Y</t>
  </si>
  <si>
    <t>BPHDRX1D</t>
  </si>
  <si>
    <t>BPHDRX1W</t>
  </si>
  <si>
    <t>BPHDRX2W</t>
  </si>
  <si>
    <t>BPHDRX1M</t>
  </si>
  <si>
    <t>BPHDRX2M</t>
  </si>
  <si>
    <t>BPHDRX3M</t>
  </si>
  <si>
    <t>BPHDRX6M</t>
  </si>
  <si>
    <t>BPHDRX9M</t>
  </si>
  <si>
    <t>BPHDRX1Y</t>
  </si>
  <si>
    <t>BPHDRX2Y</t>
  </si>
  <si>
    <t>BPHDB1D</t>
  </si>
  <si>
    <t>BPHDB1W</t>
  </si>
  <si>
    <t>BPHDB2W</t>
  </si>
  <si>
    <t>BPHDB1M</t>
  </si>
  <si>
    <t>BPHDB2M</t>
  </si>
  <si>
    <t>BPHDB3M</t>
  </si>
  <si>
    <t>BPHDB6M</t>
  </si>
  <si>
    <t>BPHDB9M</t>
  </si>
  <si>
    <t>BPHDB1Y</t>
  </si>
  <si>
    <t>BPHDB2Y</t>
  </si>
  <si>
    <t>BPHDBX1D</t>
  </si>
  <si>
    <t>BPHDBX1W</t>
  </si>
  <si>
    <t>BPHDBX2W</t>
  </si>
  <si>
    <t>BPHDBX1M</t>
  </si>
  <si>
    <t>BPHDBX2M</t>
  </si>
  <si>
    <t>BPHDBX3M</t>
  </si>
  <si>
    <t>BPHDBX6M</t>
  </si>
  <si>
    <t>BPHDBX9M</t>
  </si>
  <si>
    <t>BPHDBX1Y</t>
  </si>
  <si>
    <t>BPHDBX2Y</t>
  </si>
  <si>
    <t>CDHDV1D</t>
  </si>
  <si>
    <t>CDHDV1W</t>
  </si>
  <si>
    <t>CDHDV2W</t>
  </si>
  <si>
    <t>CDHDV1M</t>
  </si>
  <si>
    <t>CDHDV2M</t>
  </si>
  <si>
    <t>CDHDV3M</t>
  </si>
  <si>
    <t>CDHDV6M</t>
  </si>
  <si>
    <t>CDHDV9M</t>
  </si>
  <si>
    <t>CDHDV1Y</t>
  </si>
  <si>
    <t>CDHDV2Y</t>
  </si>
  <si>
    <t>CDHDRR1D</t>
  </si>
  <si>
    <t>CDHDRR1W</t>
  </si>
  <si>
    <t>CDHDRR2W</t>
  </si>
  <si>
    <t>CDHDVRR</t>
  </si>
  <si>
    <t>CDHDRR2M</t>
  </si>
  <si>
    <t>CDHDRR3M</t>
  </si>
  <si>
    <t>CDHDRR6M</t>
  </si>
  <si>
    <t>CDHDRR9M</t>
  </si>
  <si>
    <t>CDHDRR1Y</t>
  </si>
  <si>
    <t>CDHDRR2Y</t>
  </si>
  <si>
    <t>CDHDRX1D</t>
  </si>
  <si>
    <t>CDHDRX1W</t>
  </si>
  <si>
    <t>CDHDRX2W</t>
  </si>
  <si>
    <t>CDHDRX1M</t>
  </si>
  <si>
    <t>CDHDRX2M</t>
  </si>
  <si>
    <t>CDHDRX3M</t>
  </si>
  <si>
    <t>CDHDRX6M</t>
  </si>
  <si>
    <t>CDHDRX9M</t>
  </si>
  <si>
    <t>CDHDRX1Y</t>
  </si>
  <si>
    <t>CDHDRX2Y</t>
  </si>
  <si>
    <t>CDHDB1D</t>
  </si>
  <si>
    <t>CDHDB1W</t>
  </si>
  <si>
    <t>CDHDB2W</t>
  </si>
  <si>
    <t>CDHDB1M</t>
  </si>
  <si>
    <t>CDHDB2M</t>
  </si>
  <si>
    <t>CDHDB3M</t>
  </si>
  <si>
    <t>CDHDB6M</t>
  </si>
  <si>
    <t>CDHDB9M</t>
  </si>
  <si>
    <t>CDHDB1Y</t>
  </si>
  <si>
    <t>CDHDB2Y</t>
  </si>
  <si>
    <t>CDHDBX1D</t>
  </si>
  <si>
    <t>CDHDBX1W</t>
  </si>
  <si>
    <t>CDHDBX2W</t>
  </si>
  <si>
    <t>CDHDBX1M</t>
  </si>
  <si>
    <t>CDHDBX2M</t>
  </si>
  <si>
    <t>CDHDBX3M</t>
  </si>
  <si>
    <t>CDHDBX6M</t>
  </si>
  <si>
    <t>CDHDBX9M</t>
  </si>
  <si>
    <t>CDHDBX1Y</t>
  </si>
  <si>
    <t>CDHDBX2Y</t>
  </si>
  <si>
    <t>HDJYV1D</t>
  </si>
  <si>
    <t>HDJYV1W</t>
  </si>
  <si>
    <t>HDJYV2W</t>
  </si>
  <si>
    <t>HDJYV1M</t>
  </si>
  <si>
    <t>HDJYV2M</t>
  </si>
  <si>
    <t>HDJYV3M</t>
  </si>
  <si>
    <t>HDJYV6M</t>
  </si>
  <si>
    <t>HDJYV9M</t>
  </si>
  <si>
    <t>HDJYV1Y</t>
  </si>
  <si>
    <t>HDJYV2Y</t>
  </si>
  <si>
    <t>HDJYRR1D</t>
  </si>
  <si>
    <t>HDJYRR1W</t>
  </si>
  <si>
    <t>HDJYRR2W</t>
  </si>
  <si>
    <t>HDJYVRR</t>
  </si>
  <si>
    <t>HDJYRR2M</t>
  </si>
  <si>
    <t>HDJYRR3M</t>
  </si>
  <si>
    <t>HDJYRR6M</t>
  </si>
  <si>
    <t>HDJYRR9M</t>
  </si>
  <si>
    <t>HDJYRR1Y</t>
  </si>
  <si>
    <t>HDJYRR2Y</t>
  </si>
  <si>
    <t>HDJYRX1D</t>
  </si>
  <si>
    <t>HDJYRX1W</t>
  </si>
  <si>
    <t>HDJYRX2W</t>
  </si>
  <si>
    <t>HDJYRX1M</t>
  </si>
  <si>
    <t>HDJYRX2M</t>
  </si>
  <si>
    <t>HDJYRX3M</t>
  </si>
  <si>
    <t>HDJYRX6M</t>
  </si>
  <si>
    <t>HDJYRX9M</t>
  </si>
  <si>
    <t>HDJYRX1Y</t>
  </si>
  <si>
    <t>HDJYRX2Y</t>
  </si>
  <si>
    <t>HDJYB1D</t>
  </si>
  <si>
    <t>HDJYB1W</t>
  </si>
  <si>
    <t>HDJYB2W</t>
  </si>
  <si>
    <t>HDJYB1M</t>
  </si>
  <si>
    <t>HDJYB2M</t>
  </si>
  <si>
    <t>HDJYB3M</t>
  </si>
  <si>
    <t>HDJYB6M</t>
  </si>
  <si>
    <t>HDJYB9M</t>
  </si>
  <si>
    <t>HDJYB1Y</t>
  </si>
  <si>
    <t>HDJYB2Y</t>
  </si>
  <si>
    <t>HDJYBX1D</t>
  </si>
  <si>
    <t>HDJYBX1W</t>
  </si>
  <si>
    <t>HDJYBX2W</t>
  </si>
  <si>
    <t>HDJYBX1M</t>
  </si>
  <si>
    <t>HDJYBX2M</t>
  </si>
  <si>
    <t>HDJYBX3M</t>
  </si>
  <si>
    <t>HDJYBX6M</t>
  </si>
  <si>
    <t>HDJYBX9M</t>
  </si>
  <si>
    <t>HDJYBX1Y</t>
  </si>
  <si>
    <t>HDJYBX2Y</t>
  </si>
  <si>
    <t>ADJYV1D</t>
  </si>
  <si>
    <t>ADJYV1W</t>
  </si>
  <si>
    <t>ADJYV2W</t>
  </si>
  <si>
    <t>ADJYV1M</t>
  </si>
  <si>
    <t>ADJYV2M</t>
  </si>
  <si>
    <t>ADJYV3M</t>
  </si>
  <si>
    <t>ADJYV6M</t>
  </si>
  <si>
    <t>ADJYV9M</t>
  </si>
  <si>
    <t>ADJYV1Y</t>
  </si>
  <si>
    <t>ADJYV2Y</t>
  </si>
  <si>
    <t>ADJYRR1D</t>
  </si>
  <si>
    <t>ADJYRR1W</t>
  </si>
  <si>
    <t>ADJYRR2W</t>
  </si>
  <si>
    <t>ADJYVRR</t>
  </si>
  <si>
    <t>ADJYRR2M</t>
  </si>
  <si>
    <t>ADJYRR3M</t>
  </si>
  <si>
    <t>ADJYRR6M</t>
  </si>
  <si>
    <t>ADJYRR9M</t>
  </si>
  <si>
    <t>ADJYRR1Y</t>
  </si>
  <si>
    <t>ADJYRR2Y</t>
  </si>
  <si>
    <t>ADJYRX1D</t>
  </si>
  <si>
    <t>ADJYRX1W</t>
  </si>
  <si>
    <t>ADJYRX2W</t>
  </si>
  <si>
    <t>ADJYRX1M</t>
  </si>
  <si>
    <t>ADJYRX2M</t>
  </si>
  <si>
    <t>ADJYRX3M</t>
  </si>
  <si>
    <t>ADJYRX6M</t>
  </si>
  <si>
    <t>ADJYRX9M</t>
  </si>
  <si>
    <t>ADJYRX1Y</t>
  </si>
  <si>
    <t>ADJYRX2Y</t>
  </si>
  <si>
    <t>ADJYB1D</t>
  </si>
  <si>
    <t>ADJYB1W</t>
  </si>
  <si>
    <t>ADJYB2W</t>
  </si>
  <si>
    <t>ADJYB1M</t>
  </si>
  <si>
    <t>ADJYB2M</t>
  </si>
  <si>
    <t>ADJYB3M</t>
  </si>
  <si>
    <t>ADJYB6M</t>
  </si>
  <si>
    <t>ADJYB9M</t>
  </si>
  <si>
    <t>ADJYB1Y</t>
  </si>
  <si>
    <t>ADJYB2Y</t>
  </si>
  <si>
    <t>ADJYBX1D</t>
  </si>
  <si>
    <t>ADJYBX1W</t>
  </si>
  <si>
    <t>ADJYBX2W</t>
  </si>
  <si>
    <t>ADJYBX1M</t>
  </si>
  <si>
    <t>ADJYBX2M</t>
  </si>
  <si>
    <t>ADJYBX3M</t>
  </si>
  <si>
    <t>ADJYBX6M</t>
  </si>
  <si>
    <t>ADJYBX9M</t>
  </si>
  <si>
    <t>ADJYBX1Y</t>
  </si>
  <si>
    <t>ADJYBX2Y</t>
  </si>
  <si>
    <t>NDJYV1D</t>
  </si>
  <si>
    <t>NDJYV1W</t>
  </si>
  <si>
    <t>NDJYV2W</t>
  </si>
  <si>
    <t>NDJYV1M</t>
  </si>
  <si>
    <t>NDJYV2M</t>
  </si>
  <si>
    <t>NDJYV3M</t>
  </si>
  <si>
    <t>NDJYV6M</t>
  </si>
  <si>
    <t>NDJYV9M</t>
  </si>
  <si>
    <t>NDJYV1Y</t>
  </si>
  <si>
    <t>NDJYV2Y</t>
  </si>
  <si>
    <t>NDJYRR1D</t>
  </si>
  <si>
    <t>NDJYRR1W</t>
  </si>
  <si>
    <t>NDJYRR2W</t>
  </si>
  <si>
    <t>NDJYVRR</t>
  </si>
  <si>
    <t>NDJYRR2M</t>
  </si>
  <si>
    <t>NDJYRR3M</t>
  </si>
  <si>
    <t>NDJYRR6M</t>
  </si>
  <si>
    <t>NDJYRR9M</t>
  </si>
  <si>
    <t>NDJYRR1Y</t>
  </si>
  <si>
    <t>NDJYRR2Y</t>
  </si>
  <si>
    <t>NDJYRX1D</t>
  </si>
  <si>
    <t>NDJYRX1W</t>
  </si>
  <si>
    <t>NDJYRX2W</t>
  </si>
  <si>
    <t>NDJYRX1M</t>
  </si>
  <si>
    <t>NDJYRX2M</t>
  </si>
  <si>
    <t>NDJYRX3M</t>
  </si>
  <si>
    <t>NDJYRX6M</t>
  </si>
  <si>
    <t>NDJYRX9M</t>
  </si>
  <si>
    <t>NDJYRX1Y</t>
  </si>
  <si>
    <t>NDJYRX2Y</t>
  </si>
  <si>
    <t>NDJYB1D</t>
  </si>
  <si>
    <t>NDJYB1W</t>
  </si>
  <si>
    <t>NDJYB2W</t>
  </si>
  <si>
    <t>NDJYB1M</t>
  </si>
  <si>
    <t>NDJYB2M</t>
  </si>
  <si>
    <t>NDJYB3M</t>
  </si>
  <si>
    <t>NDJYB6M</t>
  </si>
  <si>
    <t>NDJYB9M</t>
  </si>
  <si>
    <t>NDJYB1Y</t>
  </si>
  <si>
    <t>NDJYB2Y</t>
  </si>
  <si>
    <t>NDJYBX1D</t>
  </si>
  <si>
    <t>NDJYBX1W</t>
  </si>
  <si>
    <t>NDJYBX2W</t>
  </si>
  <si>
    <t>NDJYBX1M</t>
  </si>
  <si>
    <t>NDJYBX2M</t>
  </si>
  <si>
    <t>NDJYBX3M</t>
  </si>
  <si>
    <t>NDJYBX6M</t>
  </si>
  <si>
    <t>NDJYBX9M</t>
  </si>
  <si>
    <t>NDJYBX1Y</t>
  </si>
  <si>
    <t>NDJYBX2Y</t>
  </si>
  <si>
    <t>EUJYV1D</t>
  </si>
  <si>
    <t>EUJYV1W</t>
  </si>
  <si>
    <t>EUJYV2W</t>
  </si>
  <si>
    <t>EUJYV1M</t>
  </si>
  <si>
    <t>EUJYV2M</t>
  </si>
  <si>
    <t>EUJYV3M</t>
  </si>
  <si>
    <t>EUJYV6M</t>
  </si>
  <si>
    <t>EUJYV9M</t>
  </si>
  <si>
    <t>EUJYV1Y</t>
  </si>
  <si>
    <t>EUJYV2Y</t>
  </si>
  <si>
    <t>EUJYRR1D</t>
  </si>
  <si>
    <t>EUJYRR1W</t>
  </si>
  <si>
    <t>EUJYRR2W</t>
  </si>
  <si>
    <t>EUJYVRR</t>
  </si>
  <si>
    <t>EUJYRR2M</t>
  </si>
  <si>
    <t>EUJYRR3M</t>
  </si>
  <si>
    <t>EUJYRR6M</t>
  </si>
  <si>
    <t>EUJYRR9M</t>
  </si>
  <si>
    <t>EUJYRR1Y</t>
  </si>
  <si>
    <t>EUJYRR2Y</t>
  </si>
  <si>
    <t>EUJYRX1D</t>
  </si>
  <si>
    <t>EUJYRX1W</t>
  </si>
  <si>
    <t>EUJYRX2W</t>
  </si>
  <si>
    <t>EUJYRX1M</t>
  </si>
  <si>
    <t>EUJYRX2M</t>
  </si>
  <si>
    <t>EUJYRX3M</t>
  </si>
  <si>
    <t>EUJYRX6M</t>
  </si>
  <si>
    <t>EUJYRX9M</t>
  </si>
  <si>
    <t>EUJYRX1Y</t>
  </si>
  <si>
    <t>EUJYRX2Y</t>
  </si>
  <si>
    <t>EUJYB1D</t>
  </si>
  <si>
    <t>EUJYB1W</t>
  </si>
  <si>
    <t>EUJYB2W</t>
  </si>
  <si>
    <t>EUJYB1M</t>
  </si>
  <si>
    <t>EUJYB2M</t>
  </si>
  <si>
    <t>EUJYB3M</t>
  </si>
  <si>
    <t>EUJYB6M</t>
  </si>
  <si>
    <t>EUJYB9M</t>
  </si>
  <si>
    <t>EUJYB1Y</t>
  </si>
  <si>
    <t>EUJYB2Y</t>
  </si>
  <si>
    <t>EUJYBX1D</t>
  </si>
  <si>
    <t>EUJYBX1W</t>
  </si>
  <si>
    <t>EUJYBX2W</t>
  </si>
  <si>
    <t>EUJYBX1M</t>
  </si>
  <si>
    <t>EUJYBX2M</t>
  </si>
  <si>
    <t>EUJYBX3M</t>
  </si>
  <si>
    <t>EUJYBX6M</t>
  </si>
  <si>
    <t>EUJYBX9M</t>
  </si>
  <si>
    <t>EUJYBX1Y</t>
  </si>
  <si>
    <t>EUJYBX2Y</t>
  </si>
  <si>
    <t>BPJYV1D</t>
  </si>
  <si>
    <t>BPJYV1W</t>
  </si>
  <si>
    <t>BPJYV2W</t>
  </si>
  <si>
    <t>BPJYV1M</t>
  </si>
  <si>
    <t>BPJYV2M</t>
  </si>
  <si>
    <t>BPJYV3M</t>
  </si>
  <si>
    <t>BPJYV6M</t>
  </si>
  <si>
    <t>BPJYV9M</t>
  </si>
  <si>
    <t>BPJYV1Y</t>
  </si>
  <si>
    <t>BPJYV2Y</t>
  </si>
  <si>
    <t>BPJYRR1D</t>
  </si>
  <si>
    <t>BPJYRR1W</t>
  </si>
  <si>
    <t>BPJYRR2W</t>
  </si>
  <si>
    <t>BPJYVRR</t>
  </si>
  <si>
    <t>BPJYRR2M</t>
  </si>
  <si>
    <t>BPJYRR3M</t>
  </si>
  <si>
    <t>BPJYRR6M</t>
  </si>
  <si>
    <t>BPJYRR9M</t>
  </si>
  <si>
    <t>BPJYRR1Y</t>
  </si>
  <si>
    <t>BPJYRR2Y</t>
  </si>
  <si>
    <t>BPJYRX1D</t>
  </si>
  <si>
    <t>BPJYRX1W</t>
  </si>
  <si>
    <t>BPJYRX2W</t>
  </si>
  <si>
    <t>BPJYRX1M</t>
  </si>
  <si>
    <t>BPJYRX2M</t>
  </si>
  <si>
    <t>BPJYRX3M</t>
  </si>
  <si>
    <t>BPJYRX6M</t>
  </si>
  <si>
    <t>BPJYRX9M</t>
  </si>
  <si>
    <t>BPJYRX1Y</t>
  </si>
  <si>
    <t>BPJYRX2Y</t>
  </si>
  <si>
    <t>BPJYB1D</t>
  </si>
  <si>
    <t>BPJYB1W</t>
  </si>
  <si>
    <t>BPJYB2W</t>
  </si>
  <si>
    <t>BPJYB1M</t>
  </si>
  <si>
    <t>BPJYB2M</t>
  </si>
  <si>
    <t>BPJYB3M</t>
  </si>
  <si>
    <t>BPJYB6M</t>
  </si>
  <si>
    <t>BPJYB9M</t>
  </si>
  <si>
    <t>BPJYB1Y</t>
  </si>
  <si>
    <t>BPJYB2Y</t>
  </si>
  <si>
    <t>BPJYBX1D</t>
  </si>
  <si>
    <t>BPJYBX1W</t>
  </si>
  <si>
    <t>BPJYBX2W</t>
  </si>
  <si>
    <t>BPJYBX1M</t>
  </si>
  <si>
    <t>BPJYBX2M</t>
  </si>
  <si>
    <t>BPJYBX3M</t>
  </si>
  <si>
    <t>BPJYBX6M</t>
  </si>
  <si>
    <t>BPJYBX9M</t>
  </si>
  <si>
    <t>BPJYBX1Y</t>
  </si>
  <si>
    <t>BPJYBX2Y</t>
  </si>
  <si>
    <t>3Y</t>
  </si>
  <si>
    <t>ADUSV3Y</t>
  </si>
  <si>
    <t>ADUSRR3Y</t>
  </si>
  <si>
    <t>ADUSRX3Y</t>
  </si>
  <si>
    <t>ADUSB3Y</t>
  </si>
  <si>
    <t>ADUSBX3Y</t>
  </si>
  <si>
    <t>USCDV3Y</t>
  </si>
  <si>
    <t>USCDRR3Y</t>
  </si>
  <si>
    <t>USCDRX3Y</t>
  </si>
  <si>
    <t>USCDB3Y</t>
  </si>
  <si>
    <t>USCDBX3Y</t>
  </si>
  <si>
    <t>EUUSV3Y</t>
  </si>
  <si>
    <t>EUUSRR3Y</t>
  </si>
  <si>
    <t>EUUSRX3Y</t>
  </si>
  <si>
    <t>EUUSB3Y</t>
  </si>
  <si>
    <t>EUUSBX3Y</t>
  </si>
  <si>
    <t>BPUSV3Y</t>
  </si>
  <si>
    <t>BPUSRR3Y</t>
  </si>
  <si>
    <t>BPUSRX3Y</t>
  </si>
  <si>
    <t>BPUSB3Y</t>
  </si>
  <si>
    <t>BPUSBX3Y</t>
  </si>
  <si>
    <t>USJYV3Y</t>
  </si>
  <si>
    <t>USJYRR3Y</t>
  </si>
  <si>
    <t>USJYRX3Y</t>
  </si>
  <si>
    <t>USJYB3Y</t>
  </si>
  <si>
    <t>USJYBX3Y</t>
  </si>
  <si>
    <t>NDUSV3Y</t>
  </si>
  <si>
    <t>NDUSRR3Y</t>
  </si>
  <si>
    <t>NDUSRX3Y</t>
  </si>
  <si>
    <t>NDUSB3Y</t>
  </si>
  <si>
    <t>NDUSBX3Y</t>
  </si>
  <si>
    <t>ADHDV3Y</t>
  </si>
  <si>
    <t>ADHDRR3Y</t>
  </si>
  <si>
    <t>ADHDRX3Y</t>
  </si>
  <si>
    <t>ADHDB3Y</t>
  </si>
  <si>
    <t>ADHDBX3Y</t>
  </si>
  <si>
    <t>EUHDV3Y</t>
  </si>
  <si>
    <t>EUHDRR3Y</t>
  </si>
  <si>
    <t>EUHDRX3Y</t>
  </si>
  <si>
    <t>EUHDB3Y</t>
  </si>
  <si>
    <t>EUHDBX3Y</t>
  </si>
  <si>
    <t>BPHDV3Y</t>
  </si>
  <si>
    <t>BPHDRR3Y</t>
  </si>
  <si>
    <t>BPHDRX3Y</t>
  </si>
  <si>
    <t>BPHDB3Y</t>
  </si>
  <si>
    <t>BPHDBX3Y</t>
  </si>
  <si>
    <t>NDHDV3Y</t>
  </si>
  <si>
    <t>NDHDRR3Y</t>
  </si>
  <si>
    <t>NDHDRX3Y</t>
  </si>
  <si>
    <t>NDHDB3Y</t>
  </si>
  <si>
    <t>NDHDBX3Y</t>
  </si>
  <si>
    <t>CDHDV3Y</t>
  </si>
  <si>
    <t>CDHDRR3Y</t>
  </si>
  <si>
    <t>CDHDRX3Y</t>
  </si>
  <si>
    <t>CDHDB3Y</t>
  </si>
  <si>
    <t>CDHDBX3Y</t>
  </si>
  <si>
    <t>HDJYV3Y</t>
  </si>
  <si>
    <t>HDJYRR3Y</t>
  </si>
  <si>
    <t>HDJYRX3Y</t>
  </si>
  <si>
    <t>HDJYB3Y</t>
  </si>
  <si>
    <t>HDJYBX3Y</t>
  </si>
  <si>
    <t>CHFJPY</t>
    <phoneticPr fontId="14" type="noConversion"/>
  </si>
  <si>
    <t>AUDCAD</t>
    <phoneticPr fontId="4" type="noConversion"/>
  </si>
  <si>
    <t>AUDNZD</t>
    <phoneticPr fontId="4" type="noConversion"/>
  </si>
  <si>
    <t>EURCAD</t>
    <phoneticPr fontId="4" type="noConversion"/>
  </si>
  <si>
    <t>EURGBP</t>
    <phoneticPr fontId="4" type="noConversion"/>
  </si>
  <si>
    <t>EURAUD</t>
    <phoneticPr fontId="4" type="noConversion"/>
  </si>
  <si>
    <t>EURNZD</t>
    <phoneticPr fontId="4" type="noConversion"/>
  </si>
  <si>
    <t>GBPAUD</t>
    <phoneticPr fontId="4" type="noConversion"/>
  </si>
  <si>
    <t>GBPNZD</t>
    <phoneticPr fontId="4" type="noConversion"/>
  </si>
  <si>
    <t>NZDCAD</t>
    <phoneticPr fontId="4" type="noConversion"/>
  </si>
  <si>
    <t>ADJYV3Y</t>
  </si>
  <si>
    <t>ADJYRR3Y</t>
  </si>
  <si>
    <t>ADJYRX3Y</t>
  </si>
  <si>
    <t>ADJYB3Y</t>
  </si>
  <si>
    <t>ADJYBX3Y</t>
  </si>
  <si>
    <t>EUJYV3Y</t>
  </si>
  <si>
    <t>EUJYRR3Y</t>
  </si>
  <si>
    <t>EUJYRX3Y</t>
  </si>
  <si>
    <t>EUJYB3Y</t>
  </si>
  <si>
    <t>EUJYBX3Y</t>
  </si>
  <si>
    <t>BPJYV3Y</t>
  </si>
  <si>
    <t>BPJYRR3Y</t>
  </si>
  <si>
    <t>BPJYRX3Y</t>
  </si>
  <si>
    <t>BPJYB3Y</t>
  </si>
  <si>
    <t>BPJYBX3Y</t>
  </si>
  <si>
    <t>NDJYV3Y</t>
  </si>
  <si>
    <t>NDJYRR3Y</t>
  </si>
  <si>
    <t>NDJYRX3Y</t>
  </si>
  <si>
    <t>NDJYB3Y</t>
  </si>
  <si>
    <t>NDJYBX3Y</t>
  </si>
  <si>
    <t>CHFJPY</t>
    <phoneticPr fontId="4" type="noConversion"/>
  </si>
  <si>
    <t>ADCDV1D</t>
  </si>
  <si>
    <t>ADCDV1W</t>
  </si>
  <si>
    <t>ADCDV2W</t>
  </si>
  <si>
    <t>ADCDV1M</t>
  </si>
  <si>
    <t>ADCDV2M</t>
  </si>
  <si>
    <t>ADCDV3M</t>
  </si>
  <si>
    <t>ADCDV6M</t>
  </si>
  <si>
    <t>ADCDV9M</t>
  </si>
  <si>
    <t>ADCDV1Y</t>
  </si>
  <si>
    <t>ADCDV2Y</t>
  </si>
  <si>
    <t>ADCDV3Y</t>
  </si>
  <si>
    <t>ADCDRR1D</t>
  </si>
  <si>
    <t>ADCDRR1W</t>
  </si>
  <si>
    <t>ADCDRR2W</t>
  </si>
  <si>
    <t>ADCDRR2M</t>
  </si>
  <si>
    <t>ADCDRR3M</t>
  </si>
  <si>
    <t>ADCDRR6M</t>
  </si>
  <si>
    <t>ADCDRR9M</t>
  </si>
  <si>
    <t>ADCDRR1Y</t>
  </si>
  <si>
    <t>ADCDRR2Y</t>
  </si>
  <si>
    <t>ADCDRR3Y</t>
  </si>
  <si>
    <t>ADCDVRR</t>
    <phoneticPr fontId="4" type="noConversion"/>
  </si>
  <si>
    <t>ADCDRX1D</t>
  </si>
  <si>
    <t>ADCDRX1W</t>
  </si>
  <si>
    <t>ADCDRX2W</t>
  </si>
  <si>
    <t>ADCDRX1M</t>
  </si>
  <si>
    <t>ADCDRX2M</t>
  </si>
  <si>
    <t>ADCDRX3M</t>
  </si>
  <si>
    <t>ADCDRX6M</t>
  </si>
  <si>
    <t>ADCDRX9M</t>
  </si>
  <si>
    <t>ADCDRX1Y</t>
  </si>
  <si>
    <t>ADCDRX2Y</t>
  </si>
  <si>
    <t>ADCDRX3Y</t>
  </si>
  <si>
    <t>ADCDB1D</t>
  </si>
  <si>
    <t>ADCDB1W</t>
  </si>
  <si>
    <t>ADCDB2W</t>
  </si>
  <si>
    <t>ADCDB1M</t>
  </si>
  <si>
    <t>ADCDB2M</t>
  </si>
  <si>
    <t>ADCDB3M</t>
  </si>
  <si>
    <t>ADCDB6M</t>
  </si>
  <si>
    <t>ADCDB9M</t>
  </si>
  <si>
    <t>ADCDB1Y</t>
  </si>
  <si>
    <t>ADCDB2Y</t>
  </si>
  <si>
    <t>ADCDB3Y</t>
  </si>
  <si>
    <t>ADCDBX1D</t>
  </si>
  <si>
    <t>ADCDBX1W</t>
  </si>
  <si>
    <t>ADCDBX2W</t>
  </si>
  <si>
    <t>ADCDBX1M</t>
  </si>
  <si>
    <t>ADCDBX2M</t>
  </si>
  <si>
    <t>ADCDBX3M</t>
  </si>
  <si>
    <t>ADCDBX6M</t>
  </si>
  <si>
    <t>ADCDBX9M</t>
  </si>
  <si>
    <t>ADCDBX1Y</t>
  </si>
  <si>
    <t>ADCDBX2Y</t>
  </si>
  <si>
    <t>ADCDBX3Y</t>
  </si>
  <si>
    <t>ADNDV1D</t>
  </si>
  <si>
    <t>ADNDV1W</t>
  </si>
  <si>
    <t>ADNDV2W</t>
  </si>
  <si>
    <t>ADNDV1M</t>
  </si>
  <si>
    <t>ADNDV2M</t>
  </si>
  <si>
    <t>ADNDV3M</t>
  </si>
  <si>
    <t>ADNDV6M</t>
  </si>
  <si>
    <t>ADNDV9M</t>
  </si>
  <si>
    <t>ADNDV1Y</t>
  </si>
  <si>
    <t>ADNDV2Y</t>
  </si>
  <si>
    <t>ADNDV3Y</t>
  </si>
  <si>
    <t>ADNDRR1D</t>
  </si>
  <si>
    <t>ADNDRR1W</t>
  </si>
  <si>
    <t>ADNDRR2W</t>
  </si>
  <si>
    <t>ADNDRR2M</t>
  </si>
  <si>
    <t>ADNDRR3M</t>
  </si>
  <si>
    <t>ADNDRR6M</t>
  </si>
  <si>
    <t>ADNDRR9M</t>
  </si>
  <si>
    <t>ADNDRR1Y</t>
  </si>
  <si>
    <t>ADNDRR2Y</t>
  </si>
  <si>
    <t>ADNDRR3Y</t>
  </si>
  <si>
    <t>ADNDVRR</t>
    <phoneticPr fontId="4" type="noConversion"/>
  </si>
  <si>
    <t>ADNDRX1D</t>
  </si>
  <si>
    <t>ADNDRX1W</t>
  </si>
  <si>
    <t>ADNDRX2W</t>
  </si>
  <si>
    <t>ADNDRX1M</t>
  </si>
  <si>
    <t>ADNDRX2M</t>
  </si>
  <si>
    <t>ADNDRX3M</t>
  </si>
  <si>
    <t>ADNDRX6M</t>
  </si>
  <si>
    <t>ADNDRX9M</t>
  </si>
  <si>
    <t>ADNDRX1Y</t>
  </si>
  <si>
    <t>ADNDRX2Y</t>
  </si>
  <si>
    <t>ADNDRX3Y</t>
  </si>
  <si>
    <t>ADNDB1D</t>
  </si>
  <si>
    <t>ADNDB1W</t>
  </si>
  <si>
    <t>ADNDB2W</t>
  </si>
  <si>
    <t>ADNDB1M</t>
  </si>
  <si>
    <t>ADNDB2M</t>
  </si>
  <si>
    <t>ADNDB3M</t>
  </si>
  <si>
    <t>ADNDB6M</t>
  </si>
  <si>
    <t>ADNDB9M</t>
  </si>
  <si>
    <t>ADNDB1Y</t>
  </si>
  <si>
    <t>ADNDB2Y</t>
  </si>
  <si>
    <t>ADNDB3Y</t>
  </si>
  <si>
    <t>ADNDBX1D</t>
  </si>
  <si>
    <t>ADNDBX1W</t>
  </si>
  <si>
    <t>ADNDBX2W</t>
  </si>
  <si>
    <t>ADNDBX1M</t>
  </si>
  <si>
    <t>ADNDBX2M</t>
  </si>
  <si>
    <t>ADNDBX3M</t>
  </si>
  <si>
    <t>ADNDBX6M</t>
  </si>
  <si>
    <t>ADNDBX9M</t>
  </si>
  <si>
    <t>ADNDBX1Y</t>
  </si>
  <si>
    <t>ADNDBX2Y</t>
  </si>
  <si>
    <t>ADNDBX3Y</t>
  </si>
  <si>
    <t>EUADV1D</t>
  </si>
  <si>
    <t>EUADV1W</t>
  </si>
  <si>
    <t>EUADV2W</t>
  </si>
  <si>
    <t>EUADV1M</t>
  </si>
  <si>
    <t>EUADV2M</t>
  </si>
  <si>
    <t>EUADV3M</t>
  </si>
  <si>
    <t>EUADV6M</t>
  </si>
  <si>
    <t>EUADV9M</t>
  </si>
  <si>
    <t>EUADV1Y</t>
  </si>
  <si>
    <t>EUADV2Y</t>
  </si>
  <si>
    <t>EUADV3Y</t>
  </si>
  <si>
    <t>EUADRR1D</t>
  </si>
  <si>
    <t>EUADRR1W</t>
  </si>
  <si>
    <t>EUADRR2W</t>
  </si>
  <si>
    <t>EUADRR2M</t>
  </si>
  <si>
    <t>EUADRR3M</t>
  </si>
  <si>
    <t>EUADRR6M</t>
  </si>
  <si>
    <t>EUADRR9M</t>
  </si>
  <si>
    <t>EUADRR1Y</t>
  </si>
  <si>
    <t>EUADRR2Y</t>
  </si>
  <si>
    <t>EUADRR3Y</t>
  </si>
  <si>
    <t>EUADVRR</t>
    <phoneticPr fontId="4" type="noConversion"/>
  </si>
  <si>
    <t>EUADRX1D</t>
  </si>
  <si>
    <t>EUADRX1W</t>
  </si>
  <si>
    <t>EUADRX2W</t>
  </si>
  <si>
    <t>EUADRX1M</t>
  </si>
  <si>
    <t>EUADRX2M</t>
  </si>
  <si>
    <t>EUADRX3M</t>
  </si>
  <si>
    <t>EUADRX6M</t>
  </si>
  <si>
    <t>EUADRX9M</t>
  </si>
  <si>
    <t>EUADRX1Y</t>
  </si>
  <si>
    <t>EUADRX2Y</t>
  </si>
  <si>
    <t>EUADRX3Y</t>
  </si>
  <si>
    <t>EUADB1D</t>
  </si>
  <si>
    <t>EUADB1W</t>
  </si>
  <si>
    <t>EUADB2W</t>
  </si>
  <si>
    <t>EUADB1M</t>
  </si>
  <si>
    <t>EUADB2M</t>
  </si>
  <si>
    <t>EUADB3M</t>
  </si>
  <si>
    <t>EUADB6M</t>
  </si>
  <si>
    <t>EUADB9M</t>
  </si>
  <si>
    <t>EUADB1Y</t>
  </si>
  <si>
    <t>EUADB2Y</t>
  </si>
  <si>
    <t>EUADB3Y</t>
  </si>
  <si>
    <t>EUADBX1D</t>
  </si>
  <si>
    <t>EUADBX1W</t>
  </si>
  <si>
    <t>EUADBX2W</t>
  </si>
  <si>
    <t>EUADBX1M</t>
  </si>
  <si>
    <t>EUADBX2M</t>
  </si>
  <si>
    <t>EUADBX3M</t>
  </si>
  <si>
    <t>EUADBX6M</t>
  </si>
  <si>
    <t>EUADBX9M</t>
  </si>
  <si>
    <t>EUADBX1Y</t>
  </si>
  <si>
    <t>EUADBX2Y</t>
  </si>
  <si>
    <t>EUADBX3Y</t>
  </si>
  <si>
    <t>EUCDV1D</t>
  </si>
  <si>
    <t>EUCDV1W</t>
  </si>
  <si>
    <t>EUCDV2W</t>
  </si>
  <si>
    <t>EUCDV1M</t>
  </si>
  <si>
    <t>EUCDV2M</t>
  </si>
  <si>
    <t>EUCDV3M</t>
  </si>
  <si>
    <t>EUCDV6M</t>
  </si>
  <si>
    <t>EUCDV9M</t>
  </si>
  <si>
    <t>EUCDV1Y</t>
  </si>
  <si>
    <t>EUCDV2Y</t>
  </si>
  <si>
    <t>EUCDV3Y</t>
  </si>
  <si>
    <t>EUCDRR1D</t>
  </si>
  <si>
    <t>EUCDRR1W</t>
  </si>
  <si>
    <t>EUCDRR2W</t>
  </si>
  <si>
    <t>EUCDRR2M</t>
  </si>
  <si>
    <t>EUCDRR3M</t>
  </si>
  <si>
    <t>EUCDRR6M</t>
  </si>
  <si>
    <t>EUCDRR9M</t>
  </si>
  <si>
    <t>EUCDRR1Y</t>
  </si>
  <si>
    <t>EUCDRR2Y</t>
  </si>
  <si>
    <t>EUCDRR3Y</t>
  </si>
  <si>
    <t>EUCDVRR</t>
    <phoneticPr fontId="4" type="noConversion"/>
  </si>
  <si>
    <t>EUCDRX1D</t>
  </si>
  <si>
    <t>EUCDRX1W</t>
  </si>
  <si>
    <t>EUCDRX2W</t>
  </si>
  <si>
    <t>EUCDRX1M</t>
  </si>
  <si>
    <t>EUCDRX2M</t>
  </si>
  <si>
    <t>EUCDRX3M</t>
  </si>
  <si>
    <t>EUCDRX6M</t>
  </si>
  <si>
    <t>EUCDRX9M</t>
  </si>
  <si>
    <t>EUCDRX1Y</t>
  </si>
  <si>
    <t>EUCDRX2Y</t>
  </si>
  <si>
    <t>EUCDRX3Y</t>
  </si>
  <si>
    <t>EUCDB1D</t>
  </si>
  <si>
    <t>EUCDB1W</t>
  </si>
  <si>
    <t>EUCDB2W</t>
  </si>
  <si>
    <t>EUCDB1M</t>
  </si>
  <si>
    <t>EUCDB2M</t>
  </si>
  <si>
    <t>EUCDB3M</t>
  </si>
  <si>
    <t>EUCDB6M</t>
  </si>
  <si>
    <t>EUCDB9M</t>
  </si>
  <si>
    <t>EUCDB1Y</t>
  </si>
  <si>
    <t>EUCDB2Y</t>
  </si>
  <si>
    <t>EUCDB3Y</t>
  </si>
  <si>
    <t>EUCDBX1D</t>
  </si>
  <si>
    <t>EUCDBX1W</t>
  </si>
  <si>
    <t>EUCDBX2W</t>
  </si>
  <si>
    <t>EUCDBX1M</t>
  </si>
  <si>
    <t>EUCDBX2M</t>
  </si>
  <si>
    <t>EUCDBX3M</t>
  </si>
  <si>
    <t>EUCDBX6M</t>
  </si>
  <si>
    <t>EUCDBX9M</t>
  </si>
  <si>
    <t>EUCDBX1Y</t>
  </si>
  <si>
    <t>EUCDBX2Y</t>
  </si>
  <si>
    <t>EUCDBX3Y</t>
  </si>
  <si>
    <t>EUBPV1D</t>
  </si>
  <si>
    <t>EUBPV1W</t>
  </si>
  <si>
    <t>EUBPV2W</t>
  </si>
  <si>
    <t>EUBPV1M</t>
  </si>
  <si>
    <t>EUBPV2M</t>
  </si>
  <si>
    <t>EUBPV3M</t>
  </si>
  <si>
    <t>EUBPV6M</t>
  </si>
  <si>
    <t>EUBPV9M</t>
  </si>
  <si>
    <t>EUBPV1Y</t>
  </si>
  <si>
    <t>EUBPV2Y</t>
  </si>
  <si>
    <t>EUBPV3Y</t>
  </si>
  <si>
    <t>EUBPRR1D</t>
  </si>
  <si>
    <t>EUBPRR1W</t>
  </si>
  <si>
    <t>EUBPRR2W</t>
  </si>
  <si>
    <t>EUBPRR2M</t>
  </si>
  <si>
    <t>EUBPRR3M</t>
  </si>
  <si>
    <t>EUBPRR6M</t>
  </si>
  <si>
    <t>EUBPRR9M</t>
  </si>
  <si>
    <t>EUBPRR1Y</t>
  </si>
  <si>
    <t>EUBPRR2Y</t>
  </si>
  <si>
    <t>EUBPRR3Y</t>
  </si>
  <si>
    <t>EUBPVRR</t>
    <phoneticPr fontId="4" type="noConversion"/>
  </si>
  <si>
    <t>EUBPRX1D</t>
  </si>
  <si>
    <t>EUBPRX1W</t>
  </si>
  <si>
    <t>EUBPRX2W</t>
  </si>
  <si>
    <t>EUBPRX1M</t>
  </si>
  <si>
    <t>EUBPRX2M</t>
  </si>
  <si>
    <t>EUBPRX3M</t>
  </si>
  <si>
    <t>EUBPRX6M</t>
  </si>
  <si>
    <t>EUBPRX9M</t>
  </si>
  <si>
    <t>EUBPRX1Y</t>
  </si>
  <si>
    <t>EUBPRX2Y</t>
  </si>
  <si>
    <t>EUBPRX3Y</t>
  </si>
  <si>
    <t>EUBPB1D</t>
  </si>
  <si>
    <t>EUBPB1W</t>
  </si>
  <si>
    <t>EUBPB2W</t>
  </si>
  <si>
    <t>EUBPB1M</t>
  </si>
  <si>
    <t>EUBPB2M</t>
  </si>
  <si>
    <t>EUBPB3M</t>
  </si>
  <si>
    <t>EUBPB6M</t>
  </si>
  <si>
    <t>EUBPB9M</t>
  </si>
  <si>
    <t>EUBPB1Y</t>
  </si>
  <si>
    <t>EUBPB2Y</t>
  </si>
  <si>
    <t>EUBPB3Y</t>
  </si>
  <si>
    <t>EUBPBX1D</t>
  </si>
  <si>
    <t>EUBPBX1W</t>
  </si>
  <si>
    <t>EUBPBX2W</t>
  </si>
  <si>
    <t>EUBPBX1M</t>
  </si>
  <si>
    <t>EUBPBX2M</t>
  </si>
  <si>
    <t>EUBPBX3M</t>
  </si>
  <si>
    <t>EUBPBX6M</t>
  </si>
  <si>
    <t>EUBPBX9M</t>
  </si>
  <si>
    <t>EUBPBX1Y</t>
  </si>
  <si>
    <t>EUBPBX2Y</t>
  </si>
  <si>
    <t>EUBPBX3Y</t>
  </si>
  <si>
    <t>EUNDV1D</t>
  </si>
  <si>
    <t>EUNDV1W</t>
  </si>
  <si>
    <t>EUNDV2W</t>
  </si>
  <si>
    <t>EUNDV1M</t>
  </si>
  <si>
    <t>EUNDV2M</t>
  </si>
  <si>
    <t>EUNDV3M</t>
  </si>
  <si>
    <t>EUNDV6M</t>
  </si>
  <si>
    <t>EUNDV9M</t>
  </si>
  <si>
    <t>EUNDV1Y</t>
  </si>
  <si>
    <t>EUNDV2Y</t>
  </si>
  <si>
    <t>EUNDV3Y</t>
  </si>
  <si>
    <t>EUNDRR1D</t>
  </si>
  <si>
    <t>EUNDRR1W</t>
  </si>
  <si>
    <t>EUNDRR2W</t>
  </si>
  <si>
    <t>EUNDRR2M</t>
  </si>
  <si>
    <t>EUNDRR3M</t>
  </si>
  <si>
    <t>EUNDRR6M</t>
  </si>
  <si>
    <t>EUNDRR9M</t>
  </si>
  <si>
    <t>EUNDRR1Y</t>
  </si>
  <si>
    <t>EUNDRR2Y</t>
  </si>
  <si>
    <t>EUNDRR3Y</t>
  </si>
  <si>
    <t>EUNDVRR</t>
    <phoneticPr fontId="4" type="noConversion"/>
  </si>
  <si>
    <t>EUNDRX1D</t>
  </si>
  <si>
    <t>EUNDRX1W</t>
  </si>
  <si>
    <t>EUNDRX2W</t>
  </si>
  <si>
    <t>EUNDRX1M</t>
  </si>
  <si>
    <t>EUNDRX2M</t>
  </si>
  <si>
    <t>EUNDRX3M</t>
  </si>
  <si>
    <t>EUNDRX6M</t>
  </si>
  <si>
    <t>EUNDRX9M</t>
  </si>
  <si>
    <t>EUNDRX1Y</t>
  </si>
  <si>
    <t>EUNDRX2Y</t>
  </si>
  <si>
    <t>EUNDRX3Y</t>
  </si>
  <si>
    <t>EUNDB1D</t>
  </si>
  <si>
    <t>EUNDB1W</t>
  </si>
  <si>
    <t>EUNDB2W</t>
  </si>
  <si>
    <t>EUNDB1M</t>
  </si>
  <si>
    <t>EUNDB2M</t>
  </si>
  <si>
    <t>EUNDB3M</t>
  </si>
  <si>
    <t>EUNDB6M</t>
  </si>
  <si>
    <t>EUNDB9M</t>
  </si>
  <si>
    <t>EUNDB1Y</t>
  </si>
  <si>
    <t>EUNDB2Y</t>
  </si>
  <si>
    <t>EUNDB3Y</t>
  </si>
  <si>
    <t>EUNDBX1D</t>
  </si>
  <si>
    <t>EUNDBX1W</t>
  </si>
  <si>
    <t>EUNDBX2W</t>
  </si>
  <si>
    <t>EUNDBX1M</t>
  </si>
  <si>
    <t>EUNDBX2M</t>
  </si>
  <si>
    <t>EUNDBX3M</t>
  </si>
  <si>
    <t>EUNDBX6M</t>
  </si>
  <si>
    <t>EUNDBX9M</t>
  </si>
  <si>
    <t>EUNDBX1Y</t>
  </si>
  <si>
    <t>EUNDBX2Y</t>
  </si>
  <si>
    <t>EUNDBX3Y</t>
  </si>
  <si>
    <t>BPADV1D</t>
  </si>
  <si>
    <t>BPADV1W</t>
  </si>
  <si>
    <t>BPADV2W</t>
  </si>
  <si>
    <t>BPADV1M</t>
  </si>
  <si>
    <t>BPADV2M</t>
  </si>
  <si>
    <t>BPADV3M</t>
  </si>
  <si>
    <t>BPADV6M</t>
  </si>
  <si>
    <t>BPADV9M</t>
  </si>
  <si>
    <t>BPADV1Y</t>
  </si>
  <si>
    <t>BPADV2Y</t>
  </si>
  <si>
    <t>BPADV3Y</t>
  </si>
  <si>
    <t>BPADRR1D</t>
  </si>
  <si>
    <t>BPADRR1W</t>
  </si>
  <si>
    <t>BPADRR2W</t>
  </si>
  <si>
    <t>BPADRR2M</t>
  </si>
  <si>
    <t>BPADRR3M</t>
  </si>
  <si>
    <t>BPADRR6M</t>
  </si>
  <si>
    <t>BPADRR9M</t>
  </si>
  <si>
    <t>BPADRR1Y</t>
  </si>
  <si>
    <t>BPADRR2Y</t>
  </si>
  <si>
    <t>BPADRR3Y</t>
  </si>
  <si>
    <t>BPADVRR</t>
    <phoneticPr fontId="4" type="noConversion"/>
  </si>
  <si>
    <t>BPADRX1D</t>
  </si>
  <si>
    <t>BPADRX1W</t>
  </si>
  <si>
    <t>BPADRX2W</t>
  </si>
  <si>
    <t>BPADRX1M</t>
  </si>
  <si>
    <t>BPADRX2M</t>
  </si>
  <si>
    <t>BPADRX3M</t>
  </si>
  <si>
    <t>BPADRX6M</t>
  </si>
  <si>
    <t>BPADRX9M</t>
  </si>
  <si>
    <t>BPADRX1Y</t>
  </si>
  <si>
    <t>BPADRX2Y</t>
  </si>
  <si>
    <t>BPADRX3Y</t>
  </si>
  <si>
    <t>BPADB1D</t>
  </si>
  <si>
    <t>BPADB1W</t>
  </si>
  <si>
    <t>BPADB2W</t>
  </si>
  <si>
    <t>BPADB1M</t>
  </si>
  <si>
    <t>BPADB2M</t>
  </si>
  <si>
    <t>BPADB3M</t>
  </si>
  <si>
    <t>BPADB6M</t>
  </si>
  <si>
    <t>BPADB9M</t>
  </si>
  <si>
    <t>BPADB1Y</t>
  </si>
  <si>
    <t>BPADB2Y</t>
  </si>
  <si>
    <t>BPADB3Y</t>
  </si>
  <si>
    <t>BPADBX1D</t>
  </si>
  <si>
    <t>BPADBX1W</t>
  </si>
  <si>
    <t>BPADBX2W</t>
  </si>
  <si>
    <t>BPADBX1M</t>
  </si>
  <si>
    <t>BPADBX2M</t>
  </si>
  <si>
    <t>BPADBX3M</t>
  </si>
  <si>
    <t>BPADBX6M</t>
  </si>
  <si>
    <t>BPADBX9M</t>
  </si>
  <si>
    <t>BPADBX1Y</t>
  </si>
  <si>
    <t>BPADBX2Y</t>
  </si>
  <si>
    <t>BPADBX3Y</t>
  </si>
  <si>
    <t>BPNDV1D</t>
  </si>
  <si>
    <t>BPNDV1W</t>
  </si>
  <si>
    <t>BPNDV2W</t>
  </si>
  <si>
    <t>BPNDV1M</t>
  </si>
  <si>
    <t>BPNDV2M</t>
  </si>
  <si>
    <t>BPNDV3M</t>
  </si>
  <si>
    <t>BPNDV6M</t>
  </si>
  <si>
    <t>BPNDV9M</t>
  </si>
  <si>
    <t>BPNDV1Y</t>
  </si>
  <si>
    <t>BPNDV2Y</t>
  </si>
  <si>
    <t>BPNDV3Y</t>
  </si>
  <si>
    <t>BPNDRR1D</t>
  </si>
  <si>
    <t>BPNDRR1W</t>
  </si>
  <si>
    <t>BPNDRR2W</t>
  </si>
  <si>
    <t>BPNDVRR</t>
  </si>
  <si>
    <t>BPNDRR2M</t>
  </si>
  <si>
    <t>BPNDRR3M</t>
  </si>
  <si>
    <t>BPNDRR6M</t>
  </si>
  <si>
    <t>BPNDRR9M</t>
  </si>
  <si>
    <t>BPNDRR1Y</t>
  </si>
  <si>
    <t>BPNDRR2Y</t>
  </si>
  <si>
    <t>BPNDRR3Y</t>
  </si>
  <si>
    <t>BPNDRX1D</t>
  </si>
  <si>
    <t>BPNDRX1W</t>
  </si>
  <si>
    <t>BPNDRX2W</t>
  </si>
  <si>
    <t>BPNDRX1M</t>
  </si>
  <si>
    <t>BPNDRX2M</t>
  </si>
  <si>
    <t>BPNDRX3M</t>
  </si>
  <si>
    <t>BPNDRX6M</t>
  </si>
  <si>
    <t>BPNDRX9M</t>
  </si>
  <si>
    <t>BPNDRX1Y</t>
  </si>
  <si>
    <t>BPNDRX2Y</t>
  </si>
  <si>
    <t>BPNDRX3Y</t>
  </si>
  <si>
    <t>BPNDB1D</t>
  </si>
  <si>
    <t>BPNDB1W</t>
  </si>
  <si>
    <t>BPNDB2W</t>
  </si>
  <si>
    <t>BPNDB1M</t>
  </si>
  <si>
    <t>BPNDB2M</t>
  </si>
  <si>
    <t>BPNDB3M</t>
  </si>
  <si>
    <t>BPNDB6M</t>
  </si>
  <si>
    <t>BPNDB9M</t>
  </si>
  <si>
    <t>BPNDB1Y</t>
  </si>
  <si>
    <t>BPNDB2Y</t>
  </si>
  <si>
    <t>BPNDB3Y</t>
  </si>
  <si>
    <t>BPNDBX1D</t>
  </si>
  <si>
    <t>BPNDBX1W</t>
  </si>
  <si>
    <t>BPNDBX2W</t>
  </si>
  <si>
    <t>BPNDBX1M</t>
  </si>
  <si>
    <t>BPNDBX2M</t>
  </si>
  <si>
    <t>BPNDBX3M</t>
  </si>
  <si>
    <t>BPNDBX6M</t>
  </si>
  <si>
    <t>BPNDBX9M</t>
  </si>
  <si>
    <t>BPNDBX1Y</t>
  </si>
  <si>
    <t>BPNDBX2Y</t>
  </si>
  <si>
    <t>BPNDBX3Y</t>
  </si>
  <si>
    <t>NDCDV1D</t>
  </si>
  <si>
    <t>NDCDV1W</t>
  </si>
  <si>
    <t>NDCDV2W</t>
  </si>
  <si>
    <t>NDCDV1M</t>
  </si>
  <si>
    <t>NDCDV2M</t>
  </si>
  <si>
    <t>NDCDV3M</t>
  </si>
  <si>
    <t>NDCDV6M</t>
  </si>
  <si>
    <t>NDCDV9M</t>
  </si>
  <si>
    <t>NDCDV1Y</t>
  </si>
  <si>
    <t>NDCDV2Y</t>
  </si>
  <si>
    <t>NDCDV3Y</t>
  </si>
  <si>
    <t>NDCDRR1D</t>
  </si>
  <si>
    <t>NDCDRR1W</t>
  </si>
  <si>
    <t>NDCDRR2W</t>
  </si>
  <si>
    <t>NDCDVRR</t>
  </si>
  <si>
    <t>NDCDRR2M</t>
  </si>
  <si>
    <t>NDCDRR3M</t>
  </si>
  <si>
    <t>NDCDRR6M</t>
  </si>
  <si>
    <t>NDCDRR9M</t>
  </si>
  <si>
    <t>NDCDRR1Y</t>
  </si>
  <si>
    <t>NDCDRR2Y</t>
  </si>
  <si>
    <t>NDCDRR3Y</t>
  </si>
  <si>
    <t>NDCDRX1D</t>
  </si>
  <si>
    <t>NDCDRX1W</t>
  </si>
  <si>
    <t>NDCDRX2W</t>
  </si>
  <si>
    <t>NDCDRX1M</t>
  </si>
  <si>
    <t>NDCDRX2M</t>
  </si>
  <si>
    <t>NDCDRX3M</t>
  </si>
  <si>
    <t>NDCDRX6M</t>
  </si>
  <si>
    <t>NDCDRX9M</t>
  </si>
  <si>
    <t>NDCDRX1Y</t>
  </si>
  <si>
    <t>NDCDRX2Y</t>
  </si>
  <si>
    <t>NDCDRX3Y</t>
  </si>
  <si>
    <t>NDCDB1D</t>
  </si>
  <si>
    <t>NDCDB1W</t>
  </si>
  <si>
    <t>NDCDB2W</t>
  </si>
  <si>
    <t>NDCDB1M</t>
  </si>
  <si>
    <t>NDCDB2M</t>
  </si>
  <si>
    <t>NDCDB3M</t>
  </si>
  <si>
    <t>NDCDB6M</t>
  </si>
  <si>
    <t>NDCDB9M</t>
  </si>
  <si>
    <t>NDCDB1Y</t>
  </si>
  <si>
    <t>NDCDB2Y</t>
  </si>
  <si>
    <t>NDCDB3Y</t>
  </si>
  <si>
    <t>NDCDBX1D</t>
  </si>
  <si>
    <t>NDCDBX1W</t>
  </si>
  <si>
    <t>NDCDBX2W</t>
  </si>
  <si>
    <t>NDCDBX1M</t>
  </si>
  <si>
    <t>NDCDBX2M</t>
  </si>
  <si>
    <t>NDCDBX3M</t>
  </si>
  <si>
    <t>NDCDBX6M</t>
  </si>
  <si>
    <t>NDCDBX9M</t>
  </si>
  <si>
    <t>NDCDBX1Y</t>
  </si>
  <si>
    <t>NDCDBX2Y</t>
  </si>
  <si>
    <t>NDCDBX3Y</t>
  </si>
  <si>
    <t>XUUSBX1Y</t>
  </si>
  <si>
    <t>XUUSB1Y</t>
  </si>
  <si>
    <t>XUUSRX1Y</t>
  </si>
  <si>
    <t>XUUSRR1Y</t>
  </si>
  <si>
    <t>XUUSV1Y</t>
  </si>
  <si>
    <t>XUUSBX9M</t>
  </si>
  <si>
    <t>XUUSB9M</t>
  </si>
  <si>
    <t>XUUSRX9M</t>
  </si>
  <si>
    <t>XUUSRR9M</t>
  </si>
  <si>
    <t>XUUSV9M</t>
  </si>
  <si>
    <t>XUUSBX6M</t>
  </si>
  <si>
    <t>XUUSB6M</t>
  </si>
  <si>
    <t>XUUSRX6M</t>
  </si>
  <si>
    <t>XUUSRR6M</t>
  </si>
  <si>
    <t>XUUSV6M</t>
  </si>
  <si>
    <t>XUUSBX3M</t>
  </si>
  <si>
    <t>XUUSB3M</t>
  </si>
  <si>
    <t>XUUSRX3M</t>
  </si>
  <si>
    <t>XUUSRR3M</t>
  </si>
  <si>
    <t>XUUSV3M</t>
  </si>
  <si>
    <t>XUUSBX2M</t>
  </si>
  <si>
    <t>XUUSB2M</t>
  </si>
  <si>
    <t>XUUSRX2M</t>
  </si>
  <si>
    <t>XUUSRR2M</t>
  </si>
  <si>
    <t>XUUSV2M</t>
  </si>
  <si>
    <t>XUUSBX1M</t>
  </si>
  <si>
    <t>XUUSB1M</t>
  </si>
  <si>
    <t>XUUSRX1M</t>
  </si>
  <si>
    <t>XUUSVRR</t>
    <phoneticPr fontId="4" type="noConversion"/>
  </si>
  <si>
    <t>XUUSV1M</t>
  </si>
  <si>
    <t>XUUSBX2W</t>
  </si>
  <si>
    <t>XUUSB2W</t>
  </si>
  <si>
    <t>XUUSRX2W</t>
  </si>
  <si>
    <t>XUUSRR2W</t>
  </si>
  <si>
    <t>XUUSV2W</t>
  </si>
  <si>
    <t>XUUSBX1W</t>
  </si>
  <si>
    <t>XUUSB1W</t>
  </si>
  <si>
    <t>XUUSRX1W</t>
  </si>
  <si>
    <t>XUUSRR1W</t>
  </si>
  <si>
    <t>XUUSV1W</t>
  </si>
  <si>
    <t>XUUSBX1D</t>
  </si>
  <si>
    <t>XUUSB1D</t>
  </si>
  <si>
    <t>XUUSRX1D</t>
  </si>
  <si>
    <t>XUUSRR1D</t>
  </si>
  <si>
    <t>XUUSV1D</t>
  </si>
  <si>
    <t>Ask</t>
    <phoneticPr fontId="4" type="noConversion"/>
  </si>
  <si>
    <t>Bid</t>
    <phoneticPr fontId="4" type="noConversion"/>
  </si>
  <si>
    <t>XAUUSD</t>
    <phoneticPr fontId="4" type="noConversion"/>
  </si>
  <si>
    <t>Ask</t>
    <phoneticPr fontId="4" type="noConversion"/>
  </si>
  <si>
    <t>Bid</t>
    <phoneticPr fontId="4" type="noConversion"/>
  </si>
  <si>
    <t>HDCGBX3Y</t>
  </si>
  <si>
    <t>HDCGB3Y</t>
  </si>
  <si>
    <t>HDCGRX3Y</t>
  </si>
  <si>
    <t>HDCGRR3Y</t>
  </si>
  <si>
    <t>HDCGV3Y</t>
  </si>
  <si>
    <t>HDCGBX2Y</t>
  </si>
  <si>
    <t>HDCGB2Y</t>
  </si>
  <si>
    <t>HDCGRX2Y</t>
  </si>
  <si>
    <t>HDCGRR2Y</t>
  </si>
  <si>
    <t>HDCGV2Y</t>
  </si>
  <si>
    <t>HDCGBX1Y</t>
  </si>
  <si>
    <t>HDCGB1Y</t>
  </si>
  <si>
    <t>HDCGRX1Y</t>
  </si>
  <si>
    <t>HDCGRR1Y</t>
  </si>
  <si>
    <t>HDCGV1Y</t>
  </si>
  <si>
    <t>HDCGBX9M</t>
  </si>
  <si>
    <t>HDCGB9M</t>
  </si>
  <si>
    <t>HDCGRX9M</t>
  </si>
  <si>
    <t>HDCGRR9M</t>
  </si>
  <si>
    <t>HDCGV9M</t>
  </si>
  <si>
    <t>HDCGBX6M</t>
  </si>
  <si>
    <t>HDCGB6M</t>
  </si>
  <si>
    <t>HDCGRX6M</t>
  </si>
  <si>
    <t>HDCGRR6M</t>
  </si>
  <si>
    <t>HDCGV6M</t>
  </si>
  <si>
    <t>HDCGBX3M</t>
  </si>
  <si>
    <t>HDCGB3M</t>
  </si>
  <si>
    <t>HDCGRX3M</t>
  </si>
  <si>
    <t>HDCGRR3M</t>
  </si>
  <si>
    <t>HDCGV3M</t>
  </si>
  <si>
    <t>HDCGBX2M</t>
  </si>
  <si>
    <t>HDCGB2M</t>
  </si>
  <si>
    <t>HDCGRX2M</t>
  </si>
  <si>
    <t>HDCGRR2M</t>
  </si>
  <si>
    <t>HDCGV2M</t>
  </si>
  <si>
    <t>HDCGBX1M</t>
  </si>
  <si>
    <t>HDCGB1M</t>
  </si>
  <si>
    <t>HDCGRX1M</t>
  </si>
  <si>
    <t>HDCGVRR</t>
    <phoneticPr fontId="4" type="noConversion"/>
  </si>
  <si>
    <t>HDCGV1M</t>
  </si>
  <si>
    <t>HDCGBX2W</t>
  </si>
  <si>
    <t>HDCGB2W</t>
  </si>
  <si>
    <t>HDCGRX2W</t>
  </si>
  <si>
    <t>HDCGRR2W</t>
  </si>
  <si>
    <t>HDCGV2W</t>
  </si>
  <si>
    <t>HDCGBX1W</t>
  </si>
  <si>
    <t>HDCGB1W</t>
  </si>
  <si>
    <t>HDCGRX1W</t>
  </si>
  <si>
    <t>HDCGRR1W</t>
  </si>
  <si>
    <t>HDCGV1W</t>
  </si>
  <si>
    <t>HDCGBX1D</t>
  </si>
  <si>
    <t>HDCGB1D</t>
  </si>
  <si>
    <t>HDCGRX1D</t>
  </si>
  <si>
    <t>HDCGRR1D</t>
  </si>
  <si>
    <t>HDCGV1D</t>
  </si>
  <si>
    <t>HKDCNH</t>
    <phoneticPr fontId="4" type="noConversion"/>
  </si>
  <si>
    <t>USHDBX3Y</t>
  </si>
  <si>
    <t>USHDB3Y</t>
  </si>
  <si>
    <t>USHDRX3Y</t>
  </si>
  <si>
    <t>USHDRR3Y</t>
  </si>
  <si>
    <t>USHDV3Y</t>
  </si>
  <si>
    <t>USHDBX2Y</t>
  </si>
  <si>
    <t>USHDB2Y</t>
  </si>
  <si>
    <t>USHDRX2Y</t>
  </si>
  <si>
    <t>USHDRR2Y</t>
  </si>
  <si>
    <t>USHDV2Y</t>
  </si>
  <si>
    <t>USHDBX1Y</t>
  </si>
  <si>
    <t>USHDB1Y</t>
  </si>
  <si>
    <t>USHDRX1Y</t>
  </si>
  <si>
    <t>USHDRR1Y</t>
  </si>
  <si>
    <t>USHDV1Y</t>
  </si>
  <si>
    <t>USHDBX9M</t>
  </si>
  <si>
    <t>USHDB9M</t>
  </si>
  <si>
    <t>USHDRX9M</t>
  </si>
  <si>
    <t>USHDRR9M</t>
  </si>
  <si>
    <t>USHDV9M</t>
  </si>
  <si>
    <t>USHDBX6M</t>
  </si>
  <si>
    <t>USHDB6M</t>
  </si>
  <si>
    <t>USHDRX6M</t>
  </si>
  <si>
    <t>USHDRR6M</t>
  </si>
  <si>
    <t>USHDV6M</t>
  </si>
  <si>
    <t>USHDBX3M</t>
  </si>
  <si>
    <t>USHDB3M</t>
  </si>
  <si>
    <t>USHDRX3M</t>
  </si>
  <si>
    <t>USHDRR3M</t>
  </si>
  <si>
    <t>USHDV3M</t>
  </si>
  <si>
    <t>USHDBX2M</t>
  </si>
  <si>
    <t>USHDB2M</t>
  </si>
  <si>
    <t>USHDRX2M</t>
  </si>
  <si>
    <t>USHDRR2M</t>
  </si>
  <si>
    <t>USHDV2M</t>
  </si>
  <si>
    <t>USHDBX1M</t>
  </si>
  <si>
    <t>USHDB1M</t>
  </si>
  <si>
    <t>USHDRX1M</t>
  </si>
  <si>
    <t>USHDVRR</t>
  </si>
  <si>
    <t>USHDV1M</t>
  </si>
  <si>
    <t>USHDBX2W</t>
  </si>
  <si>
    <t>USHDB2W</t>
  </si>
  <si>
    <t>USHDRX2W</t>
  </si>
  <si>
    <t>USHDRR2W</t>
  </si>
  <si>
    <t>USHDV2W</t>
  </si>
  <si>
    <t>USHDBX1W</t>
  </si>
  <si>
    <t>USHDB1W</t>
  </si>
  <si>
    <t>USHDRX1W</t>
  </si>
  <si>
    <t>USHDRR1W</t>
  </si>
  <si>
    <t>USHDV1W</t>
  </si>
  <si>
    <t>USHDBX1D</t>
  </si>
  <si>
    <t>USHDB1D</t>
  </si>
  <si>
    <t>USHDRX1D</t>
  </si>
  <si>
    <t>USHDRR1D</t>
  </si>
  <si>
    <t>USHDV1D</t>
  </si>
  <si>
    <t>USDHKD</t>
    <phoneticPr fontId="4" type="noConversion"/>
  </si>
  <si>
    <t>USCGBX3Y</t>
  </si>
  <si>
    <t>USCGB3Y</t>
  </si>
  <si>
    <t>USCGRX3Y</t>
  </si>
  <si>
    <t>USCGRR3Y</t>
  </si>
  <si>
    <t>USCGV3Y</t>
  </si>
  <si>
    <t>3Y</t>
    <phoneticPr fontId="4" type="noConversion"/>
  </si>
  <si>
    <t>USCGBX2Y</t>
  </si>
  <si>
    <t>USCGB2Y</t>
  </si>
  <si>
    <t>USCGRX2Y</t>
  </si>
  <si>
    <t>USCGRR2Y</t>
  </si>
  <si>
    <t>USCGV2Y</t>
  </si>
  <si>
    <t>USCGBX1Y</t>
  </si>
  <si>
    <t>USCGB1Y</t>
  </si>
  <si>
    <t>USCGRX1Y</t>
  </si>
  <si>
    <t>USCGRR1Y</t>
  </si>
  <si>
    <t>USCGV1Y</t>
  </si>
  <si>
    <t>USCGBX9M</t>
  </si>
  <si>
    <t>USCGB9M</t>
  </si>
  <si>
    <t>USCGRX9M</t>
  </si>
  <si>
    <t>USCGRR9M</t>
  </si>
  <si>
    <t>USCGV9M</t>
  </si>
  <si>
    <t>USCGBX6M</t>
  </si>
  <si>
    <t>USCGB6M</t>
  </si>
  <si>
    <t>USCGRX6M</t>
  </si>
  <si>
    <t>USCGRR6M</t>
  </si>
  <si>
    <t>USCGV6M</t>
  </si>
  <si>
    <t>USCGBX3M</t>
  </si>
  <si>
    <t>USCGB3M</t>
  </si>
  <si>
    <t>USCGRX3M</t>
  </si>
  <si>
    <t>USCGRR3M</t>
  </si>
  <si>
    <t>USCGV3M</t>
  </si>
  <si>
    <t>USCGBX2M</t>
  </si>
  <si>
    <t>USCGB2M</t>
  </si>
  <si>
    <t>USCGRX2M</t>
  </si>
  <si>
    <t>USCGRR2M</t>
  </si>
  <si>
    <t>USCGV2M</t>
  </si>
  <si>
    <t>USCGBX1M</t>
  </si>
  <si>
    <t>USCGB1M</t>
  </si>
  <si>
    <t>USCGRX1M</t>
  </si>
  <si>
    <t>USCGVRR</t>
  </si>
  <si>
    <t>USCGV1M</t>
  </si>
  <si>
    <t>USCGBX2W</t>
  </si>
  <si>
    <t>USCGB2W</t>
  </si>
  <si>
    <t>USCGRX2W</t>
  </si>
  <si>
    <t>USCGRR2W</t>
  </si>
  <si>
    <t>USCGV2W</t>
  </si>
  <si>
    <t>USCGBX1W</t>
  </si>
  <si>
    <t>USCGB1W</t>
  </si>
  <si>
    <t>USCGRX1W</t>
  </si>
  <si>
    <t>USCGRR1W</t>
  </si>
  <si>
    <t>USCGV1W</t>
  </si>
  <si>
    <t>USCGBX1D</t>
  </si>
  <si>
    <t>USCGB1D</t>
  </si>
  <si>
    <t>USCGRX1D</t>
  </si>
  <si>
    <t>USCGRR1D</t>
  </si>
  <si>
    <t>USCGV1D</t>
  </si>
  <si>
    <t>USDCNH</t>
    <phoneticPr fontId="4" type="noConversion"/>
  </si>
  <si>
    <t>Y:\全球市場\衍生產品交易處\股票及外匯衍生業務(H)\Macau and CFB Pricing\BCFO Vols bbg input_EM PM.xlsx</t>
  </si>
  <si>
    <t>USDCHF</t>
    <phoneticPr fontId="4" type="noConversion"/>
  </si>
  <si>
    <t>CHFHKD</t>
    <phoneticPr fontId="4" type="noConversion"/>
  </si>
  <si>
    <t>USSFV1D</t>
  </si>
  <si>
    <t>USSFV1W</t>
  </si>
  <si>
    <t>USSFV2W</t>
  </si>
  <si>
    <t>USSFV1M</t>
  </si>
  <si>
    <t>USSFV2M</t>
  </si>
  <si>
    <t>USSFV3M</t>
  </si>
  <si>
    <t>USSFV6M</t>
  </si>
  <si>
    <t>USSFV9M</t>
  </si>
  <si>
    <t>USSFV1Y</t>
  </si>
  <si>
    <t>USSFV2Y</t>
  </si>
  <si>
    <t>USSFV3Y</t>
  </si>
  <si>
    <t>USSFRR1D</t>
  </si>
  <si>
    <t>USSFRR1W</t>
  </si>
  <si>
    <t>USSFRR2W</t>
  </si>
  <si>
    <t>USSFRR2M</t>
  </si>
  <si>
    <t>USSFRR3M</t>
  </si>
  <si>
    <t>USSFRR6M</t>
  </si>
  <si>
    <t>USSFRR9M</t>
  </si>
  <si>
    <t>USSFRR1Y</t>
  </si>
  <si>
    <t>USSFRR2Y</t>
  </si>
  <si>
    <t>USSFRR3Y</t>
  </si>
  <si>
    <t>USSFVRR</t>
    <phoneticPr fontId="4" type="noConversion"/>
  </si>
  <si>
    <t>USSFRX1D</t>
  </si>
  <si>
    <t>USSFRX1W</t>
  </si>
  <si>
    <t>USSFRX2W</t>
  </si>
  <si>
    <t>USSFRX1M</t>
  </si>
  <si>
    <t>USSFRX2M</t>
  </si>
  <si>
    <t>USSFRX3M</t>
  </si>
  <si>
    <t>USSFRX6M</t>
  </si>
  <si>
    <t>USSFRX9M</t>
  </si>
  <si>
    <t>USSFRX1Y</t>
  </si>
  <si>
    <t>USSFRX2Y</t>
  </si>
  <si>
    <t>USSFRX3Y</t>
  </si>
  <si>
    <t>USSFB1D</t>
  </si>
  <si>
    <t>USSFB1W</t>
  </si>
  <si>
    <t>USSFB2W</t>
  </si>
  <si>
    <t>USSFB1M</t>
  </si>
  <si>
    <t>USSFB2M</t>
  </si>
  <si>
    <t>USSFB3M</t>
  </si>
  <si>
    <t>USSFB6M</t>
  </si>
  <si>
    <t>USSFB9M</t>
  </si>
  <si>
    <t>USSFB1Y</t>
  </si>
  <si>
    <t>USSFB2Y</t>
  </si>
  <si>
    <t>USSFB3Y</t>
  </si>
  <si>
    <t>USSFBX1D</t>
  </si>
  <si>
    <t>USSFBX1W</t>
  </si>
  <si>
    <t>USSFBX2W</t>
  </si>
  <si>
    <t>USSFBX1M</t>
  </si>
  <si>
    <t>USSFBX2M</t>
  </si>
  <si>
    <t>USSFBX3M</t>
  </si>
  <si>
    <t>USSFBX6M</t>
  </si>
  <si>
    <t>USSFBX9M</t>
  </si>
  <si>
    <t>USSFBX1Y</t>
  </si>
  <si>
    <t>USSFBX2Y</t>
  </si>
  <si>
    <t>USSFBX3Y</t>
  </si>
  <si>
    <t>SFHDV1D</t>
  </si>
  <si>
    <t>SFHDV1W</t>
  </si>
  <si>
    <t>SFHDV2W</t>
  </si>
  <si>
    <t>SFHDV1M</t>
  </si>
  <si>
    <t>SFHDV2M</t>
  </si>
  <si>
    <t>SFHDV3M</t>
  </si>
  <si>
    <t>SFHDV6M</t>
  </si>
  <si>
    <t>SFHDV9M</t>
  </si>
  <si>
    <t>SFHDV1Y</t>
  </si>
  <si>
    <t>SFHDV2Y</t>
  </si>
  <si>
    <t>SFHDV3Y</t>
  </si>
  <si>
    <t>SFHDRR1D</t>
  </si>
  <si>
    <t>SFHDRR1W</t>
  </si>
  <si>
    <t>SFHDRR2W</t>
  </si>
  <si>
    <t>SFHDRR2M</t>
  </si>
  <si>
    <t>SFHDRR3M</t>
  </si>
  <si>
    <t>SFHDRR6M</t>
  </si>
  <si>
    <t>SFHDRR9M</t>
  </si>
  <si>
    <t>SFHDRR1Y</t>
  </si>
  <si>
    <t>SFHDRR2Y</t>
  </si>
  <si>
    <t>SFHDRR3Y</t>
  </si>
  <si>
    <t>SFHDVRR</t>
    <phoneticPr fontId="4" type="noConversion"/>
  </si>
  <si>
    <t>SFHDRX1D</t>
  </si>
  <si>
    <t>SFHDRX1W</t>
  </si>
  <si>
    <t>SFHDRX2W</t>
  </si>
  <si>
    <t>SFHDRX1M</t>
  </si>
  <si>
    <t>SFHDRX2M</t>
  </si>
  <si>
    <t>SFHDRX3M</t>
  </si>
  <si>
    <t>SFHDRX6M</t>
  </si>
  <si>
    <t>SFHDRX9M</t>
  </si>
  <si>
    <t>SFHDRX1Y</t>
  </si>
  <si>
    <t>SFHDRX2Y</t>
  </si>
  <si>
    <t>SFHDRX3Y</t>
  </si>
  <si>
    <t>SFHDB1D</t>
  </si>
  <si>
    <t>SFHDB1W</t>
  </si>
  <si>
    <t>SFHDB2W</t>
  </si>
  <si>
    <t>SFHDB1M</t>
  </si>
  <si>
    <t>SFHDB2M</t>
  </si>
  <si>
    <t>SFHDB3M</t>
  </si>
  <si>
    <t>SFHDB6M</t>
  </si>
  <si>
    <t>SFHDB9M</t>
  </si>
  <si>
    <t>SFHDB1Y</t>
  </si>
  <si>
    <t>SFHDB2Y</t>
  </si>
  <si>
    <t>SFHDB3Y</t>
  </si>
  <si>
    <t>SFHDBX1D</t>
  </si>
  <si>
    <t>SFHDBX1W</t>
  </si>
  <si>
    <t>SFHDBX2W</t>
  </si>
  <si>
    <t>SFHDBX1M</t>
  </si>
  <si>
    <t>SFHDBX2M</t>
  </si>
  <si>
    <t>SFHDBX3M</t>
  </si>
  <si>
    <t>SFHDBX6M</t>
  </si>
  <si>
    <t>SFHDBX9M</t>
  </si>
  <si>
    <t>SFHDBX1Y</t>
  </si>
  <si>
    <t>SFHDBX2Y</t>
  </si>
  <si>
    <t>SFHDBX3Y</t>
  </si>
  <si>
    <t>Y:\全球市場\衍生產品交易處\Murex_File_Upload\Vol\vol data file for Uploading to Murex v1.1.xls</t>
    <phoneticPr fontId="4" type="noConversion"/>
  </si>
  <si>
    <t>NFPV &gt; Add User to view Bloomberg page BCFO Vol Surface</t>
    <phoneticPr fontId="4" type="noConversion"/>
  </si>
  <si>
    <t xml:space="preserve">FXPV &gt; Add User can request option price thu Bloomberg </t>
    <phoneticPr fontId="4" type="noConversion"/>
  </si>
  <si>
    <t>Y:\全球市場\衍生產品交易處\股票及外匯衍生業務(H)\Macau and CFB Pricing\BCFO Vols spread.xlsx</t>
  </si>
  <si>
    <t>AUD/USD</t>
  </si>
  <si>
    <t>AUD/HKD</t>
  </si>
  <si>
    <t>USD/CAD</t>
  </si>
  <si>
    <t>CAD/HKD</t>
  </si>
  <si>
    <t>EUR/USD</t>
  </si>
  <si>
    <t>EUR/HKD</t>
  </si>
  <si>
    <t>GBP/USD</t>
  </si>
  <si>
    <t>GBP/HKD</t>
  </si>
  <si>
    <t>USD/CHF</t>
  </si>
  <si>
    <t>CHF/HKD</t>
  </si>
  <si>
    <t>USD/JPY</t>
  </si>
  <si>
    <t>JPY/HKD</t>
  </si>
  <si>
    <t>NZD/USD</t>
  </si>
  <si>
    <t>NZD/HKD</t>
  </si>
  <si>
    <t>AUD/CAD</t>
  </si>
  <si>
    <t>AUD/JPY</t>
  </si>
  <si>
    <t>AUD/NZD</t>
  </si>
  <si>
    <t>EUR/AUD</t>
  </si>
  <si>
    <t>EUR/CAD</t>
  </si>
  <si>
    <t>EUR/GBP</t>
  </si>
  <si>
    <t>EUR/JPY</t>
  </si>
  <si>
    <t>EUR/NZD</t>
  </si>
  <si>
    <t>GBP/AUD</t>
  </si>
  <si>
    <t>GBP/CAD</t>
  </si>
  <si>
    <t>GBP/JPY</t>
  </si>
  <si>
    <t>GBP/NZD</t>
  </si>
  <si>
    <t>NZD/CAD</t>
  </si>
  <si>
    <t>NZD/JPY</t>
  </si>
  <si>
    <t>USD/CNH</t>
  </si>
  <si>
    <t>USD/HKD</t>
  </si>
  <si>
    <t>CNH/HKD</t>
  </si>
  <si>
    <t>CHF/JPY</t>
    <phoneticPr fontId="4" type="noConversion"/>
  </si>
  <si>
    <t>SFJYV1D</t>
    <phoneticPr fontId="4" type="noConversion"/>
  </si>
  <si>
    <t>SFJYV1W</t>
    <phoneticPr fontId="4" type="noConversion"/>
  </si>
  <si>
    <t>SFJYV2W</t>
    <phoneticPr fontId="4" type="noConversion"/>
  </si>
  <si>
    <t>SFJYV1M</t>
    <phoneticPr fontId="4" type="noConversion"/>
  </si>
  <si>
    <t>SFJYV2M</t>
    <phoneticPr fontId="4" type="noConversion"/>
  </si>
  <si>
    <t>SFJYV3M</t>
    <phoneticPr fontId="4" type="noConversion"/>
  </si>
  <si>
    <t>SFJYV6M</t>
    <phoneticPr fontId="4" type="noConversion"/>
  </si>
  <si>
    <t>SFJYV9M</t>
    <phoneticPr fontId="4" type="noConversion"/>
  </si>
  <si>
    <t>SFJYV1Y</t>
    <phoneticPr fontId="4" type="noConversion"/>
  </si>
  <si>
    <t>SFJYV2Y</t>
    <phoneticPr fontId="4" type="noConversion"/>
  </si>
  <si>
    <t>SFJYV3Y</t>
    <phoneticPr fontId="4" type="noConversion"/>
  </si>
  <si>
    <t>SFJYRR1D</t>
    <phoneticPr fontId="4" type="noConversion"/>
  </si>
  <si>
    <t>SFJYRR1W</t>
    <phoneticPr fontId="4" type="noConversion"/>
  </si>
  <si>
    <t>SFJYRR2W</t>
    <phoneticPr fontId="4" type="noConversion"/>
  </si>
  <si>
    <t>SFJYVRR</t>
    <phoneticPr fontId="4" type="noConversion"/>
  </si>
  <si>
    <t>SFJYRR2M</t>
    <phoneticPr fontId="4" type="noConversion"/>
  </si>
  <si>
    <t>SFJYRR3M</t>
    <phoneticPr fontId="4" type="noConversion"/>
  </si>
  <si>
    <t>SFJYRR6M</t>
    <phoneticPr fontId="4" type="noConversion"/>
  </si>
  <si>
    <t>SFJYRR9M</t>
    <phoneticPr fontId="4" type="noConversion"/>
  </si>
  <si>
    <t>SFJYRR1Y</t>
    <phoneticPr fontId="4" type="noConversion"/>
  </si>
  <si>
    <t>SFJYRR2Y</t>
    <phoneticPr fontId="4" type="noConversion"/>
  </si>
  <si>
    <t>SFJYRR3Y</t>
    <phoneticPr fontId="4" type="noConversion"/>
  </si>
  <si>
    <t>SFJYRX1D</t>
    <phoneticPr fontId="4" type="noConversion"/>
  </si>
  <si>
    <t>SFJYRX1W</t>
    <phoneticPr fontId="4" type="noConversion"/>
  </si>
  <si>
    <t>SFJYRX2W</t>
    <phoneticPr fontId="4" type="noConversion"/>
  </si>
  <si>
    <t>SFJYRX1M</t>
    <phoneticPr fontId="4" type="noConversion"/>
  </si>
  <si>
    <t>SFJYRX2M</t>
    <phoneticPr fontId="4" type="noConversion"/>
  </si>
  <si>
    <t>SFJYRX3M</t>
    <phoneticPr fontId="4" type="noConversion"/>
  </si>
  <si>
    <t>SFJYRX6M</t>
    <phoneticPr fontId="4" type="noConversion"/>
  </si>
  <si>
    <t>SFJYRX9M</t>
    <phoneticPr fontId="4" type="noConversion"/>
  </si>
  <si>
    <t>SFJYRX1Y</t>
    <phoneticPr fontId="4" type="noConversion"/>
  </si>
  <si>
    <t>SFJYRX2Y</t>
    <phoneticPr fontId="4" type="noConversion"/>
  </si>
  <si>
    <t>SFJYRX3Y</t>
    <phoneticPr fontId="4" type="noConversion"/>
  </si>
  <si>
    <t>SFJYB1D</t>
    <phoneticPr fontId="4" type="noConversion"/>
  </si>
  <si>
    <t>SFJYB1W</t>
    <phoneticPr fontId="4" type="noConversion"/>
  </si>
  <si>
    <t>SFJYB2W</t>
    <phoneticPr fontId="4" type="noConversion"/>
  </si>
  <si>
    <t>SFJYB1M</t>
    <phoneticPr fontId="4" type="noConversion"/>
  </si>
  <si>
    <t>SFJYB2M</t>
    <phoneticPr fontId="4" type="noConversion"/>
  </si>
  <si>
    <t>SFJYB3M</t>
    <phoneticPr fontId="4" type="noConversion"/>
  </si>
  <si>
    <t>SFJYB6M</t>
    <phoneticPr fontId="4" type="noConversion"/>
  </si>
  <si>
    <t>SFJYB9M</t>
    <phoneticPr fontId="4" type="noConversion"/>
  </si>
  <si>
    <t>SFJYB1Y</t>
    <phoneticPr fontId="4" type="noConversion"/>
  </si>
  <si>
    <t>SFJYB2Y</t>
    <phoneticPr fontId="4" type="noConversion"/>
  </si>
  <si>
    <t>SFJYB3Y</t>
    <phoneticPr fontId="4" type="noConversion"/>
  </si>
  <si>
    <t>SFJYBX1D</t>
    <phoneticPr fontId="4" type="noConversion"/>
  </si>
  <si>
    <t>SFJYBX1W</t>
    <phoneticPr fontId="4" type="noConversion"/>
  </si>
  <si>
    <t>SFJYBX2W</t>
    <phoneticPr fontId="4" type="noConversion"/>
  </si>
  <si>
    <t>SFJYBX1M</t>
    <phoneticPr fontId="4" type="noConversion"/>
  </si>
  <si>
    <t>SFJYBX2M</t>
    <phoneticPr fontId="4" type="noConversion"/>
  </si>
  <si>
    <t>SFJYBX3M</t>
    <phoneticPr fontId="4" type="noConversion"/>
  </si>
  <si>
    <t>SFJYBX6M</t>
    <phoneticPr fontId="4" type="noConversion"/>
  </si>
  <si>
    <t>SFJYBX9M</t>
    <phoneticPr fontId="4" type="noConversion"/>
  </si>
  <si>
    <t>SFJYBX1Y</t>
    <phoneticPr fontId="4" type="noConversion"/>
  </si>
  <si>
    <t>SFJYBX2Y</t>
    <phoneticPr fontId="4" type="noConversion"/>
  </si>
  <si>
    <t>SFJYBX3Y</t>
    <phoneticPr fontId="4" type="noConversion"/>
  </si>
  <si>
    <t>Y:\全球市場\衍生產品交易處\New Daily Quote\PB G7 and crosses input.xlsx</t>
    <phoneticPr fontId="4" type="noConversion"/>
  </si>
  <si>
    <t>Y:\全球市場\衍生產品交易處\股票及外匯衍生業務(H)\Macau and CFB Pricing\BCFO Vols spread DB.xlsx</t>
    <phoneticPr fontId="4" type="noConversion"/>
  </si>
  <si>
    <t>AUDCHF</t>
    <phoneticPr fontId="4" type="noConversion"/>
  </si>
  <si>
    <t>ADSFV1D</t>
    <phoneticPr fontId="4" type="noConversion"/>
  </si>
  <si>
    <t>ADSFV1W</t>
    <phoneticPr fontId="4" type="noConversion"/>
  </si>
  <si>
    <t>ADSFV2W</t>
    <phoneticPr fontId="4" type="noConversion"/>
  </si>
  <si>
    <t>ADSFV1M</t>
    <phoneticPr fontId="4" type="noConversion"/>
  </si>
  <si>
    <t>ADSFV2M</t>
    <phoneticPr fontId="4" type="noConversion"/>
  </si>
  <si>
    <t>ADSFV3M</t>
    <phoneticPr fontId="4" type="noConversion"/>
  </si>
  <si>
    <t>ADSFV6M</t>
    <phoneticPr fontId="4" type="noConversion"/>
  </si>
  <si>
    <t>ADSFV9M</t>
    <phoneticPr fontId="4" type="noConversion"/>
  </si>
  <si>
    <t>ADSFV1Y</t>
    <phoneticPr fontId="4" type="noConversion"/>
  </si>
  <si>
    <t>ADSFV2Y</t>
    <phoneticPr fontId="4" type="noConversion"/>
  </si>
  <si>
    <t>ADSFV3Y</t>
    <phoneticPr fontId="4" type="noConversion"/>
  </si>
  <si>
    <t>ADSFRR1D</t>
    <phoneticPr fontId="4" type="noConversion"/>
  </si>
  <si>
    <t>ADSFRR1W</t>
    <phoneticPr fontId="4" type="noConversion"/>
  </si>
  <si>
    <t>ADSFRR2W</t>
    <phoneticPr fontId="4" type="noConversion"/>
  </si>
  <si>
    <t>ADSFVRR</t>
    <phoneticPr fontId="4" type="noConversion"/>
  </si>
  <si>
    <t>ADSFRR2M</t>
    <phoneticPr fontId="4" type="noConversion"/>
  </si>
  <si>
    <t>ADSFRR3M</t>
    <phoneticPr fontId="4" type="noConversion"/>
  </si>
  <si>
    <t>ADSFRR6M</t>
    <phoneticPr fontId="4" type="noConversion"/>
  </si>
  <si>
    <t>ADSFRR9M</t>
    <phoneticPr fontId="4" type="noConversion"/>
  </si>
  <si>
    <t>ADSFRR1Y</t>
    <phoneticPr fontId="4" type="noConversion"/>
  </si>
  <si>
    <t>ADSFRR2Y</t>
    <phoneticPr fontId="4" type="noConversion"/>
  </si>
  <si>
    <t>ADSFRR3Y</t>
    <phoneticPr fontId="4" type="noConversion"/>
  </si>
  <si>
    <t>ADSFRX1D</t>
    <phoneticPr fontId="4" type="noConversion"/>
  </si>
  <si>
    <t>ADSFRX1W</t>
    <phoneticPr fontId="4" type="noConversion"/>
  </si>
  <si>
    <t>ADSFRX2W</t>
    <phoneticPr fontId="4" type="noConversion"/>
  </si>
  <si>
    <t>ADSFRX1M</t>
    <phoneticPr fontId="4" type="noConversion"/>
  </si>
  <si>
    <t>ADSFRX2M</t>
    <phoneticPr fontId="4" type="noConversion"/>
  </si>
  <si>
    <t>ADSFRX3M</t>
    <phoneticPr fontId="4" type="noConversion"/>
  </si>
  <si>
    <t>ADSFRX6M</t>
    <phoneticPr fontId="4" type="noConversion"/>
  </si>
  <si>
    <t>ADSFRX9M</t>
    <phoneticPr fontId="4" type="noConversion"/>
  </si>
  <si>
    <t>ADSFRX1Y</t>
    <phoneticPr fontId="4" type="noConversion"/>
  </si>
  <si>
    <t>ADSFRX2Y</t>
    <phoneticPr fontId="4" type="noConversion"/>
  </si>
  <si>
    <t>ADSFRX3Y</t>
    <phoneticPr fontId="4" type="noConversion"/>
  </si>
  <si>
    <t>ADSFB1D</t>
    <phoneticPr fontId="4" type="noConversion"/>
  </si>
  <si>
    <t>ADSFB1W</t>
    <phoneticPr fontId="4" type="noConversion"/>
  </si>
  <si>
    <t>ADSFB2W</t>
    <phoneticPr fontId="4" type="noConversion"/>
  </si>
  <si>
    <t>ADSFB1M</t>
    <phoneticPr fontId="4" type="noConversion"/>
  </si>
  <si>
    <t>ADSFB2M</t>
    <phoneticPr fontId="4" type="noConversion"/>
  </si>
  <si>
    <t>ADSFB3M</t>
    <phoneticPr fontId="4" type="noConversion"/>
  </si>
  <si>
    <t>ADSFB6M</t>
    <phoneticPr fontId="4" type="noConversion"/>
  </si>
  <si>
    <t>ADSFB9M</t>
    <phoneticPr fontId="4" type="noConversion"/>
  </si>
  <si>
    <t>ADSFB1Y</t>
    <phoneticPr fontId="4" type="noConversion"/>
  </si>
  <si>
    <t>ADSFB2Y</t>
    <phoneticPr fontId="4" type="noConversion"/>
  </si>
  <si>
    <t>ADSFB3Y</t>
    <phoneticPr fontId="4" type="noConversion"/>
  </si>
  <si>
    <t>ADSFBX1D</t>
    <phoneticPr fontId="4" type="noConversion"/>
  </si>
  <si>
    <t>ADSFBX1W</t>
    <phoneticPr fontId="4" type="noConversion"/>
  </si>
  <si>
    <t>ADSFBX2W</t>
    <phoneticPr fontId="4" type="noConversion"/>
  </si>
  <si>
    <t>ADSFBX1M</t>
    <phoneticPr fontId="4" type="noConversion"/>
  </si>
  <si>
    <t>ADSFBX2M</t>
    <phoneticPr fontId="4" type="noConversion"/>
  </si>
  <si>
    <t>ADSFBX3M</t>
    <phoneticPr fontId="4" type="noConversion"/>
  </si>
  <si>
    <t>ADSFBX6M</t>
    <phoneticPr fontId="4" type="noConversion"/>
  </si>
  <si>
    <t>ADSFBX9M</t>
    <phoneticPr fontId="4" type="noConversion"/>
  </si>
  <si>
    <t>ADSFBX1Y</t>
    <phoneticPr fontId="4" type="noConversion"/>
  </si>
  <si>
    <t>ADSFBX2Y</t>
    <phoneticPr fontId="4" type="noConversion"/>
  </si>
  <si>
    <t>ADSFBX3Y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</si>
</sst>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_);[Red]\(0.00\)"/>
    <numFmt numFmtId="177" formatCode="0.000%"/>
    <numFmt numFmtId="178" formatCode="_(* #,##0_);_(* \(#,##0\);_(* &quot;-&quot;??_);_(@_)"/>
    <numFmt numFmtId="179" formatCode="0.0000%"/>
  </numFmts>
  <fonts count="16" x14ac:knownFonts="1">
    <font>
      <sz val="11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Tahoma"/>
      <family val="2"/>
    </font>
    <font>
      <sz val="10"/>
      <name val="Arial"/>
      <family val="2"/>
    </font>
    <font>
      <sz val="11"/>
      <name val="Tahoma"/>
      <family val="2"/>
    </font>
    <font>
      <sz val="11"/>
      <color theme="1"/>
      <name val="新細明體"/>
      <family val="2"/>
      <charset val="136"/>
      <scheme val="minor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1">
    <xf numFmtId="0" fontId="0" fillId="0" borderId="0">
      <alignment vertical="center"/>
    </xf>
    <xf numFmtId="0" fontId="6" fillId="0" borderId="0"/>
    <xf numFmtId="9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3" fillId="0" borderId="0"/>
    <xf numFmtId="9" fontId="1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Border="1">
      <alignment vertical="center"/>
    </xf>
    <xf numFmtId="0" fontId="5" fillId="3" borderId="1" xfId="0" applyFont="1" applyFill="1" applyBorder="1">
      <alignment vertical="center"/>
    </xf>
    <xf numFmtId="0" fontId="5" fillId="3" borderId="2" xfId="0" applyFont="1" applyFill="1" applyBorder="1" applyAlignment="1">
      <alignment horizontal="center" vertical="center"/>
    </xf>
    <xf numFmtId="0" fontId="7" fillId="3" borderId="2" xfId="1" applyFont="1" applyFill="1" applyBorder="1"/>
    <xf numFmtId="0" fontId="5" fillId="3" borderId="2" xfId="0" applyFont="1" applyFill="1" applyBorder="1">
      <alignment vertical="center"/>
    </xf>
    <xf numFmtId="0" fontId="9" fillId="4" borderId="0" xfId="0" applyFont="1" applyFill="1" applyBorder="1" applyAlignment="1">
      <alignment horizontal="center" vertical="center"/>
    </xf>
    <xf numFmtId="10" fontId="10" fillId="0" borderId="0" xfId="0" applyNumberFormat="1" applyFont="1" applyBorder="1" applyAlignment="1">
      <alignment horizontal="center" vertical="center"/>
    </xf>
    <xf numFmtId="176" fontId="10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5" fillId="2" borderId="0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7" fillId="3" borderId="0" xfId="1" applyFont="1" applyFill="1" applyBorder="1"/>
    <xf numFmtId="0" fontId="5" fillId="3" borderId="0" xfId="0" applyFont="1" applyFill="1" applyBorder="1">
      <alignment vertical="center"/>
    </xf>
    <xf numFmtId="0" fontId="0" fillId="0" borderId="0" xfId="0" applyBorder="1">
      <alignment vertical="center"/>
    </xf>
    <xf numFmtId="0" fontId="5" fillId="0" borderId="0" xfId="0" applyFont="1" applyFill="1" applyBorder="1">
      <alignment vertical="center"/>
    </xf>
    <xf numFmtId="0" fontId="6" fillId="0" borderId="0" xfId="0" applyFont="1" applyFill="1" applyBorder="1" applyAlignment="1"/>
    <xf numFmtId="0" fontId="12" fillId="0" borderId="0" xfId="0" applyFont="1">
      <alignment vertical="center"/>
    </xf>
    <xf numFmtId="10" fontId="11" fillId="0" borderId="0" xfId="2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2" fillId="0" borderId="0" xfId="0" applyFont="1" applyBorder="1">
      <alignment vertical="center"/>
    </xf>
    <xf numFmtId="176" fontId="10" fillId="0" borderId="0" xfId="2" applyNumberFormat="1" applyFont="1" applyBorder="1" applyAlignment="1">
      <alignment horizontal="center" vertical="center"/>
    </xf>
    <xf numFmtId="177" fontId="9" fillId="4" borderId="0" xfId="0" applyNumberFormat="1" applyFont="1" applyFill="1" applyBorder="1" applyAlignment="1">
      <alignment horizontal="center" vertical="center"/>
    </xf>
    <xf numFmtId="177" fontId="10" fillId="0" borderId="0" xfId="0" applyNumberFormat="1" applyFont="1" applyBorder="1" applyAlignment="1">
      <alignment horizontal="center" vertical="center"/>
    </xf>
    <xf numFmtId="177" fontId="0" fillId="0" borderId="0" xfId="0" applyNumberFormat="1" applyBorder="1">
      <alignment vertical="center"/>
    </xf>
    <xf numFmtId="177" fontId="0" fillId="0" borderId="0" xfId="0" applyNumberFormat="1">
      <alignment vertical="center"/>
    </xf>
    <xf numFmtId="176" fontId="10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4" applyFont="1" applyBorder="1" applyAlignment="1">
      <alignment horizontal="center" vertical="center"/>
    </xf>
    <xf numFmtId="0" fontId="15" fillId="0" borderId="0" xfId="8">
      <alignment vertical="center"/>
    </xf>
    <xf numFmtId="15" fontId="0" fillId="0" borderId="0" xfId="0" applyNumberFormat="1" applyAlignment="1"/>
    <xf numFmtId="0" fontId="0" fillId="0" borderId="0" xfId="0" applyAlignment="1"/>
    <xf numFmtId="178" fontId="0" fillId="0" borderId="0" xfId="10" applyNumberFormat="1" applyFont="1" applyAlignment="1"/>
    <xf numFmtId="179" fontId="0" fillId="0" borderId="0" xfId="2" applyNumberFormat="1" applyFont="1" applyAlignment="1"/>
    <xf numFmtId="0" fontId="0" fillId="0" borderId="0" xfId="0" applyFill="1" applyAlignment="1"/>
    <xf numFmtId="176" fontId="10" fillId="5" borderId="0" xfId="0" applyNumberFormat="1" applyFont="1" applyFill="1" applyBorder="1" applyAlignment="1">
      <alignment horizontal="center" vertical="center"/>
    </xf>
  </cellXfs>
  <cellStyles count="11">
    <cellStyle name="一般" xfId="0" builtinId="0"/>
    <cellStyle name="一般 2" xfId="3" xr:uid="{00000000-0005-0000-0000-000001000000}"/>
    <cellStyle name="一般 3" xfId="4" xr:uid="{00000000-0005-0000-0000-000002000000}"/>
    <cellStyle name="一般 3 2" xfId="6" xr:uid="{00000000-0005-0000-0000-000003000000}"/>
    <cellStyle name="一般 4" xfId="7" xr:uid="{00000000-0005-0000-0000-000004000000}"/>
    <cellStyle name="一般 5" xfId="9" xr:uid="{00000000-0005-0000-0000-000037000000}"/>
    <cellStyle name="千分位" xfId="10" builtinId="3"/>
    <cellStyle name="百分比" xfId="2" builtinId="5"/>
    <cellStyle name="百分比 2" xfId="5" xr:uid="{00000000-0005-0000-0000-000006000000}"/>
    <cellStyle name="常规_副本irssample" xfId="1" xr:uid="{00000000-0005-0000-0000-000007000000}"/>
    <cellStyle name="超連結" xfId="8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840;&#29699;&#24066;&#22580;/&#34893;&#29983;&#29986;&#21697;&#20132;&#26131;&#34389;/New%20Daily%20Quote/PB%20G7%20and%20crosses%20inpu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CFO%20Vols%20spread%20DB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chk.com\file%20server\&#20840;&#29699;&#24066;&#22580;\&#34893;&#29983;&#29986;&#21697;&#20132;&#26131;&#34389;\Lawrence\BCFO%20Vols%20sprea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CFO%20Vols%20bbg%20input_EM%20P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USD"/>
      <sheetName val="AUDHKD"/>
      <sheetName val="USDCAD"/>
      <sheetName val="CADHKD"/>
      <sheetName val="EURUSD"/>
      <sheetName val="EURHKD"/>
      <sheetName val="GBPUSD"/>
      <sheetName val="GBPHKD"/>
      <sheetName val="USDJPY"/>
      <sheetName val="JPYHKD"/>
      <sheetName val="NZDUSD"/>
      <sheetName val="NZDHKD"/>
      <sheetName val="USDCHF"/>
      <sheetName val="CHFHKD"/>
      <sheetName val="CHFJPY"/>
      <sheetName val="AUDCAD"/>
      <sheetName val="AUDJPY"/>
      <sheetName val="AUDNZD"/>
      <sheetName val="EURAUD"/>
      <sheetName val="EURCAD"/>
      <sheetName val="EURGBP"/>
      <sheetName val="EURJPY"/>
      <sheetName val="EURNZD"/>
      <sheetName val="GBPAUD"/>
      <sheetName val="AUDCHF"/>
      <sheetName val="GBPJPY"/>
      <sheetName val="GBPNZD"/>
      <sheetName val="NZDCAD"/>
      <sheetName val="NZDJPY"/>
    </sheetNames>
    <sheetDataSet>
      <sheetData sheetId="0">
        <row r="15">
          <cell r="B15">
            <v>6.4399999999999999E-2</v>
          </cell>
          <cell r="C15">
            <v>3.4000000000000002E-3</v>
          </cell>
          <cell r="D15">
            <v>1E-3</v>
          </cell>
          <cell r="E15">
            <v>-6.4000000000000003E-3</v>
          </cell>
          <cell r="F15">
            <v>-3.3E-3</v>
          </cell>
        </row>
        <row r="16">
          <cell r="B16">
            <v>6.25E-2</v>
          </cell>
          <cell r="C16">
            <v>4.3E-3</v>
          </cell>
          <cell r="D16">
            <v>1.1999999999999999E-3</v>
          </cell>
          <cell r="E16">
            <v>-8.1000000000000013E-3</v>
          </cell>
          <cell r="F16">
            <v>-3.5999999999999999E-3</v>
          </cell>
        </row>
        <row r="17">
          <cell r="B17">
            <v>6.6900000000000001E-2</v>
          </cell>
          <cell r="C17">
            <v>4.6999999999999993E-3</v>
          </cell>
          <cell r="D17">
            <v>1.2999999999999999E-3</v>
          </cell>
          <cell r="E17">
            <v>-9.0000000000000011E-3</v>
          </cell>
          <cell r="F17">
            <v>-4.0999999999999995E-3</v>
          </cell>
        </row>
        <row r="18">
          <cell r="B18">
            <v>7.0000000000000007E-2</v>
          </cell>
          <cell r="C18">
            <v>5.1000000000000004E-3</v>
          </cell>
          <cell r="D18">
            <v>1.4000000000000002E-3</v>
          </cell>
          <cell r="E18">
            <v>-0.01</v>
          </cell>
          <cell r="F18">
            <v>-4.8999999999999998E-3</v>
          </cell>
        </row>
        <row r="19">
          <cell r="B19">
            <v>7.2400000000000006E-2</v>
          </cell>
          <cell r="C19">
            <v>6.0000000000000001E-3</v>
          </cell>
          <cell r="D19">
            <v>1.7000000000000001E-3</v>
          </cell>
          <cell r="E19">
            <v>-1.1699999999999999E-2</v>
          </cell>
          <cell r="F19">
            <v>-5.6000000000000008E-3</v>
          </cell>
        </row>
        <row r="20">
          <cell r="B20">
            <v>7.400000000000001E-2</v>
          </cell>
          <cell r="C20">
            <v>6.8999999999999999E-3</v>
          </cell>
          <cell r="D20">
            <v>2E-3</v>
          </cell>
          <cell r="E20">
            <v>-1.32E-2</v>
          </cell>
          <cell r="F20">
            <v>-6.1999999999999998E-3</v>
          </cell>
        </row>
        <row r="21">
          <cell r="B21">
            <v>7.7499999999999999E-2</v>
          </cell>
          <cell r="C21">
            <v>7.7000000000000002E-3</v>
          </cell>
          <cell r="D21">
            <v>2.2000000000000001E-3</v>
          </cell>
          <cell r="E21">
            <v>-1.5900000000000001E-2</v>
          </cell>
          <cell r="F21">
            <v>-7.4999999999999997E-3</v>
          </cell>
        </row>
        <row r="22">
          <cell r="B22">
            <v>8.1099999999999992E-2</v>
          </cell>
          <cell r="C22">
            <v>9.0000000000000011E-3</v>
          </cell>
          <cell r="D22">
            <v>2.5000000000000001E-3</v>
          </cell>
          <cell r="E22">
            <v>-1.8100000000000002E-2</v>
          </cell>
          <cell r="F22">
            <v>-8.5000000000000006E-3</v>
          </cell>
        </row>
        <row r="23">
          <cell r="B23">
            <v>8.4199999999999997E-2</v>
          </cell>
          <cell r="C23">
            <v>1.03E-2</v>
          </cell>
          <cell r="D23">
            <v>2.8999999999999998E-3</v>
          </cell>
          <cell r="E23">
            <v>-2.0199999999999999E-2</v>
          </cell>
          <cell r="F23">
            <v>-9.4999999999999998E-3</v>
          </cell>
        </row>
        <row r="24">
          <cell r="B24">
            <v>8.8499999999999995E-2</v>
          </cell>
          <cell r="C24">
            <v>1.32E-2</v>
          </cell>
          <cell r="D24">
            <v>3.9000000000000003E-3</v>
          </cell>
          <cell r="E24">
            <v>-2.4300000000000002E-2</v>
          </cell>
          <cell r="F24">
            <v>-1.1699999999999999E-2</v>
          </cell>
        </row>
        <row r="25">
          <cell r="B25">
            <v>9.01E-2</v>
          </cell>
          <cell r="C25">
            <v>1.3300000000000001E-2</v>
          </cell>
          <cell r="D25">
            <v>3.8E-3</v>
          </cell>
          <cell r="E25">
            <v>-2.4799999999999999E-2</v>
          </cell>
          <cell r="F25">
            <v>-1.2E-2</v>
          </cell>
        </row>
      </sheetData>
      <sheetData sheetId="1">
        <row r="15">
          <cell r="B15">
            <v>6.3099999999999989E-2</v>
          </cell>
          <cell r="C15">
            <v>4.3E-3</v>
          </cell>
          <cell r="D15">
            <v>1.1999999999999999E-3</v>
          </cell>
          <cell r="E15">
            <v>-7.7000000000000002E-3</v>
          </cell>
          <cell r="F15">
            <v>-3.9000000000000003E-3</v>
          </cell>
        </row>
        <row r="16">
          <cell r="B16">
            <v>6.1799999999999994E-2</v>
          </cell>
          <cell r="C16">
            <v>4.1999999999999997E-3</v>
          </cell>
          <cell r="D16">
            <v>1.1000000000000001E-3</v>
          </cell>
          <cell r="E16">
            <v>-7.4999999999999997E-3</v>
          </cell>
          <cell r="F16">
            <v>-3.9000000000000003E-3</v>
          </cell>
        </row>
        <row r="17">
          <cell r="B17">
            <v>6.7699999999999996E-2</v>
          </cell>
          <cell r="C17">
            <v>4.7999999999999996E-3</v>
          </cell>
          <cell r="D17">
            <v>1.2999999999999999E-3</v>
          </cell>
          <cell r="E17">
            <v>-9.1000000000000004E-3</v>
          </cell>
          <cell r="F17">
            <v>-4.6999999999999993E-3</v>
          </cell>
        </row>
        <row r="18">
          <cell r="B18">
            <v>6.9400000000000003E-2</v>
          </cell>
          <cell r="C18">
            <v>5.0000000000000001E-3</v>
          </cell>
          <cell r="D18">
            <v>1.4000000000000002E-3</v>
          </cell>
          <cell r="E18">
            <v>-9.7000000000000003E-3</v>
          </cell>
          <cell r="F18">
            <v>-5.0000000000000001E-3</v>
          </cell>
        </row>
        <row r="19">
          <cell r="B19">
            <v>7.2300000000000003E-2</v>
          </cell>
          <cell r="C19">
            <v>6.0000000000000001E-3</v>
          </cell>
          <cell r="D19">
            <v>1.6000000000000001E-3</v>
          </cell>
          <cell r="E19">
            <v>-1.1299999999999999E-2</v>
          </cell>
          <cell r="F19">
            <v>-5.7999999999999996E-3</v>
          </cell>
        </row>
        <row r="20">
          <cell r="B20">
            <v>7.3899999999999993E-2</v>
          </cell>
          <cell r="C20">
            <v>6.8000000000000005E-3</v>
          </cell>
          <cell r="D20">
            <v>1.8E-3</v>
          </cell>
          <cell r="E20">
            <v>-1.26E-2</v>
          </cell>
          <cell r="F20">
            <v>-6.5000000000000006E-3</v>
          </cell>
        </row>
        <row r="21">
          <cell r="B21">
            <v>7.7399999999999997E-2</v>
          </cell>
          <cell r="C21">
            <v>7.6E-3</v>
          </cell>
          <cell r="D21">
            <v>1.9E-3</v>
          </cell>
          <cell r="E21">
            <v>-1.49E-2</v>
          </cell>
          <cell r="F21">
            <v>-7.7000000000000002E-3</v>
          </cell>
        </row>
        <row r="22">
          <cell r="B22">
            <v>8.1900000000000001E-2</v>
          </cell>
          <cell r="C22">
            <v>9.3999999999999986E-3</v>
          </cell>
          <cell r="D22">
            <v>2.3E-3</v>
          </cell>
          <cell r="E22">
            <v>-1.8000000000000002E-2</v>
          </cell>
          <cell r="F22">
            <v>-9.3999999999999986E-3</v>
          </cell>
        </row>
        <row r="23">
          <cell r="B23">
            <v>8.4499999999999992E-2</v>
          </cell>
          <cell r="C23">
            <v>1.03E-2</v>
          </cell>
          <cell r="D23">
            <v>2.5000000000000001E-3</v>
          </cell>
          <cell r="E23">
            <v>-1.9599999999999999E-2</v>
          </cell>
          <cell r="F23">
            <v>-1.0200000000000001E-2</v>
          </cell>
        </row>
        <row r="24">
          <cell r="B24">
            <v>8.9099999999999999E-2</v>
          </cell>
          <cell r="C24">
            <v>1.24E-2</v>
          </cell>
          <cell r="D24">
            <v>2.8999999999999998E-3</v>
          </cell>
          <cell r="E24">
            <v>-2.35E-2</v>
          </cell>
          <cell r="F24">
            <v>-1.24E-2</v>
          </cell>
        </row>
        <row r="25">
          <cell r="B25">
            <v>9.1600000000000001E-2</v>
          </cell>
          <cell r="C25">
            <v>1.23E-2</v>
          </cell>
          <cell r="D25">
            <v>2.7000000000000001E-3</v>
          </cell>
          <cell r="E25">
            <v>-2.4500000000000001E-2</v>
          </cell>
          <cell r="F25">
            <v>-1.3100000000000001E-2</v>
          </cell>
        </row>
      </sheetData>
      <sheetData sheetId="2">
        <row r="15">
          <cell r="B15">
            <v>5.3600000000000002E-2</v>
          </cell>
          <cell r="C15">
            <v>3.0999999999999999E-3</v>
          </cell>
          <cell r="D15">
            <v>8.9999999999999998E-4</v>
          </cell>
          <cell r="E15">
            <v>5.9999999999999995E-4</v>
          </cell>
          <cell r="F15">
            <v>2.9999999999999997E-4</v>
          </cell>
        </row>
        <row r="16">
          <cell r="B16">
            <v>4.9200000000000001E-2</v>
          </cell>
          <cell r="C16">
            <v>3.5999999999999999E-3</v>
          </cell>
          <cell r="D16">
            <v>1.1999999999999999E-3</v>
          </cell>
          <cell r="E16">
            <v>5.9999999999999995E-4</v>
          </cell>
          <cell r="F16">
            <v>2.9999999999999997E-4</v>
          </cell>
        </row>
        <row r="17">
          <cell r="B17">
            <v>4.8499999999999995E-2</v>
          </cell>
          <cell r="C17">
            <v>4.3E-3</v>
          </cell>
          <cell r="D17">
            <v>1.4000000000000002E-3</v>
          </cell>
          <cell r="E17">
            <v>7.000000000000001E-4</v>
          </cell>
          <cell r="F17">
            <v>2.9999999999999997E-4</v>
          </cell>
        </row>
        <row r="18">
          <cell r="B18">
            <v>4.6399999999999997E-2</v>
          </cell>
          <cell r="C18">
            <v>4.0000000000000001E-3</v>
          </cell>
          <cell r="D18">
            <v>1.1999999999999999E-3</v>
          </cell>
          <cell r="E18">
            <v>-4.0000000000000002E-4</v>
          </cell>
          <cell r="F18">
            <v>-2.9999999999999997E-4</v>
          </cell>
        </row>
        <row r="19">
          <cell r="B19">
            <v>4.6300000000000001E-2</v>
          </cell>
          <cell r="C19">
            <v>4.5000000000000005E-3</v>
          </cell>
          <cell r="D19">
            <v>1.4000000000000002E-3</v>
          </cell>
          <cell r="E19">
            <v>-5.9999999999999995E-4</v>
          </cell>
          <cell r="F19">
            <v>-4.0000000000000002E-4</v>
          </cell>
        </row>
        <row r="20">
          <cell r="B20">
            <v>4.6500000000000007E-2</v>
          </cell>
          <cell r="C20">
            <v>5.0000000000000001E-3</v>
          </cell>
          <cell r="D20">
            <v>1.5E-3</v>
          </cell>
          <cell r="E20">
            <v>-7.000000000000001E-4</v>
          </cell>
          <cell r="F20">
            <v>-4.0000000000000002E-4</v>
          </cell>
        </row>
        <row r="21">
          <cell r="B21">
            <v>4.7599999999999996E-2</v>
          </cell>
          <cell r="C21">
            <v>6.0000000000000001E-3</v>
          </cell>
          <cell r="D21">
            <v>1.8E-3</v>
          </cell>
          <cell r="E21">
            <v>5.0000000000000001E-4</v>
          </cell>
          <cell r="F21">
            <v>2.0000000000000001E-4</v>
          </cell>
        </row>
        <row r="22">
          <cell r="B22">
            <v>4.9599999999999998E-2</v>
          </cell>
          <cell r="C22">
            <v>6.8999999999999999E-3</v>
          </cell>
          <cell r="D22">
            <v>2E-3</v>
          </cell>
          <cell r="E22">
            <v>5.9999999999999995E-4</v>
          </cell>
          <cell r="F22">
            <v>2.0000000000000001E-4</v>
          </cell>
        </row>
        <row r="23">
          <cell r="B23">
            <v>5.1699999999999996E-2</v>
          </cell>
          <cell r="C23">
            <v>7.8000000000000005E-3</v>
          </cell>
          <cell r="D23">
            <v>2.2000000000000001E-3</v>
          </cell>
          <cell r="E23">
            <v>8.0000000000000004E-4</v>
          </cell>
          <cell r="F23">
            <v>2.0000000000000001E-4</v>
          </cell>
        </row>
        <row r="24">
          <cell r="B24">
            <v>5.4000000000000006E-2</v>
          </cell>
          <cell r="C24">
            <v>9.300000000000001E-3</v>
          </cell>
          <cell r="D24">
            <v>2.5000000000000001E-3</v>
          </cell>
          <cell r="E24">
            <v>1.1000000000000001E-3</v>
          </cell>
          <cell r="F24">
            <v>2.9999999999999997E-4</v>
          </cell>
        </row>
        <row r="25">
          <cell r="B25">
            <v>5.6299999999999996E-2</v>
          </cell>
          <cell r="C25">
            <v>9.3999999999999986E-3</v>
          </cell>
          <cell r="D25">
            <v>2.5000000000000001E-3</v>
          </cell>
          <cell r="E25">
            <v>2.5000000000000001E-3</v>
          </cell>
          <cell r="F25">
            <v>1E-3</v>
          </cell>
        </row>
      </sheetData>
      <sheetData sheetId="3">
        <row r="15">
          <cell r="B15">
            <v>5.5099999999999996E-2</v>
          </cell>
          <cell r="C15">
            <v>4.0999999999999995E-3</v>
          </cell>
          <cell r="D15">
            <v>1.1000000000000001E-3</v>
          </cell>
          <cell r="E15">
            <v>-7.000000000000001E-4</v>
          </cell>
          <cell r="F15">
            <v>-4.0000000000000002E-4</v>
          </cell>
        </row>
        <row r="16">
          <cell r="B16">
            <v>4.8399999999999999E-2</v>
          </cell>
          <cell r="C16">
            <v>3.8E-3</v>
          </cell>
          <cell r="D16">
            <v>1E-3</v>
          </cell>
          <cell r="E16">
            <v>-4.0000000000000002E-4</v>
          </cell>
          <cell r="F16">
            <v>-2.0000000000000001E-4</v>
          </cell>
        </row>
        <row r="17">
          <cell r="B17">
            <v>4.53E-2</v>
          </cell>
          <cell r="C17">
            <v>4.0000000000000001E-3</v>
          </cell>
          <cell r="D17">
            <v>1.1000000000000001E-3</v>
          </cell>
          <cell r="E17">
            <v>2.0000000000000001E-4</v>
          </cell>
          <cell r="F17">
            <v>1E-4</v>
          </cell>
        </row>
        <row r="18">
          <cell r="B18">
            <v>4.53E-2</v>
          </cell>
          <cell r="C18">
            <v>4.1999999999999997E-3</v>
          </cell>
          <cell r="D18">
            <v>1.1999999999999999E-3</v>
          </cell>
          <cell r="E18">
            <v>5.9999999999999995E-4</v>
          </cell>
          <cell r="F18">
            <v>2.9999999999999997E-4</v>
          </cell>
        </row>
        <row r="19">
          <cell r="B19">
            <v>4.5700000000000005E-2</v>
          </cell>
          <cell r="C19">
            <v>4.6999999999999993E-3</v>
          </cell>
          <cell r="D19">
            <v>1.2999999999999999E-3</v>
          </cell>
          <cell r="E19">
            <v>7.000000000000001E-4</v>
          </cell>
          <cell r="F19">
            <v>2.9999999999999997E-4</v>
          </cell>
        </row>
        <row r="20">
          <cell r="B20">
            <v>4.6300000000000001E-2</v>
          </cell>
          <cell r="C20">
            <v>5.1999999999999998E-3</v>
          </cell>
          <cell r="D20">
            <v>1.4000000000000002E-3</v>
          </cell>
          <cell r="E20">
            <v>8.0000000000000004E-4</v>
          </cell>
          <cell r="F20">
            <v>4.0000000000000002E-4</v>
          </cell>
        </row>
        <row r="21">
          <cell r="B21">
            <v>4.7699999999999992E-2</v>
          </cell>
          <cell r="C21">
            <v>6.3E-3</v>
          </cell>
          <cell r="D21">
            <v>1.7000000000000001E-3</v>
          </cell>
          <cell r="E21">
            <v>-2.9999999999999997E-4</v>
          </cell>
          <cell r="F21">
            <v>-2.0000000000000001E-4</v>
          </cell>
        </row>
        <row r="22">
          <cell r="B22">
            <v>5.0300000000000004E-2</v>
          </cell>
          <cell r="C22">
            <v>7.6E-3</v>
          </cell>
          <cell r="D22">
            <v>2.0999999999999999E-3</v>
          </cell>
          <cell r="E22">
            <v>-2.0000000000000001E-4</v>
          </cell>
          <cell r="F22">
            <v>-2.0000000000000001E-4</v>
          </cell>
        </row>
        <row r="23">
          <cell r="B23">
            <v>5.1699999999999996E-2</v>
          </cell>
          <cell r="C23">
            <v>8.3000000000000001E-3</v>
          </cell>
          <cell r="D23">
            <v>2.2000000000000001E-3</v>
          </cell>
          <cell r="E23">
            <v>-2.0000000000000001E-4</v>
          </cell>
          <cell r="F23">
            <v>-2.0000000000000001E-4</v>
          </cell>
        </row>
        <row r="24">
          <cell r="B24">
            <v>5.3899999999999997E-2</v>
          </cell>
          <cell r="C24">
            <v>9.3999999999999986E-3</v>
          </cell>
          <cell r="D24">
            <v>2.5000000000000001E-3</v>
          </cell>
          <cell r="E24">
            <v>1E-4</v>
          </cell>
          <cell r="F24">
            <v>-2.9999999999999997E-4</v>
          </cell>
        </row>
        <row r="25">
          <cell r="B25">
            <v>5.62E-2</v>
          </cell>
          <cell r="C25">
            <v>9.3999999999999986E-3</v>
          </cell>
          <cell r="D25">
            <v>2.5000000000000001E-3</v>
          </cell>
          <cell r="E25">
            <v>-1.1999999999999999E-3</v>
          </cell>
          <cell r="F25">
            <v>-8.9999999999999998E-4</v>
          </cell>
        </row>
      </sheetData>
      <sheetData sheetId="4">
        <row r="15">
          <cell r="B15">
            <v>4.1299999999999996E-2</v>
          </cell>
          <cell r="C15">
            <v>3.0000000000000001E-3</v>
          </cell>
          <cell r="D15">
            <v>8.0000000000000004E-4</v>
          </cell>
          <cell r="E15">
            <v>-2.3999999999999998E-3</v>
          </cell>
          <cell r="F15">
            <v>-1.1999999999999999E-3</v>
          </cell>
        </row>
        <row r="16">
          <cell r="B16">
            <v>4.7500000000000001E-2</v>
          </cell>
          <cell r="C16">
            <v>3.8E-3</v>
          </cell>
          <cell r="D16">
            <v>1.1000000000000001E-3</v>
          </cell>
          <cell r="E16">
            <v>-2.7000000000000001E-3</v>
          </cell>
          <cell r="F16">
            <v>-1.5E-3</v>
          </cell>
        </row>
        <row r="17">
          <cell r="B17">
            <v>5.1100000000000007E-2</v>
          </cell>
          <cell r="C17">
            <v>4.4000000000000003E-3</v>
          </cell>
          <cell r="D17">
            <v>1.1999999999999999E-3</v>
          </cell>
          <cell r="E17">
            <v>-3.0000000000000001E-3</v>
          </cell>
          <cell r="F17">
            <v>-1.6000000000000001E-3</v>
          </cell>
        </row>
        <row r="18">
          <cell r="B18">
            <v>4.9800000000000004E-2</v>
          </cell>
          <cell r="C18">
            <v>5.0000000000000001E-3</v>
          </cell>
          <cell r="D18">
            <v>1.4000000000000002E-3</v>
          </cell>
          <cell r="E18">
            <v>-3.2000000000000002E-3</v>
          </cell>
          <cell r="F18">
            <v>-1.7000000000000001E-3</v>
          </cell>
        </row>
        <row r="19">
          <cell r="B19">
            <v>5.2000000000000005E-2</v>
          </cell>
          <cell r="C19">
            <v>5.8999999999999999E-3</v>
          </cell>
          <cell r="D19">
            <v>1.6000000000000001E-3</v>
          </cell>
          <cell r="E19">
            <v>-3.4000000000000002E-3</v>
          </cell>
          <cell r="F19">
            <v>-1.8E-3</v>
          </cell>
        </row>
        <row r="20">
          <cell r="B20">
            <v>5.2600000000000001E-2</v>
          </cell>
          <cell r="C20">
            <v>6.8000000000000005E-3</v>
          </cell>
          <cell r="D20">
            <v>1.9E-3</v>
          </cell>
          <cell r="E20">
            <v>-3.4999999999999996E-3</v>
          </cell>
          <cell r="F20">
            <v>-1.8E-3</v>
          </cell>
        </row>
        <row r="21">
          <cell r="B21">
            <v>5.57E-2</v>
          </cell>
          <cell r="C21">
            <v>8.5000000000000006E-3</v>
          </cell>
          <cell r="D21">
            <v>2.3E-3</v>
          </cell>
          <cell r="E21">
            <v>-3.3E-3</v>
          </cell>
          <cell r="F21">
            <v>-1.7000000000000001E-3</v>
          </cell>
        </row>
        <row r="22">
          <cell r="B22">
            <v>6.0299999999999999E-2</v>
          </cell>
          <cell r="C22">
            <v>9.3999999999999986E-3</v>
          </cell>
          <cell r="D22">
            <v>2.5000000000000001E-3</v>
          </cell>
          <cell r="E22">
            <v>-3.4000000000000002E-3</v>
          </cell>
          <cell r="F22">
            <v>-1.8E-3</v>
          </cell>
        </row>
        <row r="23">
          <cell r="B23">
            <v>6.25E-2</v>
          </cell>
          <cell r="C23">
            <v>1.09E-2</v>
          </cell>
          <cell r="D23">
            <v>2.8999999999999998E-3</v>
          </cell>
          <cell r="E23">
            <v>-3.4999999999999996E-3</v>
          </cell>
          <cell r="F23">
            <v>-1.9E-3</v>
          </cell>
        </row>
        <row r="24">
          <cell r="B24">
            <v>6.7599999999999993E-2</v>
          </cell>
          <cell r="C24">
            <v>1.34E-2</v>
          </cell>
          <cell r="D24">
            <v>3.7000000000000002E-3</v>
          </cell>
          <cell r="E24">
            <v>-3.4999999999999996E-3</v>
          </cell>
          <cell r="F24">
            <v>-2E-3</v>
          </cell>
        </row>
        <row r="25">
          <cell r="B25">
            <v>7.0699999999999999E-2</v>
          </cell>
          <cell r="C25">
            <v>1.1899999999999999E-2</v>
          </cell>
          <cell r="D25">
            <v>3.3E-3</v>
          </cell>
          <cell r="E25">
            <v>-3.0000000000000001E-3</v>
          </cell>
          <cell r="F25">
            <v>-1.7000000000000001E-3</v>
          </cell>
        </row>
      </sheetData>
      <sheetData sheetId="5">
        <row r="15">
          <cell r="B15">
            <v>4.1900000000000007E-2</v>
          </cell>
          <cell r="C15">
            <v>3.4000000000000002E-3</v>
          </cell>
          <cell r="D15">
            <v>8.9999999999999998E-4</v>
          </cell>
          <cell r="E15">
            <v>-2.5999999999999999E-3</v>
          </cell>
          <cell r="F15">
            <v>-1.4000000000000002E-3</v>
          </cell>
        </row>
        <row r="16">
          <cell r="B16">
            <v>4.8000000000000001E-2</v>
          </cell>
          <cell r="C16">
            <v>4.0999999999999995E-3</v>
          </cell>
          <cell r="D16">
            <v>1.1000000000000001E-3</v>
          </cell>
          <cell r="E16">
            <v>-3.0999999999999999E-3</v>
          </cell>
          <cell r="F16">
            <v>-1.6000000000000001E-3</v>
          </cell>
        </row>
        <row r="17">
          <cell r="B17">
            <v>5.1399999999999994E-2</v>
          </cell>
          <cell r="C17">
            <v>5.0000000000000001E-3</v>
          </cell>
          <cell r="D17">
            <v>1.4000000000000002E-3</v>
          </cell>
          <cell r="E17">
            <v>-3.5999999999999999E-3</v>
          </cell>
          <cell r="F17">
            <v>-1.8E-3</v>
          </cell>
        </row>
        <row r="18">
          <cell r="B18">
            <v>0.05</v>
          </cell>
          <cell r="C18">
            <v>5.1000000000000004E-3</v>
          </cell>
          <cell r="D18">
            <v>1.4000000000000002E-3</v>
          </cell>
          <cell r="E18">
            <v>-3.5999999999999999E-3</v>
          </cell>
          <cell r="F18">
            <v>-1.8E-3</v>
          </cell>
        </row>
        <row r="19">
          <cell r="B19">
            <v>5.2499999999999998E-2</v>
          </cell>
          <cell r="C19">
            <v>6.3E-3</v>
          </cell>
          <cell r="D19">
            <v>1.7000000000000001E-3</v>
          </cell>
          <cell r="E19">
            <v>-3.9000000000000003E-3</v>
          </cell>
          <cell r="F19">
            <v>-2E-3</v>
          </cell>
        </row>
        <row r="20">
          <cell r="B20">
            <v>5.2699999999999997E-2</v>
          </cell>
          <cell r="C20">
            <v>6.9999999999999993E-3</v>
          </cell>
          <cell r="D20">
            <v>1.9E-3</v>
          </cell>
          <cell r="E20">
            <v>-4.0000000000000001E-3</v>
          </cell>
          <cell r="F20">
            <v>-2.0999999999999999E-3</v>
          </cell>
        </row>
        <row r="21">
          <cell r="B21">
            <v>5.5800000000000002E-2</v>
          </cell>
          <cell r="C21">
            <v>8.6999999999999994E-3</v>
          </cell>
          <cell r="D21">
            <v>2.3E-3</v>
          </cell>
          <cell r="E21">
            <v>-3.9000000000000003E-3</v>
          </cell>
          <cell r="F21">
            <v>-2.0999999999999999E-3</v>
          </cell>
        </row>
        <row r="22">
          <cell r="B22">
            <v>6.0899999999999996E-2</v>
          </cell>
          <cell r="C22">
            <v>1.0500000000000001E-2</v>
          </cell>
          <cell r="D22">
            <v>2.7000000000000001E-3</v>
          </cell>
          <cell r="E22">
            <v>-4.4000000000000003E-3</v>
          </cell>
          <cell r="F22">
            <v>-2.3999999999999998E-3</v>
          </cell>
        </row>
        <row r="23">
          <cell r="B23">
            <v>6.2699999999999992E-2</v>
          </cell>
          <cell r="C23">
            <v>1.1200000000000002E-2</v>
          </cell>
          <cell r="D23">
            <v>2.8000000000000004E-3</v>
          </cell>
          <cell r="E23">
            <v>-4.5000000000000005E-3</v>
          </cell>
          <cell r="F23">
            <v>-2.5000000000000001E-3</v>
          </cell>
        </row>
        <row r="24">
          <cell r="B24">
            <v>6.7599999999999993E-2</v>
          </cell>
          <cell r="C24">
            <v>1.3600000000000001E-2</v>
          </cell>
          <cell r="D24">
            <v>3.4999999999999996E-3</v>
          </cell>
          <cell r="E24">
            <v>-5.1999999999999998E-3</v>
          </cell>
          <cell r="F24">
            <v>-3.0999999999999999E-3</v>
          </cell>
        </row>
        <row r="25">
          <cell r="B25">
            <v>7.0599999999999996E-2</v>
          </cell>
          <cell r="C25">
            <v>1.1899999999999999E-2</v>
          </cell>
          <cell r="D25">
            <v>3.0999999999999999E-3</v>
          </cell>
          <cell r="E25">
            <v>-4.7999999999999996E-3</v>
          </cell>
          <cell r="F25">
            <v>-2.8999999999999998E-3</v>
          </cell>
        </row>
      </sheetData>
      <sheetData sheetId="6">
        <row r="15">
          <cell r="B15">
            <v>4.3400000000000001E-2</v>
          </cell>
          <cell r="C15">
            <v>3.3E-3</v>
          </cell>
          <cell r="D15">
            <v>8.9999999999999998E-4</v>
          </cell>
          <cell r="E15">
            <v>-5.6999999999999993E-3</v>
          </cell>
          <cell r="F15">
            <v>-2.8999999999999998E-3</v>
          </cell>
        </row>
        <row r="16">
          <cell r="B16">
            <v>4.7699999999999992E-2</v>
          </cell>
          <cell r="C16">
            <v>3.5999999999999999E-3</v>
          </cell>
          <cell r="D16">
            <v>1.1000000000000001E-3</v>
          </cell>
          <cell r="E16">
            <v>-6.0000000000000001E-3</v>
          </cell>
          <cell r="F16">
            <v>-3.2000000000000002E-3</v>
          </cell>
        </row>
        <row r="17">
          <cell r="B17">
            <v>5.5300000000000002E-2</v>
          </cell>
          <cell r="C17">
            <v>4.4000000000000003E-3</v>
          </cell>
          <cell r="D17">
            <v>1.2999999999999999E-3</v>
          </cell>
          <cell r="E17">
            <v>-7.1999999999999998E-3</v>
          </cell>
          <cell r="F17">
            <v>-3.9000000000000003E-3</v>
          </cell>
        </row>
        <row r="18">
          <cell r="B18">
            <v>5.3499999999999999E-2</v>
          </cell>
          <cell r="C18">
            <v>4.7999999999999996E-3</v>
          </cell>
          <cell r="D18">
            <v>1.4000000000000002E-3</v>
          </cell>
          <cell r="E18">
            <v>-7.9000000000000008E-3</v>
          </cell>
          <cell r="F18">
            <v>-4.3E-3</v>
          </cell>
        </row>
        <row r="19">
          <cell r="B19">
            <v>5.8799999999999998E-2</v>
          </cell>
          <cell r="C19">
            <v>5.4000000000000003E-3</v>
          </cell>
          <cell r="D19">
            <v>1.6000000000000001E-3</v>
          </cell>
          <cell r="E19">
            <v>-1.1299999999999999E-2</v>
          </cell>
          <cell r="F19">
            <v>-6.0999999999999995E-3</v>
          </cell>
        </row>
        <row r="20">
          <cell r="B20">
            <v>5.96E-2</v>
          </cell>
          <cell r="C20">
            <v>5.8999999999999999E-3</v>
          </cell>
          <cell r="D20">
            <v>1.7000000000000001E-3</v>
          </cell>
          <cell r="E20">
            <v>-1.21E-2</v>
          </cell>
          <cell r="F20">
            <v>-6.4000000000000003E-3</v>
          </cell>
        </row>
        <row r="21">
          <cell r="B21">
            <v>6.4600000000000005E-2</v>
          </cell>
          <cell r="C21">
            <v>7.4999999999999997E-3</v>
          </cell>
          <cell r="D21">
            <v>2E-3</v>
          </cell>
          <cell r="E21">
            <v>-1.47E-2</v>
          </cell>
          <cell r="F21">
            <v>-7.7000000000000002E-3</v>
          </cell>
        </row>
        <row r="22">
          <cell r="B22">
            <v>6.9000000000000006E-2</v>
          </cell>
          <cell r="C22">
            <v>9.1999999999999998E-3</v>
          </cell>
          <cell r="D22">
            <v>2.5000000000000001E-3</v>
          </cell>
          <cell r="E22">
            <v>-1.7399999999999999E-2</v>
          </cell>
          <cell r="F22">
            <v>-9.0000000000000011E-3</v>
          </cell>
        </row>
        <row r="23">
          <cell r="B23">
            <v>7.2499999999999995E-2</v>
          </cell>
          <cell r="C23">
            <v>1.1000000000000001E-2</v>
          </cell>
          <cell r="D23">
            <v>2.8999999999999998E-3</v>
          </cell>
          <cell r="E23">
            <v>-0.02</v>
          </cell>
          <cell r="F23">
            <v>-1.03E-2</v>
          </cell>
        </row>
        <row r="24">
          <cell r="B24">
            <v>7.6600000000000001E-2</v>
          </cell>
          <cell r="C24">
            <v>1.23E-2</v>
          </cell>
          <cell r="D24">
            <v>3.4000000000000002E-3</v>
          </cell>
          <cell r="E24">
            <v>-2.1899999999999999E-2</v>
          </cell>
          <cell r="F24">
            <v>-1.1599999999999999E-2</v>
          </cell>
        </row>
        <row r="25">
          <cell r="B25">
            <v>8.09E-2</v>
          </cell>
          <cell r="C25">
            <v>1.2500000000000001E-2</v>
          </cell>
          <cell r="D25">
            <v>3.4999999999999996E-3</v>
          </cell>
          <cell r="E25">
            <v>-2.2200000000000001E-2</v>
          </cell>
          <cell r="F25">
            <v>-1.1899999999999999E-2</v>
          </cell>
        </row>
      </sheetData>
      <sheetData sheetId="7">
        <row r="15">
          <cell r="B15">
            <v>4.8000000000000001E-2</v>
          </cell>
          <cell r="C15">
            <v>3.7000000000000002E-3</v>
          </cell>
          <cell r="D15">
            <v>1E-3</v>
          </cell>
          <cell r="E15">
            <v>-6.4000000000000003E-3</v>
          </cell>
          <cell r="F15">
            <v>-3.3E-3</v>
          </cell>
        </row>
        <row r="16">
          <cell r="B16">
            <v>4.9400000000000006E-2</v>
          </cell>
          <cell r="C16">
            <v>3.8E-3</v>
          </cell>
          <cell r="D16">
            <v>1E-3</v>
          </cell>
          <cell r="E16">
            <v>-6.6E-3</v>
          </cell>
          <cell r="F16">
            <v>-3.4000000000000002E-3</v>
          </cell>
        </row>
        <row r="17">
          <cell r="B17">
            <v>5.7300000000000004E-2</v>
          </cell>
          <cell r="C17">
            <v>5.0000000000000001E-3</v>
          </cell>
          <cell r="D17">
            <v>1.2999999999999999E-3</v>
          </cell>
          <cell r="E17">
            <v>-8.6999999999999994E-3</v>
          </cell>
          <cell r="F17">
            <v>-4.5000000000000005E-3</v>
          </cell>
        </row>
        <row r="18">
          <cell r="B18">
            <v>5.4299999999999994E-2</v>
          </cell>
          <cell r="C18">
            <v>4.7999999999999996E-3</v>
          </cell>
          <cell r="D18">
            <v>1.2999999999999999E-3</v>
          </cell>
          <cell r="E18">
            <v>-8.5000000000000006E-3</v>
          </cell>
          <cell r="F18">
            <v>-4.4000000000000003E-3</v>
          </cell>
        </row>
        <row r="19">
          <cell r="B19">
            <v>5.9500000000000004E-2</v>
          </cell>
          <cell r="C19">
            <v>5.5000000000000005E-3</v>
          </cell>
          <cell r="D19">
            <v>1.5E-3</v>
          </cell>
          <cell r="E19">
            <v>-1.23E-2</v>
          </cell>
          <cell r="F19">
            <v>-6.3E-3</v>
          </cell>
        </row>
        <row r="20">
          <cell r="B20">
            <v>6.0299999999999999E-2</v>
          </cell>
          <cell r="C20">
            <v>6.0000000000000001E-3</v>
          </cell>
          <cell r="D20">
            <v>1.6000000000000001E-3</v>
          </cell>
          <cell r="E20">
            <v>-1.3000000000000001E-2</v>
          </cell>
          <cell r="F20">
            <v>-6.7000000000000002E-3</v>
          </cell>
        </row>
        <row r="21">
          <cell r="B21">
            <v>6.5099999999999991E-2</v>
          </cell>
          <cell r="C21">
            <v>7.6E-3</v>
          </cell>
          <cell r="D21">
            <v>1.9E-3</v>
          </cell>
          <cell r="E21">
            <v>-1.6E-2</v>
          </cell>
          <cell r="F21">
            <v>-8.199999999999999E-3</v>
          </cell>
        </row>
        <row r="22">
          <cell r="B22">
            <v>7.0300000000000001E-2</v>
          </cell>
          <cell r="C22">
            <v>1.01E-2</v>
          </cell>
          <cell r="D22">
            <v>2.5000000000000001E-3</v>
          </cell>
          <cell r="E22">
            <v>-2.0299999999999999E-2</v>
          </cell>
          <cell r="F22">
            <v>-1.04E-2</v>
          </cell>
        </row>
        <row r="23">
          <cell r="B23">
            <v>7.3099999999999998E-2</v>
          </cell>
          <cell r="C23">
            <v>1.1200000000000002E-2</v>
          </cell>
          <cell r="D23">
            <v>2.8000000000000004E-3</v>
          </cell>
          <cell r="E23">
            <v>-2.2400000000000003E-2</v>
          </cell>
          <cell r="F23">
            <v>-1.15E-2</v>
          </cell>
        </row>
        <row r="24">
          <cell r="B24">
            <v>7.7499999999999999E-2</v>
          </cell>
          <cell r="C24">
            <v>1.1899999999999999E-2</v>
          </cell>
          <cell r="D24">
            <v>2.8000000000000004E-3</v>
          </cell>
          <cell r="E24">
            <v>-2.4399999999999998E-2</v>
          </cell>
          <cell r="F24">
            <v>-1.2699999999999999E-2</v>
          </cell>
        </row>
        <row r="25">
          <cell r="B25">
            <v>8.2100000000000006E-2</v>
          </cell>
          <cell r="C25">
            <v>1.18E-2</v>
          </cell>
          <cell r="D25">
            <v>2.5999999999999999E-3</v>
          </cell>
          <cell r="E25">
            <v>-2.52E-2</v>
          </cell>
          <cell r="F25">
            <v>-1.3300000000000001E-2</v>
          </cell>
        </row>
      </sheetData>
      <sheetData sheetId="8">
        <row r="15">
          <cell r="B15">
            <v>0.14940000000000001</v>
          </cell>
          <cell r="C15">
            <v>1.61E-2</v>
          </cell>
          <cell r="D15">
            <v>4.0000000000000001E-3</v>
          </cell>
          <cell r="E15">
            <v>-7.9100000000000004E-2</v>
          </cell>
          <cell r="F15">
            <v>-4.0199999999999993E-2</v>
          </cell>
        </row>
        <row r="16">
          <cell r="B16">
            <v>0.11840000000000001</v>
          </cell>
          <cell r="C16">
            <v>1.0700000000000001E-2</v>
          </cell>
          <cell r="D16">
            <v>3.4000000000000002E-3</v>
          </cell>
          <cell r="E16">
            <v>-4.3099999999999999E-2</v>
          </cell>
          <cell r="F16">
            <v>-2.75E-2</v>
          </cell>
        </row>
        <row r="17">
          <cell r="B17">
            <v>0.1195</v>
          </cell>
          <cell r="C17">
            <v>9.4999999999999998E-3</v>
          </cell>
          <cell r="D17">
            <v>3.0999999999999999E-3</v>
          </cell>
          <cell r="E17">
            <v>-3.9599999999999996E-2</v>
          </cell>
          <cell r="F17">
            <v>-2.53E-2</v>
          </cell>
        </row>
        <row r="18">
          <cell r="B18">
            <v>0.10779999999999999</v>
          </cell>
          <cell r="C18">
            <v>8.0000000000000002E-3</v>
          </cell>
          <cell r="D18">
            <v>2.5999999999999999E-3</v>
          </cell>
          <cell r="E18">
            <v>-3.6699999999999997E-2</v>
          </cell>
          <cell r="F18">
            <v>-2.35E-2</v>
          </cell>
        </row>
        <row r="19">
          <cell r="B19">
            <v>0.1008</v>
          </cell>
          <cell r="C19">
            <v>8.3000000000000001E-3</v>
          </cell>
          <cell r="D19">
            <v>2.5999999999999999E-3</v>
          </cell>
          <cell r="E19">
            <v>-3.3700000000000001E-2</v>
          </cell>
          <cell r="F19">
            <v>-2.0899999999999998E-2</v>
          </cell>
        </row>
        <row r="20">
          <cell r="B20">
            <v>9.7100000000000006E-2</v>
          </cell>
          <cell r="C20">
            <v>8.6999999999999994E-3</v>
          </cell>
          <cell r="D20">
            <v>2.8000000000000004E-3</v>
          </cell>
          <cell r="E20">
            <v>-3.1899999999999998E-2</v>
          </cell>
          <cell r="F20">
            <v>-1.9099999999999999E-2</v>
          </cell>
        </row>
        <row r="21">
          <cell r="B21">
            <v>9.2200000000000004E-2</v>
          </cell>
          <cell r="C21">
            <v>1.0700000000000001E-2</v>
          </cell>
          <cell r="D21">
            <v>3.4000000000000002E-3</v>
          </cell>
          <cell r="E21">
            <v>-2.4500000000000001E-2</v>
          </cell>
          <cell r="F21">
            <v>-1.24E-2</v>
          </cell>
        </row>
        <row r="22">
          <cell r="B22">
            <v>0.09</v>
          </cell>
          <cell r="C22">
            <v>1.1399999999999999E-2</v>
          </cell>
          <cell r="D22">
            <v>3.4999999999999996E-3</v>
          </cell>
          <cell r="E22">
            <v>-1.3899999999999999E-2</v>
          </cell>
          <cell r="F22">
            <v>-6.8000000000000005E-3</v>
          </cell>
        </row>
        <row r="23">
          <cell r="B23">
            <v>8.8800000000000004E-2</v>
          </cell>
          <cell r="C23">
            <v>1.2199999999999999E-2</v>
          </cell>
          <cell r="D23">
            <v>3.4999999999999996E-3</v>
          </cell>
          <cell r="E23">
            <v>-8.3000000000000001E-3</v>
          </cell>
          <cell r="F23">
            <v>-4.0999999999999995E-3</v>
          </cell>
        </row>
        <row r="24">
          <cell r="B24">
            <v>8.6099999999999996E-2</v>
          </cell>
          <cell r="C24">
            <v>1.41E-2</v>
          </cell>
          <cell r="D24">
            <v>3.9000000000000003E-3</v>
          </cell>
          <cell r="E24">
            <v>-1E-4</v>
          </cell>
          <cell r="F24">
            <v>-7.000000000000001E-4</v>
          </cell>
        </row>
        <row r="25">
          <cell r="B25">
            <v>8.4199999999999997E-2</v>
          </cell>
          <cell r="C25">
            <v>1.54E-2</v>
          </cell>
          <cell r="D25">
            <v>4.3E-3</v>
          </cell>
          <cell r="E25">
            <v>2.5000000000000001E-3</v>
          </cell>
          <cell r="F25">
            <v>2.0000000000000001E-4</v>
          </cell>
        </row>
      </sheetData>
      <sheetData sheetId="9">
        <row r="15">
          <cell r="B15">
            <v>0.1474</v>
          </cell>
          <cell r="C15">
            <v>1.49E-2</v>
          </cell>
          <cell r="D15">
            <v>4.1999999999999997E-3</v>
          </cell>
          <cell r="E15">
            <v>-6.7400000000000002E-2</v>
          </cell>
          <cell r="F15">
            <v>-3.4099999999999998E-2</v>
          </cell>
        </row>
        <row r="16">
          <cell r="B16">
            <v>0.11689999999999999</v>
          </cell>
          <cell r="C16">
            <v>1.18E-2</v>
          </cell>
          <cell r="D16">
            <v>3.3E-3</v>
          </cell>
          <cell r="E16">
            <v>-5.3399999999999996E-2</v>
          </cell>
          <cell r="F16">
            <v>-2.7099999999999999E-2</v>
          </cell>
        </row>
        <row r="17">
          <cell r="B17">
            <v>0.1142</v>
          </cell>
          <cell r="C17">
            <v>1.0800000000000001E-2</v>
          </cell>
          <cell r="D17">
            <v>3.0999999999999999E-3</v>
          </cell>
          <cell r="E17">
            <v>-5.0599999999999999E-2</v>
          </cell>
          <cell r="F17">
            <v>-2.5699999999999997E-2</v>
          </cell>
        </row>
        <row r="18">
          <cell r="B18">
            <v>0.10710000000000001</v>
          </cell>
          <cell r="C18">
            <v>9.7999999999999997E-3</v>
          </cell>
          <cell r="D18">
            <v>2.8000000000000004E-3</v>
          </cell>
          <cell r="E18">
            <v>-4.6699999999999998E-2</v>
          </cell>
          <cell r="F18">
            <v>-2.3700000000000002E-2</v>
          </cell>
        </row>
        <row r="19">
          <cell r="B19">
            <v>9.9700000000000011E-2</v>
          </cell>
          <cell r="C19">
            <v>1.01E-2</v>
          </cell>
          <cell r="D19">
            <v>2.8999999999999998E-3</v>
          </cell>
          <cell r="E19">
            <v>-4.1900000000000007E-2</v>
          </cell>
          <cell r="F19">
            <v>-2.12E-2</v>
          </cell>
        </row>
        <row r="20">
          <cell r="B20">
            <v>9.64E-2</v>
          </cell>
          <cell r="C20">
            <v>1.06E-2</v>
          </cell>
          <cell r="D20">
            <v>3.0999999999999999E-3</v>
          </cell>
          <cell r="E20">
            <v>-3.8599999999999995E-2</v>
          </cell>
          <cell r="F20">
            <v>-1.9400000000000001E-2</v>
          </cell>
        </row>
        <row r="21">
          <cell r="B21">
            <v>9.1600000000000001E-2</v>
          </cell>
          <cell r="C21">
            <v>1.1899999999999999E-2</v>
          </cell>
          <cell r="D21">
            <v>3.4000000000000002E-3</v>
          </cell>
          <cell r="E21">
            <v>-2.6000000000000002E-2</v>
          </cell>
          <cell r="F21">
            <v>-1.2800000000000001E-2</v>
          </cell>
        </row>
        <row r="22">
          <cell r="B22">
            <v>8.9399999999999993E-2</v>
          </cell>
          <cell r="C22">
            <v>1.29E-2</v>
          </cell>
          <cell r="D22">
            <v>3.5999999999999999E-3</v>
          </cell>
          <cell r="E22">
            <v>-1.52E-2</v>
          </cell>
          <cell r="F22">
            <v>-7.3000000000000001E-3</v>
          </cell>
        </row>
        <row r="23">
          <cell r="B23">
            <v>8.8499999999999995E-2</v>
          </cell>
          <cell r="C23">
            <v>1.3300000000000001E-2</v>
          </cell>
          <cell r="D23">
            <v>3.5999999999999999E-3</v>
          </cell>
          <cell r="E23">
            <v>-9.7000000000000003E-3</v>
          </cell>
          <cell r="F23">
            <v>-4.4000000000000003E-3</v>
          </cell>
        </row>
        <row r="24">
          <cell r="B24">
            <v>9.1999999999999998E-2</v>
          </cell>
          <cell r="C24">
            <v>1.52E-2</v>
          </cell>
          <cell r="D24">
            <v>4.0000000000000001E-3</v>
          </cell>
          <cell r="E24">
            <v>-3.4000000000000002E-3</v>
          </cell>
          <cell r="F24">
            <v>-8.9999999999999998E-4</v>
          </cell>
        </row>
        <row r="25">
          <cell r="B25">
            <v>9.2100000000000015E-2</v>
          </cell>
          <cell r="C25">
            <v>1.6799999999999999E-2</v>
          </cell>
          <cell r="D25">
            <v>4.4000000000000003E-3</v>
          </cell>
          <cell r="E25">
            <v>-2.0999999999999999E-3</v>
          </cell>
          <cell r="F25">
            <v>0</v>
          </cell>
        </row>
      </sheetData>
      <sheetData sheetId="10">
        <row r="15">
          <cell r="B15">
            <v>8.929999999999999E-2</v>
          </cell>
          <cell r="C15">
            <v>4.7999999999999996E-3</v>
          </cell>
          <cell r="D15">
            <v>1.2999999999999999E-3</v>
          </cell>
          <cell r="E15">
            <v>-6.8000000000000005E-3</v>
          </cell>
          <cell r="F15">
            <v>-3.4999999999999996E-3</v>
          </cell>
        </row>
        <row r="16">
          <cell r="B16">
            <v>7.8100000000000003E-2</v>
          </cell>
          <cell r="C16">
            <v>5.3E-3</v>
          </cell>
          <cell r="D16">
            <v>1.5E-3</v>
          </cell>
          <cell r="E16">
            <v>-8.6999999999999994E-3</v>
          </cell>
          <cell r="F16">
            <v>-3.9000000000000003E-3</v>
          </cell>
        </row>
        <row r="17">
          <cell r="B17">
            <v>7.9000000000000001E-2</v>
          </cell>
          <cell r="C17">
            <v>5.4000000000000003E-3</v>
          </cell>
          <cell r="D17">
            <v>1.5E-3</v>
          </cell>
          <cell r="E17">
            <v>-8.6999999999999994E-3</v>
          </cell>
          <cell r="F17">
            <v>-4.0000000000000001E-3</v>
          </cell>
        </row>
        <row r="18">
          <cell r="B18">
            <v>7.7800000000000008E-2</v>
          </cell>
          <cell r="C18">
            <v>5.3E-3</v>
          </cell>
          <cell r="D18">
            <v>1.5E-3</v>
          </cell>
          <cell r="E18">
            <v>-8.1000000000000013E-3</v>
          </cell>
          <cell r="F18">
            <v>-4.0000000000000001E-3</v>
          </cell>
        </row>
        <row r="19">
          <cell r="B19">
            <v>8.09E-2</v>
          </cell>
          <cell r="C19">
            <v>6.3E-3</v>
          </cell>
          <cell r="D19">
            <v>1.8E-3</v>
          </cell>
          <cell r="E19">
            <v>-1.01E-2</v>
          </cell>
          <cell r="F19">
            <v>-4.8999999999999998E-3</v>
          </cell>
        </row>
        <row r="20">
          <cell r="B20">
            <v>8.1199999999999994E-2</v>
          </cell>
          <cell r="C20">
            <v>6.8999999999999999E-3</v>
          </cell>
          <cell r="D20">
            <v>2.0999999999999999E-3</v>
          </cell>
          <cell r="E20">
            <v>-1.18E-2</v>
          </cell>
          <cell r="F20">
            <v>-5.6000000000000008E-3</v>
          </cell>
        </row>
        <row r="21">
          <cell r="B21">
            <v>8.2500000000000004E-2</v>
          </cell>
          <cell r="C21">
            <v>7.4000000000000003E-3</v>
          </cell>
          <cell r="D21">
            <v>2.2000000000000001E-3</v>
          </cell>
          <cell r="E21">
            <v>-1.3999999999999999E-2</v>
          </cell>
          <cell r="F21">
            <v>-6.7000000000000002E-3</v>
          </cell>
        </row>
        <row r="22">
          <cell r="B22">
            <v>8.5299999999999987E-2</v>
          </cell>
          <cell r="C22">
            <v>8.3000000000000001E-3</v>
          </cell>
          <cell r="D22">
            <v>2.3999999999999998E-3</v>
          </cell>
          <cell r="E22">
            <v>-1.55E-2</v>
          </cell>
          <cell r="F22">
            <v>-7.4000000000000003E-3</v>
          </cell>
        </row>
        <row r="23">
          <cell r="B23">
            <v>8.7799999999999989E-2</v>
          </cell>
          <cell r="C23">
            <v>9.4999999999999998E-3</v>
          </cell>
          <cell r="D23">
            <v>2.8000000000000004E-3</v>
          </cell>
          <cell r="E23">
            <v>-1.7100000000000001E-2</v>
          </cell>
          <cell r="F23">
            <v>-8.1000000000000013E-3</v>
          </cell>
        </row>
        <row r="24">
          <cell r="B24">
            <v>9.0200000000000002E-2</v>
          </cell>
          <cell r="C24">
            <v>1.1699999999999999E-2</v>
          </cell>
          <cell r="D24">
            <v>3.4999999999999996E-3</v>
          </cell>
          <cell r="E24">
            <v>-1.9400000000000001E-2</v>
          </cell>
          <cell r="F24">
            <v>-9.3999999999999986E-3</v>
          </cell>
        </row>
        <row r="25">
          <cell r="B25">
            <v>9.1600000000000001E-2</v>
          </cell>
          <cell r="C25">
            <v>1.18E-2</v>
          </cell>
          <cell r="D25">
            <v>3.4999999999999996E-3</v>
          </cell>
          <cell r="E25">
            <v>-1.9699999999999999E-2</v>
          </cell>
          <cell r="F25">
            <v>-9.5999999999999992E-3</v>
          </cell>
        </row>
      </sheetData>
      <sheetData sheetId="11">
        <row r="15">
          <cell r="B15">
            <v>8.3900000000000002E-2</v>
          </cell>
          <cell r="C15">
            <v>5.6000000000000008E-3</v>
          </cell>
          <cell r="D15">
            <v>1.5E-3</v>
          </cell>
          <cell r="E15">
            <v>-8.3000000000000001E-3</v>
          </cell>
          <cell r="F15">
            <v>-4.3E-3</v>
          </cell>
        </row>
        <row r="16">
          <cell r="B16">
            <v>7.6700000000000004E-2</v>
          </cell>
          <cell r="C16">
            <v>5.1000000000000004E-3</v>
          </cell>
          <cell r="D16">
            <v>1.4000000000000002E-3</v>
          </cell>
          <cell r="E16">
            <v>-7.6E-3</v>
          </cell>
          <cell r="F16">
            <v>-3.9000000000000003E-3</v>
          </cell>
        </row>
        <row r="17">
          <cell r="B17">
            <v>7.8399999999999997E-2</v>
          </cell>
          <cell r="C17">
            <v>5.3E-3</v>
          </cell>
          <cell r="D17">
            <v>1.4000000000000002E-3</v>
          </cell>
          <cell r="E17">
            <v>-7.9000000000000008E-3</v>
          </cell>
          <cell r="F17">
            <v>-4.0999999999999995E-3</v>
          </cell>
        </row>
        <row r="18">
          <cell r="B18">
            <v>7.6999999999999999E-2</v>
          </cell>
          <cell r="C18">
            <v>5.1999999999999998E-3</v>
          </cell>
          <cell r="D18">
            <v>1.4000000000000002E-3</v>
          </cell>
          <cell r="E18">
            <v>-7.8000000000000005E-3</v>
          </cell>
          <cell r="F18">
            <v>-4.0999999999999995E-3</v>
          </cell>
        </row>
        <row r="19">
          <cell r="B19">
            <v>8.0600000000000005E-2</v>
          </cell>
          <cell r="C19">
            <v>6.3E-3</v>
          </cell>
          <cell r="D19">
            <v>1.7000000000000001E-3</v>
          </cell>
          <cell r="E19">
            <v>-1.01E-2</v>
          </cell>
          <cell r="F19">
            <v>-5.1999999999999998E-3</v>
          </cell>
        </row>
        <row r="20">
          <cell r="B20">
            <v>8.1000000000000003E-2</v>
          </cell>
          <cell r="C20">
            <v>6.8000000000000005E-3</v>
          </cell>
          <cell r="D20">
            <v>1.8E-3</v>
          </cell>
          <cell r="E20">
            <v>-1.15E-2</v>
          </cell>
          <cell r="F20">
            <v>-6.0000000000000001E-3</v>
          </cell>
        </row>
        <row r="21">
          <cell r="B21">
            <v>8.2400000000000001E-2</v>
          </cell>
          <cell r="C21">
            <v>7.1999999999999998E-3</v>
          </cell>
          <cell r="D21">
            <v>1.9E-3</v>
          </cell>
          <cell r="E21">
            <v>-1.37E-2</v>
          </cell>
          <cell r="F21">
            <v>-7.1999999999999998E-3</v>
          </cell>
        </row>
        <row r="22">
          <cell r="B22">
            <v>8.5900000000000004E-2</v>
          </cell>
          <cell r="C22">
            <v>8.6E-3</v>
          </cell>
          <cell r="D22">
            <v>2.2000000000000001E-3</v>
          </cell>
          <cell r="E22">
            <v>-1.61E-2</v>
          </cell>
          <cell r="F22">
            <v>-8.3999999999999995E-3</v>
          </cell>
        </row>
        <row r="23">
          <cell r="B23">
            <v>8.7899999999999992E-2</v>
          </cell>
          <cell r="C23">
            <v>9.3999999999999986E-3</v>
          </cell>
          <cell r="D23">
            <v>2.3E-3</v>
          </cell>
          <cell r="E23">
            <v>-1.7299999999999999E-2</v>
          </cell>
          <cell r="F23">
            <v>-9.1000000000000004E-3</v>
          </cell>
        </row>
        <row r="24">
          <cell r="B24">
            <v>9.0999999999999998E-2</v>
          </cell>
          <cell r="C24">
            <v>1.1000000000000001E-2</v>
          </cell>
          <cell r="D24">
            <v>2.5999999999999999E-3</v>
          </cell>
          <cell r="E24">
            <v>-0.02</v>
          </cell>
          <cell r="F24">
            <v>-1.06E-2</v>
          </cell>
        </row>
        <row r="25">
          <cell r="B25">
            <v>9.2799999999999994E-2</v>
          </cell>
          <cell r="C25">
            <v>1.09E-2</v>
          </cell>
          <cell r="D25">
            <v>2.5000000000000001E-3</v>
          </cell>
          <cell r="E25">
            <v>-2.07E-2</v>
          </cell>
          <cell r="F25">
            <v>-1.11E-2</v>
          </cell>
        </row>
      </sheetData>
      <sheetData sheetId="12">
        <row r="15">
          <cell r="B15">
            <v>7.0099999999999996E-2</v>
          </cell>
          <cell r="C15">
            <v>5.1000000000000004E-3</v>
          </cell>
          <cell r="D15">
            <v>1.4000000000000002E-3</v>
          </cell>
          <cell r="E15">
            <v>-7.7000000000000002E-3</v>
          </cell>
          <cell r="F15">
            <v>-3.9000000000000003E-3</v>
          </cell>
        </row>
        <row r="16">
          <cell r="B16">
            <v>6.6799999999999998E-2</v>
          </cell>
          <cell r="C16">
            <v>4.8999999999999998E-3</v>
          </cell>
          <cell r="D16">
            <v>1.4000000000000002E-3</v>
          </cell>
          <cell r="E16">
            <v>-6.9999999999999993E-3</v>
          </cell>
          <cell r="F16">
            <v>-3.7000000000000002E-3</v>
          </cell>
        </row>
        <row r="17">
          <cell r="B17">
            <v>6.9099999999999995E-2</v>
          </cell>
          <cell r="C17">
            <v>5.0000000000000001E-3</v>
          </cell>
          <cell r="D17">
            <v>1.4000000000000002E-3</v>
          </cell>
          <cell r="E17">
            <v>-7.1999999999999998E-3</v>
          </cell>
          <cell r="F17">
            <v>-3.9000000000000003E-3</v>
          </cell>
        </row>
        <row r="18">
          <cell r="B18">
            <v>6.7699999999999996E-2</v>
          </cell>
          <cell r="C18">
            <v>5.0000000000000001E-3</v>
          </cell>
          <cell r="D18">
            <v>1.4000000000000002E-3</v>
          </cell>
          <cell r="E18">
            <v>-7.0999999999999995E-3</v>
          </cell>
          <cell r="F18">
            <v>-3.8E-3</v>
          </cell>
        </row>
        <row r="19">
          <cell r="B19">
            <v>6.7799999999999999E-2</v>
          </cell>
          <cell r="C19">
            <v>5.4000000000000003E-3</v>
          </cell>
          <cell r="D19">
            <v>1.5E-3</v>
          </cell>
          <cell r="E19">
            <v>-7.4999999999999997E-3</v>
          </cell>
          <cell r="F19">
            <v>-4.0999999999999995E-3</v>
          </cell>
        </row>
        <row r="20">
          <cell r="B20">
            <v>6.7900000000000002E-2</v>
          </cell>
          <cell r="C20">
            <v>5.8999999999999999E-3</v>
          </cell>
          <cell r="D20">
            <v>1.6000000000000001E-3</v>
          </cell>
          <cell r="E20">
            <v>-8.1000000000000013E-3</v>
          </cell>
          <cell r="F20">
            <v>-4.4000000000000003E-3</v>
          </cell>
        </row>
        <row r="21">
          <cell r="B21">
            <v>6.9800000000000001E-2</v>
          </cell>
          <cell r="C21">
            <v>8.199999999999999E-3</v>
          </cell>
          <cell r="D21">
            <v>2.2000000000000001E-3</v>
          </cell>
          <cell r="E21">
            <v>-1.06E-2</v>
          </cell>
          <cell r="F21">
            <v>-5.6999999999999993E-3</v>
          </cell>
        </row>
        <row r="22">
          <cell r="B22">
            <v>7.2400000000000006E-2</v>
          </cell>
          <cell r="C22">
            <v>9.4999999999999998E-3</v>
          </cell>
          <cell r="D22">
            <v>2.3999999999999998E-3</v>
          </cell>
          <cell r="E22">
            <v>-1.15E-2</v>
          </cell>
          <cell r="F22">
            <v>-6.0999999999999995E-3</v>
          </cell>
        </row>
        <row r="23">
          <cell r="B23">
            <v>7.4800000000000005E-2</v>
          </cell>
          <cell r="C23">
            <v>1.0700000000000001E-2</v>
          </cell>
          <cell r="D23">
            <v>2.7000000000000001E-3</v>
          </cell>
          <cell r="E23">
            <v>-1.23E-2</v>
          </cell>
          <cell r="F23">
            <v>-6.6E-3</v>
          </cell>
        </row>
        <row r="24">
          <cell r="B24">
            <v>7.8799999999999995E-2</v>
          </cell>
          <cell r="C24">
            <v>1.1599999999999999E-2</v>
          </cell>
          <cell r="D24">
            <v>3.0999999999999999E-3</v>
          </cell>
          <cell r="E24">
            <v>-1.3300000000000001E-2</v>
          </cell>
          <cell r="F24">
            <v>-7.4999999999999997E-3</v>
          </cell>
        </row>
        <row r="25">
          <cell r="B25">
            <v>8.1600000000000006E-2</v>
          </cell>
          <cell r="C25">
            <v>1.18E-2</v>
          </cell>
          <cell r="D25">
            <v>3.0000000000000001E-3</v>
          </cell>
          <cell r="E25">
            <v>-1.47E-2</v>
          </cell>
          <cell r="F25">
            <v>-8.3999999999999995E-3</v>
          </cell>
        </row>
      </sheetData>
      <sheetData sheetId="13">
        <row r="15">
          <cell r="B15">
            <v>7.1099999999999997E-2</v>
          </cell>
          <cell r="C15">
            <v>5.1999999999999998E-3</v>
          </cell>
          <cell r="D15">
            <v>1.4000000000000002E-3</v>
          </cell>
          <cell r="E15">
            <v>5.0000000000000001E-4</v>
          </cell>
          <cell r="F15">
            <v>2.0000000000000001E-4</v>
          </cell>
        </row>
        <row r="16">
          <cell r="B16">
            <v>6.6900000000000001E-2</v>
          </cell>
          <cell r="C16">
            <v>4.8999999999999998E-3</v>
          </cell>
          <cell r="D16">
            <v>1.4000000000000002E-3</v>
          </cell>
          <cell r="E16">
            <v>4.0000000000000002E-4</v>
          </cell>
          <cell r="F16">
            <v>2.0000000000000001E-4</v>
          </cell>
        </row>
        <row r="17">
          <cell r="B17">
            <v>6.8499999999999991E-2</v>
          </cell>
          <cell r="C17">
            <v>5.1000000000000004E-3</v>
          </cell>
          <cell r="D17">
            <v>1.4000000000000002E-3</v>
          </cell>
          <cell r="E17">
            <v>1.7000000000000001E-3</v>
          </cell>
          <cell r="F17">
            <v>8.0000000000000004E-4</v>
          </cell>
        </row>
        <row r="18">
          <cell r="B18">
            <v>6.7599999999999993E-2</v>
          </cell>
          <cell r="C18">
            <v>5.1000000000000004E-3</v>
          </cell>
          <cell r="D18">
            <v>1.4000000000000002E-3</v>
          </cell>
          <cell r="E18">
            <v>2.2000000000000001E-3</v>
          </cell>
          <cell r="F18">
            <v>1.1000000000000001E-3</v>
          </cell>
        </row>
        <row r="19">
          <cell r="B19">
            <v>6.7699999999999996E-2</v>
          </cell>
          <cell r="C19">
            <v>5.6999999999999993E-3</v>
          </cell>
          <cell r="D19">
            <v>1.6000000000000001E-3</v>
          </cell>
          <cell r="E19">
            <v>5.6999999999999993E-3</v>
          </cell>
          <cell r="F19">
            <v>2.8999999999999998E-3</v>
          </cell>
        </row>
        <row r="20">
          <cell r="B20">
            <v>6.7699999999999996E-2</v>
          </cell>
          <cell r="C20">
            <v>6.3E-3</v>
          </cell>
          <cell r="D20">
            <v>1.7000000000000001E-3</v>
          </cell>
          <cell r="E20">
            <v>8.8999999999999999E-3</v>
          </cell>
          <cell r="F20">
            <v>4.5000000000000005E-3</v>
          </cell>
        </row>
        <row r="21">
          <cell r="B21">
            <v>6.9500000000000006E-2</v>
          </cell>
          <cell r="C21">
            <v>8.8999999999999999E-3</v>
          </cell>
          <cell r="D21">
            <v>2.5000000000000001E-3</v>
          </cell>
          <cell r="E21">
            <v>1.2E-2</v>
          </cell>
          <cell r="F21">
            <v>5.8999999999999999E-3</v>
          </cell>
        </row>
        <row r="22">
          <cell r="B22">
            <v>7.2800000000000004E-2</v>
          </cell>
          <cell r="C22">
            <v>1.11E-2</v>
          </cell>
          <cell r="D22">
            <v>3.0999999999999999E-3</v>
          </cell>
          <cell r="E22">
            <v>1.3899999999999999E-2</v>
          </cell>
          <cell r="F22">
            <v>6.7000000000000002E-3</v>
          </cell>
        </row>
        <row r="23">
          <cell r="B23">
            <v>7.4700000000000003E-2</v>
          </cell>
          <cell r="C23">
            <v>1.2199999999999999E-2</v>
          </cell>
          <cell r="D23">
            <v>3.4000000000000002E-3</v>
          </cell>
          <cell r="E23">
            <v>1.49E-2</v>
          </cell>
          <cell r="F23">
            <v>7.0999999999999995E-3</v>
          </cell>
        </row>
        <row r="24">
          <cell r="B24">
            <v>7.8399999999999997E-2</v>
          </cell>
          <cell r="C24">
            <v>1.3100000000000001E-2</v>
          </cell>
          <cell r="D24">
            <v>3.5999999999999999E-3</v>
          </cell>
          <cell r="E24">
            <v>1.6500000000000001E-2</v>
          </cell>
          <cell r="F24">
            <v>7.7000000000000002E-3</v>
          </cell>
        </row>
        <row r="25">
          <cell r="B25">
            <v>8.199999999999999E-2</v>
          </cell>
          <cell r="C25">
            <v>1.3899999999999999E-2</v>
          </cell>
          <cell r="D25">
            <v>3.9000000000000003E-3</v>
          </cell>
          <cell r="E25">
            <v>1.9099999999999999E-2</v>
          </cell>
          <cell r="F25">
            <v>8.8000000000000005E-3</v>
          </cell>
        </row>
      </sheetData>
      <sheetData sheetId="14">
        <row r="15">
          <cell r="B15">
            <v>0.13750000000000001</v>
          </cell>
          <cell r="C15">
            <v>9.1999999999999998E-3</v>
          </cell>
          <cell r="D15">
            <v>2.3999999999999998E-3</v>
          </cell>
          <cell r="E15">
            <v>-5.2699999999999997E-2</v>
          </cell>
          <cell r="F15">
            <v>-2.7200000000000002E-2</v>
          </cell>
        </row>
        <row r="16">
          <cell r="B16">
            <v>0.10279999999999999</v>
          </cell>
          <cell r="C16">
            <v>1.0700000000000001E-2</v>
          </cell>
          <cell r="D16">
            <v>2.7000000000000001E-3</v>
          </cell>
          <cell r="E16">
            <v>-4.1299999999999996E-2</v>
          </cell>
          <cell r="F16">
            <v>-2.1000000000000001E-2</v>
          </cell>
        </row>
        <row r="17">
          <cell r="B17">
            <v>0.10390000000000001</v>
          </cell>
          <cell r="C17">
            <v>1.0500000000000001E-2</v>
          </cell>
          <cell r="D17">
            <v>2.7000000000000001E-3</v>
          </cell>
          <cell r="E17">
            <v>-4.0500000000000001E-2</v>
          </cell>
          <cell r="F17">
            <v>-2.12E-2</v>
          </cell>
        </row>
        <row r="18">
          <cell r="B18">
            <v>9.6799999999999997E-2</v>
          </cell>
          <cell r="C18">
            <v>9.7000000000000003E-3</v>
          </cell>
          <cell r="D18">
            <v>2.3999999999999998E-3</v>
          </cell>
          <cell r="E18">
            <v>-3.5499999999999997E-2</v>
          </cell>
          <cell r="F18">
            <v>-2.0099999999999996E-2</v>
          </cell>
        </row>
        <row r="19">
          <cell r="B19">
            <v>9.0800000000000006E-2</v>
          </cell>
          <cell r="C19">
            <v>9.7999999999999997E-3</v>
          </cell>
          <cell r="D19">
            <v>2.5000000000000001E-3</v>
          </cell>
          <cell r="E19">
            <v>-2.9900000000000003E-2</v>
          </cell>
          <cell r="F19">
            <v>-1.6799999999999999E-2</v>
          </cell>
        </row>
        <row r="20">
          <cell r="B20">
            <v>8.8399999999999992E-2</v>
          </cell>
          <cell r="C20">
            <v>1.03E-2</v>
          </cell>
          <cell r="D20">
            <v>2.5999999999999999E-3</v>
          </cell>
          <cell r="E20">
            <v>-2.8300000000000002E-2</v>
          </cell>
          <cell r="F20">
            <v>-1.5800000000000002E-2</v>
          </cell>
        </row>
        <row r="21">
          <cell r="B21">
            <v>8.539999999999999E-2</v>
          </cell>
          <cell r="C21">
            <v>1.01E-2</v>
          </cell>
          <cell r="D21">
            <v>2.5000000000000001E-3</v>
          </cell>
          <cell r="E21">
            <v>-1.9599999999999999E-2</v>
          </cell>
          <cell r="F21">
            <v>-1.0700000000000001E-2</v>
          </cell>
        </row>
        <row r="22">
          <cell r="B22">
            <v>8.4600000000000009E-2</v>
          </cell>
          <cell r="C22">
            <v>1.0800000000000001E-2</v>
          </cell>
          <cell r="D22">
            <v>2.7000000000000001E-3</v>
          </cell>
          <cell r="E22">
            <v>-1.5700000000000002E-2</v>
          </cell>
          <cell r="F22">
            <v>-8.3999999999999995E-3</v>
          </cell>
        </row>
        <row r="23">
          <cell r="B23">
            <v>8.43E-2</v>
          </cell>
          <cell r="C23">
            <v>1.1200000000000002E-2</v>
          </cell>
          <cell r="D23">
            <v>2.8999999999999998E-3</v>
          </cell>
          <cell r="E23">
            <v>-1.11E-2</v>
          </cell>
          <cell r="F23">
            <v>-5.8999999999999999E-3</v>
          </cell>
        </row>
        <row r="24">
          <cell r="B24">
            <v>8.4499999999999992E-2</v>
          </cell>
          <cell r="C24">
            <v>1.2E-2</v>
          </cell>
          <cell r="D24">
            <v>3.0999999999999999E-3</v>
          </cell>
          <cell r="E24">
            <v>-8.8000000000000005E-3</v>
          </cell>
          <cell r="F24">
            <v>-4.8999999999999998E-3</v>
          </cell>
        </row>
        <row r="25">
          <cell r="B25">
            <v>8.5000000000000006E-2</v>
          </cell>
          <cell r="C25">
            <v>1.4999999999999999E-2</v>
          </cell>
          <cell r="D25">
            <v>3.8E-3</v>
          </cell>
          <cell r="E25">
            <v>-7.4000000000000003E-3</v>
          </cell>
          <cell r="F25">
            <v>-4.5000000000000005E-3</v>
          </cell>
        </row>
      </sheetData>
      <sheetData sheetId="15">
        <row r="15">
          <cell r="B15">
            <v>5.79E-2</v>
          </cell>
          <cell r="C15">
            <v>4.4000000000000003E-3</v>
          </cell>
          <cell r="D15">
            <v>1.1999999999999999E-3</v>
          </cell>
          <cell r="E15">
            <v>-6.4000000000000003E-3</v>
          </cell>
          <cell r="F15">
            <v>-3.3E-3</v>
          </cell>
        </row>
        <row r="16">
          <cell r="B16">
            <v>4.8099999999999997E-2</v>
          </cell>
          <cell r="C16">
            <v>3.7000000000000002E-3</v>
          </cell>
          <cell r="D16">
            <v>1E-3</v>
          </cell>
          <cell r="E16">
            <v>-5.3E-3</v>
          </cell>
          <cell r="F16">
            <v>-2.7000000000000001E-3</v>
          </cell>
        </row>
        <row r="17">
          <cell r="B17">
            <v>4.7800000000000002E-2</v>
          </cell>
          <cell r="C17">
            <v>3.7000000000000002E-3</v>
          </cell>
          <cell r="D17">
            <v>1E-3</v>
          </cell>
          <cell r="E17">
            <v>-5.5000000000000005E-3</v>
          </cell>
          <cell r="F17">
            <v>-2.8000000000000004E-3</v>
          </cell>
        </row>
        <row r="18">
          <cell r="B18">
            <v>5.2300000000000006E-2</v>
          </cell>
          <cell r="C18">
            <v>4.3E-3</v>
          </cell>
          <cell r="D18">
            <v>1.1999999999999999E-3</v>
          </cell>
          <cell r="E18">
            <v>-6.7000000000000002E-3</v>
          </cell>
          <cell r="F18">
            <v>-3.4000000000000002E-3</v>
          </cell>
        </row>
        <row r="19">
          <cell r="B19">
            <v>5.4000000000000006E-2</v>
          </cell>
          <cell r="C19">
            <v>5.1000000000000004E-3</v>
          </cell>
          <cell r="D19">
            <v>1.2999999999999999E-3</v>
          </cell>
          <cell r="E19">
            <v>-7.6E-3</v>
          </cell>
          <cell r="F19">
            <v>-3.9000000000000003E-3</v>
          </cell>
        </row>
        <row r="20">
          <cell r="B20">
            <v>5.57E-2</v>
          </cell>
          <cell r="C20">
            <v>5.8999999999999999E-3</v>
          </cell>
          <cell r="D20">
            <v>1.5E-3</v>
          </cell>
          <cell r="E20">
            <v>-8.6E-3</v>
          </cell>
          <cell r="F20">
            <v>-4.4000000000000003E-3</v>
          </cell>
        </row>
        <row r="21">
          <cell r="B21">
            <v>5.7999999999999996E-2</v>
          </cell>
          <cell r="C21">
            <v>6.8999999999999999E-3</v>
          </cell>
          <cell r="D21">
            <v>1.7000000000000001E-3</v>
          </cell>
          <cell r="E21">
            <v>-1.01E-2</v>
          </cell>
          <cell r="F21">
            <v>-5.1000000000000004E-3</v>
          </cell>
        </row>
        <row r="22">
          <cell r="B22">
            <v>0.06</v>
          </cell>
          <cell r="C22">
            <v>7.9000000000000008E-3</v>
          </cell>
          <cell r="D22">
            <v>1.9E-3</v>
          </cell>
          <cell r="E22">
            <v>-1.1699999999999999E-2</v>
          </cell>
          <cell r="F22">
            <v>-5.8999999999999999E-3</v>
          </cell>
        </row>
        <row r="23">
          <cell r="B23">
            <v>6.1600000000000002E-2</v>
          </cell>
          <cell r="C23">
            <v>8.8999999999999999E-3</v>
          </cell>
          <cell r="D23">
            <v>2.0999999999999999E-3</v>
          </cell>
          <cell r="E23">
            <v>-1.34E-2</v>
          </cell>
          <cell r="F23">
            <v>-6.7000000000000002E-3</v>
          </cell>
        </row>
        <row r="24">
          <cell r="B24">
            <v>6.6000000000000003E-2</v>
          </cell>
          <cell r="C24">
            <v>9.7999999999999997E-3</v>
          </cell>
          <cell r="D24">
            <v>2.3999999999999998E-3</v>
          </cell>
          <cell r="E24">
            <v>-1.44E-2</v>
          </cell>
          <cell r="F24">
            <v>-7.6E-3</v>
          </cell>
        </row>
        <row r="25">
          <cell r="B25">
            <v>6.7599999999999993E-2</v>
          </cell>
          <cell r="C25">
            <v>9.8999999999999991E-3</v>
          </cell>
          <cell r="D25">
            <v>2.3999999999999998E-3</v>
          </cell>
          <cell r="E25">
            <v>-1.4499999999999999E-2</v>
          </cell>
          <cell r="F25">
            <v>-7.7000000000000002E-3</v>
          </cell>
        </row>
      </sheetData>
      <sheetData sheetId="16">
        <row r="15">
          <cell r="B15">
            <v>0.15460000000000002</v>
          </cell>
          <cell r="C15">
            <v>1.5600000000000001E-2</v>
          </cell>
          <cell r="D15">
            <v>4.0999999999999995E-3</v>
          </cell>
          <cell r="E15">
            <v>-6.4699999999999994E-2</v>
          </cell>
          <cell r="F15">
            <v>-3.5400000000000001E-2</v>
          </cell>
        </row>
        <row r="16">
          <cell r="B16">
            <v>0.11380000000000001</v>
          </cell>
          <cell r="C16">
            <v>1.1399999999999999E-2</v>
          </cell>
          <cell r="D16">
            <v>3.3E-3</v>
          </cell>
          <cell r="E16">
            <v>-4.7599999999999996E-2</v>
          </cell>
          <cell r="F16">
            <v>-2.6000000000000002E-2</v>
          </cell>
        </row>
        <row r="17">
          <cell r="B17">
            <v>0.11310000000000001</v>
          </cell>
          <cell r="C17">
            <v>1.1599999999999999E-2</v>
          </cell>
          <cell r="D17">
            <v>3.3E-3</v>
          </cell>
          <cell r="E17">
            <v>-4.82E-2</v>
          </cell>
          <cell r="F17">
            <v>-2.63E-2</v>
          </cell>
        </row>
        <row r="18">
          <cell r="B18">
            <v>0.10589999999999999</v>
          </cell>
          <cell r="C18">
            <v>1.1699999999999999E-2</v>
          </cell>
          <cell r="D18">
            <v>3.2000000000000002E-3</v>
          </cell>
          <cell r="E18">
            <v>-4.7E-2</v>
          </cell>
          <cell r="F18">
            <v>-2.5499999999999998E-2</v>
          </cell>
        </row>
        <row r="19">
          <cell r="B19">
            <v>0.10099999999999999</v>
          </cell>
          <cell r="C19">
            <v>1.21E-2</v>
          </cell>
          <cell r="D19">
            <v>3.3E-3</v>
          </cell>
          <cell r="E19">
            <v>-4.5100000000000001E-2</v>
          </cell>
          <cell r="F19">
            <v>-2.4300000000000002E-2</v>
          </cell>
        </row>
        <row r="20">
          <cell r="B20">
            <v>9.9600000000000008E-2</v>
          </cell>
          <cell r="C20">
            <v>1.2800000000000001E-2</v>
          </cell>
          <cell r="D20">
            <v>3.4000000000000002E-3</v>
          </cell>
          <cell r="E20">
            <v>-4.4600000000000001E-2</v>
          </cell>
          <cell r="F20">
            <v>-2.3799999999999998E-2</v>
          </cell>
        </row>
        <row r="21">
          <cell r="B21">
            <v>9.8599999999999993E-2</v>
          </cell>
          <cell r="C21">
            <v>1.3999999999999999E-2</v>
          </cell>
          <cell r="D21">
            <v>3.9000000000000003E-3</v>
          </cell>
          <cell r="E21">
            <v>-4.07E-2</v>
          </cell>
          <cell r="F21">
            <v>-2.06E-2</v>
          </cell>
        </row>
        <row r="22">
          <cell r="B22">
            <v>9.98E-2</v>
          </cell>
          <cell r="C22">
            <v>1.5100000000000001E-2</v>
          </cell>
          <cell r="D22">
            <v>4.0000000000000001E-3</v>
          </cell>
          <cell r="E22">
            <v>-4.0300000000000002E-2</v>
          </cell>
          <cell r="F22">
            <v>-1.9699999999999999E-2</v>
          </cell>
        </row>
        <row r="23">
          <cell r="B23">
            <v>0.1013</v>
          </cell>
          <cell r="C23">
            <v>1.6399999999999998E-2</v>
          </cell>
          <cell r="D23">
            <v>4.0999999999999995E-3</v>
          </cell>
          <cell r="E23">
            <v>-3.9300000000000002E-2</v>
          </cell>
          <cell r="F23">
            <v>-1.8600000000000002E-2</v>
          </cell>
        </row>
        <row r="24">
          <cell r="B24">
            <v>0.1023</v>
          </cell>
          <cell r="C24">
            <v>1.9299999999999998E-2</v>
          </cell>
          <cell r="D24">
            <v>5.5000000000000005E-3</v>
          </cell>
          <cell r="E24">
            <v>-3.9699999999999999E-2</v>
          </cell>
          <cell r="F24">
            <v>-2.0499999999999997E-2</v>
          </cell>
        </row>
        <row r="25">
          <cell r="B25">
            <v>0.1032</v>
          </cell>
          <cell r="C25">
            <v>2.06E-2</v>
          </cell>
          <cell r="D25">
            <v>5.6999999999999993E-3</v>
          </cell>
          <cell r="E25">
            <v>-4.0800000000000003E-2</v>
          </cell>
          <cell r="F25">
            <v>-2.1099999999999997E-2</v>
          </cell>
        </row>
      </sheetData>
      <sheetData sheetId="17">
        <row r="15">
          <cell r="B15">
            <v>7.2300000000000003E-2</v>
          </cell>
          <cell r="C15">
            <v>3.3E-3</v>
          </cell>
          <cell r="D15">
            <v>8.9999999999999998E-4</v>
          </cell>
          <cell r="E15">
            <v>1.9E-3</v>
          </cell>
          <cell r="F15">
            <v>1E-3</v>
          </cell>
        </row>
        <row r="16">
          <cell r="B16">
            <v>5.4199999999999998E-2</v>
          </cell>
          <cell r="C16">
            <v>2.5000000000000001E-3</v>
          </cell>
          <cell r="D16">
            <v>7.000000000000001E-4</v>
          </cell>
          <cell r="E16">
            <v>1.4000000000000002E-3</v>
          </cell>
          <cell r="F16">
            <v>7.000000000000001E-4</v>
          </cell>
        </row>
        <row r="17">
          <cell r="B17">
            <v>5.0799999999999998E-2</v>
          </cell>
          <cell r="C17">
            <v>2.3E-3</v>
          </cell>
          <cell r="D17">
            <v>7.000000000000001E-4</v>
          </cell>
          <cell r="E17">
            <v>1.1000000000000001E-3</v>
          </cell>
          <cell r="F17">
            <v>5.9999999999999995E-4</v>
          </cell>
        </row>
        <row r="18">
          <cell r="B18">
            <v>5.2000000000000005E-2</v>
          </cell>
          <cell r="C18">
            <v>2.3999999999999998E-3</v>
          </cell>
          <cell r="D18">
            <v>7.000000000000001E-4</v>
          </cell>
          <cell r="E18">
            <v>8.9999999999999998E-4</v>
          </cell>
          <cell r="F18">
            <v>4.0000000000000002E-4</v>
          </cell>
        </row>
        <row r="19">
          <cell r="B19">
            <v>5.3899999999999997E-2</v>
          </cell>
          <cell r="C19">
            <v>2.8000000000000004E-3</v>
          </cell>
          <cell r="D19">
            <v>8.0000000000000004E-4</v>
          </cell>
          <cell r="E19">
            <v>1E-3</v>
          </cell>
          <cell r="F19">
            <v>5.0000000000000001E-4</v>
          </cell>
        </row>
        <row r="20">
          <cell r="B20">
            <v>5.3499999999999999E-2</v>
          </cell>
          <cell r="C20">
            <v>3.0999999999999999E-3</v>
          </cell>
          <cell r="D20">
            <v>8.9999999999999998E-4</v>
          </cell>
          <cell r="E20">
            <v>1E-3</v>
          </cell>
          <cell r="F20">
            <v>5.0000000000000001E-4</v>
          </cell>
        </row>
        <row r="21">
          <cell r="B21">
            <v>5.1900000000000002E-2</v>
          </cell>
          <cell r="C21">
            <v>4.5999999999999999E-3</v>
          </cell>
          <cell r="D21">
            <v>1.1999999999999999E-3</v>
          </cell>
          <cell r="E21">
            <v>8.9999999999999998E-4</v>
          </cell>
          <cell r="F21">
            <v>4.0000000000000002E-4</v>
          </cell>
        </row>
        <row r="22">
          <cell r="B22">
            <v>5.21E-2</v>
          </cell>
          <cell r="C22">
            <v>5.0000000000000001E-3</v>
          </cell>
          <cell r="D22">
            <v>1.2999999999999999E-3</v>
          </cell>
          <cell r="E22">
            <v>1.1000000000000001E-3</v>
          </cell>
          <cell r="F22">
            <v>5.0000000000000001E-4</v>
          </cell>
        </row>
        <row r="23">
          <cell r="B23">
            <v>5.2499999999999998E-2</v>
          </cell>
          <cell r="C23">
            <v>5.5000000000000005E-3</v>
          </cell>
          <cell r="D23">
            <v>1.4000000000000002E-3</v>
          </cell>
          <cell r="E23">
            <v>1.2999999999999999E-3</v>
          </cell>
          <cell r="F23">
            <v>5.0000000000000001E-4</v>
          </cell>
        </row>
        <row r="24">
          <cell r="B24">
            <v>5.2600000000000001E-2</v>
          </cell>
          <cell r="C24">
            <v>5.6999999999999993E-3</v>
          </cell>
          <cell r="D24">
            <v>1.6000000000000001E-3</v>
          </cell>
          <cell r="E24">
            <v>1.4000000000000002E-3</v>
          </cell>
          <cell r="F24">
            <v>5.9999999999999995E-4</v>
          </cell>
        </row>
        <row r="25">
          <cell r="B25">
            <v>5.2999999999999999E-2</v>
          </cell>
          <cell r="C25">
            <v>5.7999999999999996E-3</v>
          </cell>
          <cell r="D25">
            <v>1.6000000000000001E-3</v>
          </cell>
          <cell r="E25">
            <v>1.1999999999999999E-3</v>
          </cell>
          <cell r="F25">
            <v>4.0000000000000002E-4</v>
          </cell>
        </row>
      </sheetData>
      <sheetData sheetId="18">
        <row r="15">
          <cell r="B15">
            <v>4.3299999999999998E-2</v>
          </cell>
          <cell r="C15">
            <v>3.2000000000000002E-3</v>
          </cell>
          <cell r="D15">
            <v>8.9999999999999998E-4</v>
          </cell>
          <cell r="E15">
            <v>4.4000000000000003E-3</v>
          </cell>
          <cell r="F15">
            <v>2.3E-3</v>
          </cell>
        </row>
        <row r="16">
          <cell r="B16">
            <v>4.0899999999999999E-2</v>
          </cell>
          <cell r="C16">
            <v>3.0000000000000001E-3</v>
          </cell>
          <cell r="D16">
            <v>8.9999999999999998E-4</v>
          </cell>
          <cell r="E16">
            <v>4.5000000000000005E-3</v>
          </cell>
          <cell r="F16">
            <v>2.5000000000000001E-3</v>
          </cell>
        </row>
        <row r="17">
          <cell r="B17">
            <v>4.2199999999999994E-2</v>
          </cell>
          <cell r="C17">
            <v>3.2000000000000002E-3</v>
          </cell>
          <cell r="D17">
            <v>1E-3</v>
          </cell>
          <cell r="E17">
            <v>5.0000000000000001E-3</v>
          </cell>
          <cell r="F17">
            <v>2.7000000000000001E-3</v>
          </cell>
        </row>
        <row r="18">
          <cell r="B18">
            <v>4.8799999999999996E-2</v>
          </cell>
          <cell r="C18">
            <v>3.9000000000000003E-3</v>
          </cell>
          <cell r="D18">
            <v>1.1999999999999999E-3</v>
          </cell>
          <cell r="E18">
            <v>6.9999999999999993E-3</v>
          </cell>
          <cell r="F18">
            <v>3.4999999999999996E-3</v>
          </cell>
        </row>
        <row r="19">
          <cell r="B19">
            <v>5.1500000000000004E-2</v>
          </cell>
          <cell r="C19">
            <v>4.6999999999999993E-3</v>
          </cell>
          <cell r="D19">
            <v>1.4000000000000002E-3</v>
          </cell>
          <cell r="E19">
            <v>8.199999999999999E-3</v>
          </cell>
          <cell r="F19">
            <v>4.0999999999999995E-3</v>
          </cell>
        </row>
        <row r="20">
          <cell r="B20">
            <v>5.3899999999999997E-2</v>
          </cell>
          <cell r="C20">
            <v>5.5000000000000005E-3</v>
          </cell>
          <cell r="D20">
            <v>1.6000000000000001E-3</v>
          </cell>
          <cell r="E20">
            <v>9.3999999999999986E-3</v>
          </cell>
          <cell r="F20">
            <v>4.5999999999999999E-3</v>
          </cell>
        </row>
        <row r="21">
          <cell r="B21">
            <v>5.8299999999999998E-2</v>
          </cell>
          <cell r="C21">
            <v>7.1999999999999998E-3</v>
          </cell>
          <cell r="D21">
            <v>2.0999999999999999E-3</v>
          </cell>
          <cell r="E21">
            <v>1.1200000000000002E-2</v>
          </cell>
          <cell r="F21">
            <v>5.4000000000000003E-3</v>
          </cell>
        </row>
        <row r="22">
          <cell r="B22">
            <v>6.3E-2</v>
          </cell>
          <cell r="C22">
            <v>8.0000000000000002E-3</v>
          </cell>
          <cell r="D22">
            <v>2.3E-3</v>
          </cell>
          <cell r="E22">
            <v>1.34E-2</v>
          </cell>
          <cell r="F22">
            <v>6.4000000000000003E-3</v>
          </cell>
        </row>
        <row r="23">
          <cell r="B23">
            <v>6.54E-2</v>
          </cell>
          <cell r="C23">
            <v>9.0000000000000011E-3</v>
          </cell>
          <cell r="D23">
            <v>2.5000000000000001E-3</v>
          </cell>
          <cell r="E23">
            <v>1.6799999999999999E-2</v>
          </cell>
          <cell r="F23">
            <v>8.1000000000000013E-3</v>
          </cell>
        </row>
        <row r="24">
          <cell r="B24">
            <v>6.9699999999999998E-2</v>
          </cell>
          <cell r="C24">
            <v>9.7000000000000003E-3</v>
          </cell>
          <cell r="D24">
            <v>2.8000000000000004E-3</v>
          </cell>
          <cell r="E24">
            <v>1.7899999999999999E-2</v>
          </cell>
          <cell r="F24">
            <v>8.8000000000000005E-3</v>
          </cell>
        </row>
        <row r="25">
          <cell r="B25">
            <v>7.1099999999999997E-2</v>
          </cell>
          <cell r="C25">
            <v>0.01</v>
          </cell>
          <cell r="D25">
            <v>2.8999999999999998E-3</v>
          </cell>
          <cell r="E25">
            <v>1.83E-2</v>
          </cell>
          <cell r="F25">
            <v>9.0000000000000011E-3</v>
          </cell>
        </row>
      </sheetData>
      <sheetData sheetId="19">
        <row r="15">
          <cell r="B15">
            <v>4.0199999999999993E-2</v>
          </cell>
          <cell r="C15">
            <v>4.4000000000000003E-3</v>
          </cell>
          <cell r="D15">
            <v>1.1999999999999999E-3</v>
          </cell>
          <cell r="E15">
            <v>-3.3E-3</v>
          </cell>
          <cell r="F15">
            <v>-1.7000000000000001E-3</v>
          </cell>
        </row>
        <row r="16">
          <cell r="B16">
            <v>4.0999999999999995E-2</v>
          </cell>
          <cell r="C16">
            <v>4.6999999999999993E-3</v>
          </cell>
          <cell r="D16">
            <v>1.5E-3</v>
          </cell>
          <cell r="E16">
            <v>-3.2000000000000002E-3</v>
          </cell>
          <cell r="F16">
            <v>-1.8E-3</v>
          </cell>
        </row>
        <row r="17">
          <cell r="B17">
            <v>3.8100000000000002E-2</v>
          </cell>
          <cell r="C17">
            <v>4.4000000000000003E-3</v>
          </cell>
          <cell r="D17">
            <v>1.4000000000000002E-3</v>
          </cell>
          <cell r="E17">
            <v>-2.8000000000000004E-3</v>
          </cell>
          <cell r="F17">
            <v>-1.5E-3</v>
          </cell>
        </row>
        <row r="18">
          <cell r="B18">
            <v>3.9199999999999999E-2</v>
          </cell>
          <cell r="C18">
            <v>4.6999999999999993E-3</v>
          </cell>
          <cell r="D18">
            <v>1.5E-3</v>
          </cell>
          <cell r="E18">
            <v>-2.3E-3</v>
          </cell>
          <cell r="F18">
            <v>-1.1999999999999999E-3</v>
          </cell>
        </row>
        <row r="19">
          <cell r="B19">
            <v>4.1700000000000001E-2</v>
          </cell>
          <cell r="C19">
            <v>5.1000000000000004E-3</v>
          </cell>
          <cell r="D19">
            <v>1.6000000000000001E-3</v>
          </cell>
          <cell r="E19">
            <v>-2.0999999999999999E-3</v>
          </cell>
          <cell r="F19">
            <v>-1.1000000000000001E-3</v>
          </cell>
        </row>
        <row r="20">
          <cell r="B20">
            <v>4.3200000000000002E-2</v>
          </cell>
          <cell r="C20">
            <v>5.5000000000000005E-3</v>
          </cell>
          <cell r="D20">
            <v>1.6000000000000001E-3</v>
          </cell>
          <cell r="E20">
            <v>-1.8E-3</v>
          </cell>
          <cell r="F20">
            <v>-1E-3</v>
          </cell>
        </row>
        <row r="21">
          <cell r="B21">
            <v>4.6799999999999994E-2</v>
          </cell>
          <cell r="C21">
            <v>6.5000000000000006E-3</v>
          </cell>
          <cell r="D21">
            <v>1.9E-3</v>
          </cell>
          <cell r="E21">
            <v>-7.000000000000001E-4</v>
          </cell>
          <cell r="F21">
            <v>-4.0000000000000002E-4</v>
          </cell>
        </row>
        <row r="22">
          <cell r="B22">
            <v>5.16E-2</v>
          </cell>
          <cell r="C22">
            <v>7.4999999999999997E-3</v>
          </cell>
          <cell r="D22">
            <v>2.0999999999999999E-3</v>
          </cell>
          <cell r="E22">
            <v>-7.000000000000001E-4</v>
          </cell>
          <cell r="F22">
            <v>-5.0000000000000001E-4</v>
          </cell>
        </row>
        <row r="23">
          <cell r="B23">
            <v>5.3899999999999997E-2</v>
          </cell>
          <cell r="C23">
            <v>8.199999999999999E-3</v>
          </cell>
          <cell r="D23">
            <v>2.3E-3</v>
          </cell>
          <cell r="E23">
            <v>-7.000000000000001E-4</v>
          </cell>
          <cell r="F23">
            <v>-5.0000000000000001E-4</v>
          </cell>
        </row>
        <row r="24">
          <cell r="B24">
            <v>5.7200000000000001E-2</v>
          </cell>
          <cell r="C24">
            <v>9.300000000000001E-3</v>
          </cell>
          <cell r="D24">
            <v>2.5000000000000001E-3</v>
          </cell>
          <cell r="E24">
            <v>1.7000000000000001E-3</v>
          </cell>
          <cell r="F24">
            <v>5.9999999999999995E-4</v>
          </cell>
        </row>
        <row r="25">
          <cell r="B25">
            <v>6.2800000000000009E-2</v>
          </cell>
          <cell r="C25">
            <v>8.6999999999999994E-3</v>
          </cell>
          <cell r="D25">
            <v>2.3999999999999998E-3</v>
          </cell>
          <cell r="E25">
            <v>1.8E-3</v>
          </cell>
          <cell r="F25">
            <v>5.9999999999999995E-4</v>
          </cell>
        </row>
      </sheetData>
      <sheetData sheetId="20">
        <row r="15">
          <cell r="B15">
            <v>2.7400000000000001E-2</v>
          </cell>
          <cell r="C15">
            <v>2.5999999999999999E-3</v>
          </cell>
          <cell r="D15">
            <v>7.000000000000001E-4</v>
          </cell>
          <cell r="E15">
            <v>5.1000000000000004E-3</v>
          </cell>
          <cell r="F15">
            <v>2.7000000000000001E-3</v>
          </cell>
        </row>
        <row r="16">
          <cell r="B16">
            <v>2.7200000000000002E-2</v>
          </cell>
          <cell r="C16">
            <v>2.5000000000000001E-3</v>
          </cell>
          <cell r="D16">
            <v>7.000000000000001E-4</v>
          </cell>
          <cell r="E16">
            <v>5.0000000000000001E-3</v>
          </cell>
          <cell r="F16">
            <v>2.7000000000000001E-3</v>
          </cell>
        </row>
        <row r="17">
          <cell r="B17">
            <v>3.0699999999999998E-2</v>
          </cell>
          <cell r="C17">
            <v>3.0000000000000001E-3</v>
          </cell>
          <cell r="D17">
            <v>8.9999999999999998E-4</v>
          </cell>
          <cell r="E17">
            <v>6.0000000000000001E-3</v>
          </cell>
          <cell r="F17">
            <v>3.2000000000000002E-3</v>
          </cell>
        </row>
        <row r="18">
          <cell r="B18">
            <v>3.0800000000000001E-2</v>
          </cell>
          <cell r="C18">
            <v>3.2000000000000002E-3</v>
          </cell>
          <cell r="D18">
            <v>1E-3</v>
          </cell>
          <cell r="E18">
            <v>6.7000000000000002E-3</v>
          </cell>
          <cell r="F18">
            <v>3.5999999999999999E-3</v>
          </cell>
        </row>
        <row r="19">
          <cell r="B19">
            <v>3.5900000000000001E-2</v>
          </cell>
          <cell r="C19">
            <v>4.0000000000000001E-3</v>
          </cell>
          <cell r="D19">
            <v>1.1999999999999999E-3</v>
          </cell>
          <cell r="E19">
            <v>9.4999999999999998E-3</v>
          </cell>
          <cell r="F19">
            <v>5.1000000000000004E-3</v>
          </cell>
        </row>
        <row r="20">
          <cell r="B20">
            <v>3.6600000000000001E-2</v>
          </cell>
          <cell r="C20">
            <v>4.4000000000000003E-3</v>
          </cell>
          <cell r="D20">
            <v>1.2999999999999999E-3</v>
          </cell>
          <cell r="E20">
            <v>1.11E-2</v>
          </cell>
          <cell r="F20">
            <v>6.0000000000000001E-3</v>
          </cell>
        </row>
        <row r="21">
          <cell r="B21">
            <v>4.0800000000000003E-2</v>
          </cell>
          <cell r="C21">
            <v>5.6999999999999993E-3</v>
          </cell>
          <cell r="D21">
            <v>1.7000000000000001E-3</v>
          </cell>
          <cell r="E21">
            <v>1.4199999999999999E-2</v>
          </cell>
          <cell r="F21">
            <v>7.8000000000000005E-3</v>
          </cell>
        </row>
        <row r="22">
          <cell r="B22">
            <v>4.5599999999999995E-2</v>
          </cell>
          <cell r="C22">
            <v>6.5000000000000006E-3</v>
          </cell>
          <cell r="D22">
            <v>1.9E-3</v>
          </cell>
          <cell r="E22">
            <v>1.6E-2</v>
          </cell>
          <cell r="F22">
            <v>8.6999999999999994E-3</v>
          </cell>
        </row>
        <row r="23">
          <cell r="B23">
            <v>4.7400000000000005E-2</v>
          </cell>
          <cell r="C23">
            <v>7.0999999999999995E-3</v>
          </cell>
          <cell r="D23">
            <v>2.0999999999999999E-3</v>
          </cell>
          <cell r="E23">
            <v>1.77E-2</v>
          </cell>
          <cell r="F23">
            <v>9.4999999999999998E-3</v>
          </cell>
        </row>
        <row r="24">
          <cell r="B24">
            <v>5.0900000000000001E-2</v>
          </cell>
          <cell r="C24">
            <v>8.3999999999999995E-3</v>
          </cell>
          <cell r="D24">
            <v>2.5000000000000001E-3</v>
          </cell>
          <cell r="E24">
            <v>1.9799999999999998E-2</v>
          </cell>
          <cell r="F24">
            <v>1.0700000000000001E-2</v>
          </cell>
        </row>
        <row r="25">
          <cell r="B25">
            <v>5.3699999999999998E-2</v>
          </cell>
          <cell r="C25">
            <v>9.1000000000000004E-3</v>
          </cell>
          <cell r="D25">
            <v>2.7000000000000001E-3</v>
          </cell>
          <cell r="E25">
            <v>2.0899999999999998E-2</v>
          </cell>
          <cell r="F25">
            <v>1.1200000000000002E-2</v>
          </cell>
        </row>
      </sheetData>
      <sheetData sheetId="21">
        <row r="15">
          <cell r="B15">
            <v>0.1452</v>
          </cell>
          <cell r="C15">
            <v>1.52E-2</v>
          </cell>
          <cell r="D15">
            <v>3.9000000000000003E-3</v>
          </cell>
          <cell r="E15">
            <v>-6.3299999999999995E-2</v>
          </cell>
          <cell r="F15">
            <v>-3.2199999999999999E-2</v>
          </cell>
        </row>
        <row r="16">
          <cell r="B16">
            <v>0.109</v>
          </cell>
          <cell r="C16">
            <v>1.1200000000000002E-2</v>
          </cell>
          <cell r="D16">
            <v>3.4000000000000002E-3</v>
          </cell>
          <cell r="E16">
            <v>-4.7400000000000005E-2</v>
          </cell>
          <cell r="F16">
            <v>-2.41E-2</v>
          </cell>
        </row>
        <row r="17">
          <cell r="B17">
            <v>0.1074</v>
          </cell>
          <cell r="C17">
            <v>1.0800000000000001E-2</v>
          </cell>
          <cell r="D17">
            <v>3.2000000000000002E-3</v>
          </cell>
          <cell r="E17">
            <v>-4.53E-2</v>
          </cell>
          <cell r="F17">
            <v>-2.3700000000000002E-2</v>
          </cell>
        </row>
        <row r="18">
          <cell r="B18">
            <v>9.8100000000000007E-2</v>
          </cell>
          <cell r="C18">
            <v>9.5999999999999992E-3</v>
          </cell>
          <cell r="D18">
            <v>2.7000000000000001E-3</v>
          </cell>
          <cell r="E18">
            <v>-4.0199999999999993E-2</v>
          </cell>
          <cell r="F18">
            <v>-2.2700000000000001E-2</v>
          </cell>
        </row>
        <row r="19">
          <cell r="B19">
            <v>9.1499999999999998E-2</v>
          </cell>
          <cell r="C19">
            <v>9.7999999999999997E-3</v>
          </cell>
          <cell r="D19">
            <v>2.8000000000000004E-3</v>
          </cell>
          <cell r="E19">
            <v>-3.7200000000000004E-2</v>
          </cell>
          <cell r="F19">
            <v>-2.07E-2</v>
          </cell>
        </row>
        <row r="20">
          <cell r="B20">
            <v>8.8499999999999995E-2</v>
          </cell>
          <cell r="C20">
            <v>1.03E-2</v>
          </cell>
          <cell r="D20">
            <v>3.0000000000000001E-3</v>
          </cell>
          <cell r="E20">
            <v>-3.5200000000000002E-2</v>
          </cell>
          <cell r="F20">
            <v>-1.9199999999999998E-2</v>
          </cell>
        </row>
        <row r="21">
          <cell r="B21">
            <v>8.5199999999999998E-2</v>
          </cell>
          <cell r="C21">
            <v>1.15E-2</v>
          </cell>
          <cell r="D21">
            <v>3.3E-3</v>
          </cell>
          <cell r="E21">
            <v>-2.7200000000000002E-2</v>
          </cell>
          <cell r="F21">
            <v>-1.4199999999999999E-2</v>
          </cell>
        </row>
        <row r="22">
          <cell r="B22">
            <v>8.5500000000000007E-2</v>
          </cell>
          <cell r="C22">
            <v>1.1899999999999999E-2</v>
          </cell>
          <cell r="D22">
            <v>3.4000000000000002E-3</v>
          </cell>
          <cell r="E22">
            <v>-2.0199999999999999E-2</v>
          </cell>
          <cell r="F22">
            <v>-1.01E-2</v>
          </cell>
        </row>
        <row r="23">
          <cell r="B23">
            <v>8.48E-2</v>
          </cell>
          <cell r="C23">
            <v>1.2199999999999999E-2</v>
          </cell>
          <cell r="D23">
            <v>3.4000000000000002E-3</v>
          </cell>
          <cell r="E23">
            <v>-1.5700000000000002E-2</v>
          </cell>
          <cell r="F23">
            <v>-7.7000000000000002E-3</v>
          </cell>
        </row>
        <row r="24">
          <cell r="B24">
            <v>8.4700000000000011E-2</v>
          </cell>
          <cell r="C24">
            <v>1.3899999999999999E-2</v>
          </cell>
          <cell r="D24">
            <v>4.0999999999999995E-3</v>
          </cell>
          <cell r="E24">
            <v>-1.3899999999999999E-2</v>
          </cell>
          <cell r="F24">
            <v>-7.3000000000000001E-3</v>
          </cell>
        </row>
        <row r="25">
          <cell r="B25">
            <v>8.5099999999999995E-2</v>
          </cell>
          <cell r="C25">
            <v>1.4999999999999999E-2</v>
          </cell>
          <cell r="D25">
            <v>4.3E-3</v>
          </cell>
          <cell r="E25">
            <v>-1.24E-2</v>
          </cell>
          <cell r="F25">
            <v>-6.8999999999999999E-3</v>
          </cell>
        </row>
      </sheetData>
      <sheetData sheetId="22">
        <row r="15">
          <cell r="B15">
            <v>6.4500000000000002E-2</v>
          </cell>
          <cell r="C15">
            <v>3.8E-3</v>
          </cell>
          <cell r="D15">
            <v>1.1000000000000001E-3</v>
          </cell>
          <cell r="E15">
            <v>4.0999999999999995E-3</v>
          </cell>
          <cell r="F15">
            <v>2.0999999999999999E-3</v>
          </cell>
        </row>
        <row r="16">
          <cell r="B16">
            <v>5.3499999999999999E-2</v>
          </cell>
          <cell r="C16">
            <v>3.0999999999999999E-3</v>
          </cell>
          <cell r="D16">
            <v>1E-3</v>
          </cell>
          <cell r="E16">
            <v>3.7000000000000002E-3</v>
          </cell>
          <cell r="F16">
            <v>2.0999999999999999E-3</v>
          </cell>
        </row>
        <row r="17">
          <cell r="B17">
            <v>5.1500000000000004E-2</v>
          </cell>
          <cell r="C17">
            <v>3.0999999999999999E-3</v>
          </cell>
          <cell r="D17">
            <v>8.9999999999999998E-4</v>
          </cell>
          <cell r="E17">
            <v>4.0999999999999995E-3</v>
          </cell>
          <cell r="F17">
            <v>2.3E-3</v>
          </cell>
        </row>
        <row r="18">
          <cell r="B18">
            <v>5.3800000000000001E-2</v>
          </cell>
          <cell r="C18">
            <v>3.4999999999999996E-3</v>
          </cell>
          <cell r="D18">
            <v>1.1000000000000001E-3</v>
          </cell>
          <cell r="E18">
            <v>5.6000000000000008E-3</v>
          </cell>
          <cell r="F18">
            <v>2.8000000000000004E-3</v>
          </cell>
        </row>
        <row r="19">
          <cell r="B19">
            <v>5.79E-2</v>
          </cell>
          <cell r="C19">
            <v>4.3E-3</v>
          </cell>
          <cell r="D19">
            <v>1.2999999999999999E-3</v>
          </cell>
          <cell r="E19">
            <v>6.8999999999999999E-3</v>
          </cell>
          <cell r="F19">
            <v>3.4000000000000002E-3</v>
          </cell>
        </row>
        <row r="20">
          <cell r="B20">
            <v>5.8799999999999998E-2</v>
          </cell>
          <cell r="C20">
            <v>5.0000000000000001E-3</v>
          </cell>
          <cell r="D20">
            <v>1.5E-3</v>
          </cell>
          <cell r="E20">
            <v>7.8000000000000005E-3</v>
          </cell>
          <cell r="F20">
            <v>3.8E-3</v>
          </cell>
        </row>
        <row r="21">
          <cell r="B21">
            <v>6.0700000000000004E-2</v>
          </cell>
          <cell r="C21">
            <v>6.6E-3</v>
          </cell>
          <cell r="D21">
            <v>1.9E-3</v>
          </cell>
          <cell r="E21">
            <v>9.7000000000000003E-3</v>
          </cell>
          <cell r="F21">
            <v>4.6999999999999993E-3</v>
          </cell>
        </row>
        <row r="22">
          <cell r="B22">
            <v>6.4199999999999993E-2</v>
          </cell>
          <cell r="C22">
            <v>7.7000000000000002E-3</v>
          </cell>
          <cell r="D22">
            <v>2.2000000000000001E-3</v>
          </cell>
          <cell r="E22">
            <v>1.2500000000000001E-2</v>
          </cell>
          <cell r="F22">
            <v>6.0999999999999995E-3</v>
          </cell>
        </row>
        <row r="23">
          <cell r="B23">
            <v>6.59E-2</v>
          </cell>
          <cell r="C23">
            <v>9.1000000000000004E-3</v>
          </cell>
          <cell r="D23">
            <v>2.5999999999999999E-3</v>
          </cell>
          <cell r="E23">
            <v>1.7000000000000001E-2</v>
          </cell>
          <cell r="F23">
            <v>8.199999999999999E-3</v>
          </cell>
        </row>
        <row r="24">
          <cell r="B24">
            <v>6.8199999999999997E-2</v>
          </cell>
          <cell r="C24">
            <v>9.4999999999999998E-3</v>
          </cell>
          <cell r="D24">
            <v>2.7000000000000001E-3</v>
          </cell>
          <cell r="E24">
            <v>1.7500000000000002E-2</v>
          </cell>
          <cell r="F24">
            <v>8.6E-3</v>
          </cell>
        </row>
        <row r="25">
          <cell r="B25">
            <v>6.9099999999999995E-2</v>
          </cell>
          <cell r="C25">
            <v>9.7000000000000003E-3</v>
          </cell>
          <cell r="D25">
            <v>2.8000000000000004E-3</v>
          </cell>
          <cell r="E25">
            <v>1.78E-2</v>
          </cell>
          <cell r="F25">
            <v>8.6999999999999994E-3</v>
          </cell>
        </row>
      </sheetData>
      <sheetData sheetId="23">
        <row r="15">
          <cell r="B15">
            <v>4.8899999999999999E-2</v>
          </cell>
          <cell r="C15">
            <v>4.4000000000000003E-3</v>
          </cell>
          <cell r="D15">
            <v>1.1999999999999999E-3</v>
          </cell>
          <cell r="E15">
            <v>-7.000000000000001E-4</v>
          </cell>
          <cell r="F15">
            <v>-4.0000000000000002E-4</v>
          </cell>
        </row>
        <row r="16">
          <cell r="B16">
            <v>4.1799999999999997E-2</v>
          </cell>
          <cell r="C16">
            <v>3.7000000000000002E-3</v>
          </cell>
          <cell r="D16">
            <v>1E-3</v>
          </cell>
          <cell r="E16">
            <v>-1.4000000000000002E-3</v>
          </cell>
          <cell r="F16">
            <v>-8.0000000000000004E-4</v>
          </cell>
        </row>
        <row r="17">
          <cell r="B17">
            <v>4.5899999999999996E-2</v>
          </cell>
          <cell r="C17">
            <v>3.9000000000000003E-3</v>
          </cell>
          <cell r="D17">
            <v>1.1000000000000001E-3</v>
          </cell>
          <cell r="E17">
            <v>-1.6000000000000001E-3</v>
          </cell>
          <cell r="F17">
            <v>-8.9999999999999998E-4</v>
          </cell>
        </row>
        <row r="18">
          <cell r="B18">
            <v>5.0199999999999995E-2</v>
          </cell>
          <cell r="C18">
            <v>3.8E-3</v>
          </cell>
          <cell r="D18">
            <v>1E-3</v>
          </cell>
          <cell r="E18">
            <v>-1.6000000000000001E-3</v>
          </cell>
          <cell r="F18">
            <v>-8.9999999999999998E-4</v>
          </cell>
        </row>
        <row r="19">
          <cell r="B19">
            <v>5.4100000000000002E-2</v>
          </cell>
          <cell r="C19">
            <v>4.4000000000000003E-3</v>
          </cell>
          <cell r="D19">
            <v>1.1999999999999999E-3</v>
          </cell>
          <cell r="E19">
            <v>-1.8E-3</v>
          </cell>
          <cell r="F19">
            <v>-1E-3</v>
          </cell>
        </row>
        <row r="20">
          <cell r="B20">
            <v>5.57E-2</v>
          </cell>
          <cell r="C20">
            <v>4.7999999999999996E-3</v>
          </cell>
          <cell r="D20">
            <v>1.2999999999999999E-3</v>
          </cell>
          <cell r="E20">
            <v>-1.9E-3</v>
          </cell>
          <cell r="F20">
            <v>-1E-3</v>
          </cell>
        </row>
        <row r="21">
          <cell r="B21">
            <v>6.0100000000000001E-2</v>
          </cell>
          <cell r="C21">
            <v>6.1999999999999998E-3</v>
          </cell>
          <cell r="D21">
            <v>1.6000000000000001E-3</v>
          </cell>
          <cell r="E21">
            <v>-1.9E-3</v>
          </cell>
          <cell r="F21">
            <v>-1.1000000000000001E-3</v>
          </cell>
        </row>
        <row r="22">
          <cell r="B22">
            <v>6.3799999999999996E-2</v>
          </cell>
          <cell r="C22">
            <v>7.6E-3</v>
          </cell>
          <cell r="D22">
            <v>2E-3</v>
          </cell>
          <cell r="E22">
            <v>-1.8E-3</v>
          </cell>
          <cell r="F22">
            <v>-1.1000000000000001E-3</v>
          </cell>
        </row>
        <row r="23">
          <cell r="B23">
            <v>6.6799999999999998E-2</v>
          </cell>
          <cell r="C23">
            <v>9.1000000000000004E-3</v>
          </cell>
          <cell r="D23">
            <v>2.3E-3</v>
          </cell>
          <cell r="E23">
            <v>-1.2999999999999999E-3</v>
          </cell>
          <cell r="F23">
            <v>-8.9999999999999998E-4</v>
          </cell>
        </row>
        <row r="24">
          <cell r="B24">
            <v>7.1500000000000008E-2</v>
          </cell>
          <cell r="C24">
            <v>1.01E-2</v>
          </cell>
          <cell r="D24">
            <v>2.7000000000000001E-3</v>
          </cell>
          <cell r="E24">
            <v>-1.1999999999999999E-3</v>
          </cell>
          <cell r="F24">
            <v>-1E-3</v>
          </cell>
        </row>
        <row r="25">
          <cell r="B25">
            <v>7.4700000000000003E-2</v>
          </cell>
          <cell r="C25">
            <v>1.0500000000000001E-2</v>
          </cell>
          <cell r="D25">
            <v>2.8000000000000004E-3</v>
          </cell>
          <cell r="E25">
            <v>-1E-3</v>
          </cell>
          <cell r="F25">
            <v>-1E-3</v>
          </cell>
        </row>
      </sheetData>
      <sheetData sheetId="24">
        <row r="15">
          <cell r="B15">
            <v>6.8099999999999994E-2</v>
          </cell>
          <cell r="C15">
            <v>5.5000000000000005E-3</v>
          </cell>
          <cell r="D15">
            <v>1.5E-3</v>
          </cell>
          <cell r="E15">
            <v>-1.4999999999999999E-2</v>
          </cell>
          <cell r="F15">
            <v>-7.7000000000000002E-3</v>
          </cell>
        </row>
        <row r="16">
          <cell r="B16">
            <v>5.4100000000000002E-2</v>
          </cell>
          <cell r="C16">
            <v>4.5999999999999999E-3</v>
          </cell>
          <cell r="D16">
            <v>1.1999999999999999E-3</v>
          </cell>
          <cell r="E16">
            <v>-1.3899999999999999E-2</v>
          </cell>
          <cell r="F16">
            <v>-7.0999999999999995E-3</v>
          </cell>
        </row>
        <row r="17">
          <cell r="B17">
            <v>5.3600000000000002E-2</v>
          </cell>
          <cell r="C17">
            <v>4.5999999999999999E-3</v>
          </cell>
          <cell r="D17">
            <v>1.1999999999999999E-3</v>
          </cell>
          <cell r="E17">
            <v>-1.46E-2</v>
          </cell>
          <cell r="F17">
            <v>-7.4999999999999997E-3</v>
          </cell>
        </row>
        <row r="18">
          <cell r="B18">
            <v>5.9699999999999996E-2</v>
          </cell>
          <cell r="C18">
            <v>5.1999999999999998E-3</v>
          </cell>
          <cell r="D18">
            <v>1.4000000000000002E-3</v>
          </cell>
          <cell r="E18">
            <v>-1.5100000000000001E-2</v>
          </cell>
          <cell r="F18">
            <v>-7.7000000000000002E-3</v>
          </cell>
        </row>
        <row r="19">
          <cell r="B19">
            <v>6.1500000000000006E-2</v>
          </cell>
          <cell r="C19">
            <v>5.8999999999999999E-3</v>
          </cell>
          <cell r="D19">
            <v>1.5E-3</v>
          </cell>
          <cell r="E19">
            <v>-1.6500000000000001E-2</v>
          </cell>
          <cell r="F19">
            <v>-8.3999999999999995E-3</v>
          </cell>
        </row>
        <row r="20">
          <cell r="B20">
            <v>6.4199999999999993E-2</v>
          </cell>
          <cell r="C20">
            <v>6.7000000000000002E-3</v>
          </cell>
          <cell r="D20">
            <v>1.7000000000000001E-3</v>
          </cell>
          <cell r="E20">
            <v>-1.78E-2</v>
          </cell>
          <cell r="F20">
            <v>-9.0000000000000011E-3</v>
          </cell>
        </row>
        <row r="21">
          <cell r="B21">
            <v>6.9400000000000003E-2</v>
          </cell>
          <cell r="C21">
            <v>8.5000000000000006E-3</v>
          </cell>
          <cell r="D21">
            <v>2E-3</v>
          </cell>
          <cell r="E21">
            <v>-2.2099999999999998E-2</v>
          </cell>
          <cell r="F21">
            <v>-1.11E-2</v>
          </cell>
        </row>
        <row r="22">
          <cell r="B22">
            <v>7.3800000000000004E-2</v>
          </cell>
          <cell r="C22">
            <v>9.7999999999999997E-3</v>
          </cell>
          <cell r="D22">
            <v>2.2000000000000001E-3</v>
          </cell>
          <cell r="E22">
            <v>-2.46E-2</v>
          </cell>
          <cell r="F22">
            <v>-1.2199999999999999E-2</v>
          </cell>
        </row>
        <row r="23">
          <cell r="B23">
            <v>7.7399999999999997E-2</v>
          </cell>
          <cell r="C23">
            <v>1.11E-2</v>
          </cell>
          <cell r="D23">
            <v>2.3999999999999998E-3</v>
          </cell>
          <cell r="E23">
            <v>-2.7400000000000001E-2</v>
          </cell>
          <cell r="F23">
            <v>-1.3500000000000002E-2</v>
          </cell>
        </row>
        <row r="24">
          <cell r="B24">
            <v>8.3400000000000002E-2</v>
          </cell>
          <cell r="C24">
            <v>1.34E-2</v>
          </cell>
          <cell r="D24">
            <v>3.0999999999999999E-3</v>
          </cell>
          <cell r="E24">
            <v>-2.7699999999999999E-2</v>
          </cell>
          <cell r="F24">
            <v>-1.44E-2</v>
          </cell>
        </row>
        <row r="25">
          <cell r="B25">
            <v>8.6099999999999996E-2</v>
          </cell>
          <cell r="C25">
            <v>1.43E-2</v>
          </cell>
          <cell r="D25">
            <v>3.2000000000000002E-3</v>
          </cell>
          <cell r="E25">
            <v>-2.8300000000000002E-2</v>
          </cell>
          <cell r="F25">
            <v>-1.49E-2</v>
          </cell>
        </row>
      </sheetData>
      <sheetData sheetId="25">
        <row r="15">
          <cell r="B15">
            <v>0.14749999999999999</v>
          </cell>
          <cell r="C15">
            <v>1.9099999999999999E-2</v>
          </cell>
          <cell r="D15">
            <v>4.7999999999999996E-3</v>
          </cell>
          <cell r="E15">
            <v>-7.2999999999999995E-2</v>
          </cell>
          <cell r="F15">
            <v>-3.6900000000000002E-2</v>
          </cell>
        </row>
        <row r="16">
          <cell r="B16">
            <v>0.1081</v>
          </cell>
          <cell r="C16">
            <v>1.3899999999999999E-2</v>
          </cell>
          <cell r="D16">
            <v>3.4000000000000002E-3</v>
          </cell>
          <cell r="E16">
            <v>-5.33E-2</v>
          </cell>
          <cell r="F16">
            <v>-2.69E-2</v>
          </cell>
        </row>
        <row r="17">
          <cell r="B17">
            <v>0.10970000000000001</v>
          </cell>
          <cell r="C17">
            <v>1.34E-2</v>
          </cell>
          <cell r="D17">
            <v>3.3E-3</v>
          </cell>
          <cell r="E17">
            <v>-5.1900000000000002E-2</v>
          </cell>
          <cell r="F17">
            <v>-2.7000000000000003E-2</v>
          </cell>
        </row>
        <row r="18">
          <cell r="B18">
            <v>9.8699999999999996E-2</v>
          </cell>
          <cell r="C18">
            <v>1.0800000000000001E-2</v>
          </cell>
          <cell r="D18">
            <v>2.5999999999999999E-3</v>
          </cell>
          <cell r="E18">
            <v>-4.1900000000000007E-2</v>
          </cell>
          <cell r="F18">
            <v>-2.3599999999999999E-2</v>
          </cell>
        </row>
        <row r="19">
          <cell r="B19">
            <v>9.4299999999999995E-2</v>
          </cell>
          <cell r="C19">
            <v>1.06E-2</v>
          </cell>
          <cell r="D19">
            <v>2.5000000000000001E-3</v>
          </cell>
          <cell r="E19">
            <v>-3.9199999999999999E-2</v>
          </cell>
          <cell r="F19">
            <v>-2.18E-2</v>
          </cell>
        </row>
        <row r="20">
          <cell r="B20">
            <v>9.1499999999999998E-2</v>
          </cell>
          <cell r="C20">
            <v>1.06E-2</v>
          </cell>
          <cell r="D20">
            <v>2.5000000000000001E-3</v>
          </cell>
          <cell r="E20">
            <v>-3.7400000000000003E-2</v>
          </cell>
          <cell r="F20">
            <v>-2.0400000000000001E-2</v>
          </cell>
        </row>
        <row r="21">
          <cell r="B21">
            <v>8.929999999999999E-2</v>
          </cell>
          <cell r="C21">
            <v>1.15E-2</v>
          </cell>
          <cell r="D21">
            <v>2.5999999999999999E-3</v>
          </cell>
          <cell r="E21">
            <v>-3.3300000000000003E-2</v>
          </cell>
          <cell r="F21">
            <v>-1.7299999999999999E-2</v>
          </cell>
        </row>
        <row r="22">
          <cell r="B22">
            <v>8.929999999999999E-2</v>
          </cell>
          <cell r="C22">
            <v>1.2699999999999999E-2</v>
          </cell>
          <cell r="D22">
            <v>2.8000000000000004E-3</v>
          </cell>
          <cell r="E22">
            <v>-3.1E-2</v>
          </cell>
          <cell r="F22">
            <v>-1.5300000000000001E-2</v>
          </cell>
        </row>
        <row r="23">
          <cell r="B23">
            <v>8.9800000000000005E-2</v>
          </cell>
          <cell r="C23">
            <v>1.3999999999999999E-2</v>
          </cell>
          <cell r="D23">
            <v>3.0999999999999999E-3</v>
          </cell>
          <cell r="E23">
            <v>-2.7799999999999998E-2</v>
          </cell>
          <cell r="F23">
            <v>-1.32E-2</v>
          </cell>
        </row>
        <row r="24">
          <cell r="B24">
            <v>9.0700000000000003E-2</v>
          </cell>
          <cell r="C24">
            <v>1.6E-2</v>
          </cell>
          <cell r="D24">
            <v>3.8E-3</v>
          </cell>
          <cell r="E24">
            <v>-2.4399999999999998E-2</v>
          </cell>
          <cell r="F24">
            <v>-1.29E-2</v>
          </cell>
        </row>
        <row r="25">
          <cell r="B25">
            <v>9.2200000000000004E-2</v>
          </cell>
          <cell r="C25">
            <v>1.7899999999999999E-2</v>
          </cell>
          <cell r="D25">
            <v>4.0999999999999995E-3</v>
          </cell>
          <cell r="E25">
            <v>-2.86E-2</v>
          </cell>
          <cell r="F25">
            <v>-1.52E-2</v>
          </cell>
        </row>
      </sheetData>
      <sheetData sheetId="26">
        <row r="15">
          <cell r="B15">
            <v>7.1199999999999999E-2</v>
          </cell>
          <cell r="C15">
            <v>6.4000000000000003E-3</v>
          </cell>
          <cell r="D15">
            <v>1.8E-3</v>
          </cell>
          <cell r="E15">
            <v>-8.0000000000000004E-4</v>
          </cell>
          <cell r="F15">
            <v>-4.0000000000000002E-4</v>
          </cell>
        </row>
        <row r="16">
          <cell r="B16">
            <v>5.5500000000000001E-2</v>
          </cell>
          <cell r="C16">
            <v>5.0000000000000001E-3</v>
          </cell>
          <cell r="D16">
            <v>1.4000000000000002E-3</v>
          </cell>
          <cell r="E16">
            <v>-1.6000000000000001E-3</v>
          </cell>
          <cell r="F16">
            <v>-8.0000000000000004E-4</v>
          </cell>
        </row>
        <row r="17">
          <cell r="B17">
            <v>5.6500000000000002E-2</v>
          </cell>
          <cell r="C17">
            <v>4.8999999999999998E-3</v>
          </cell>
          <cell r="D17">
            <v>1.2999999999999999E-3</v>
          </cell>
          <cell r="E17">
            <v>-1.6000000000000001E-3</v>
          </cell>
          <cell r="F17">
            <v>-8.0000000000000004E-4</v>
          </cell>
        </row>
        <row r="18">
          <cell r="B18">
            <v>5.62E-2</v>
          </cell>
          <cell r="C18">
            <v>4.3E-3</v>
          </cell>
          <cell r="D18">
            <v>1.1999999999999999E-3</v>
          </cell>
          <cell r="E18">
            <v>-1.5E-3</v>
          </cell>
          <cell r="F18">
            <v>-8.0000000000000004E-4</v>
          </cell>
        </row>
        <row r="19">
          <cell r="B19">
            <v>6.1399999999999996E-2</v>
          </cell>
          <cell r="C19">
            <v>5.0000000000000001E-3</v>
          </cell>
          <cell r="D19">
            <v>1.4000000000000002E-3</v>
          </cell>
          <cell r="E19">
            <v>-1.7000000000000001E-3</v>
          </cell>
          <cell r="F19">
            <v>-8.9999999999999998E-4</v>
          </cell>
        </row>
        <row r="20">
          <cell r="B20">
            <v>6.1600000000000002E-2</v>
          </cell>
          <cell r="C20">
            <v>5.3E-3</v>
          </cell>
          <cell r="D20">
            <v>1.4000000000000002E-3</v>
          </cell>
          <cell r="E20">
            <v>-1.8E-3</v>
          </cell>
          <cell r="F20">
            <v>-1E-3</v>
          </cell>
        </row>
        <row r="21">
          <cell r="B21">
            <v>6.3899999999999998E-2</v>
          </cell>
          <cell r="C21">
            <v>6.6E-3</v>
          </cell>
          <cell r="D21">
            <v>1.7000000000000001E-3</v>
          </cell>
          <cell r="E21">
            <v>-1.8E-3</v>
          </cell>
          <cell r="F21">
            <v>-1E-3</v>
          </cell>
        </row>
        <row r="22">
          <cell r="B22">
            <v>6.6900000000000001E-2</v>
          </cell>
          <cell r="C22">
            <v>8.0000000000000002E-3</v>
          </cell>
          <cell r="D22">
            <v>2.0999999999999999E-3</v>
          </cell>
          <cell r="E22">
            <v>-1.8E-3</v>
          </cell>
          <cell r="F22">
            <v>-1.1000000000000001E-3</v>
          </cell>
        </row>
        <row r="23">
          <cell r="B23">
            <v>6.9699999999999998E-2</v>
          </cell>
          <cell r="C23">
            <v>9.5999999999999992E-3</v>
          </cell>
          <cell r="D23">
            <v>2.3999999999999998E-3</v>
          </cell>
          <cell r="E23">
            <v>-1.4000000000000002E-3</v>
          </cell>
          <cell r="F23">
            <v>-1E-3</v>
          </cell>
        </row>
        <row r="24">
          <cell r="B24">
            <v>7.3200000000000001E-2</v>
          </cell>
          <cell r="C24">
            <v>1.03E-2</v>
          </cell>
          <cell r="D24">
            <v>2.8000000000000004E-3</v>
          </cell>
          <cell r="E24">
            <v>-1.1999999999999999E-3</v>
          </cell>
          <cell r="F24">
            <v>-1E-3</v>
          </cell>
        </row>
        <row r="25">
          <cell r="B25">
            <v>7.5899999999999995E-2</v>
          </cell>
          <cell r="C25">
            <v>1.0700000000000001E-2</v>
          </cell>
          <cell r="D25">
            <v>2.8000000000000004E-3</v>
          </cell>
          <cell r="E25">
            <v>-1E-3</v>
          </cell>
          <cell r="F25">
            <v>-1E-3</v>
          </cell>
        </row>
      </sheetData>
      <sheetData sheetId="27">
        <row r="15">
          <cell r="B15">
            <v>8.0199999999999994E-2</v>
          </cell>
          <cell r="C15">
            <v>5.5000000000000005E-3</v>
          </cell>
          <cell r="D15">
            <v>1.5E-3</v>
          </cell>
          <cell r="E15">
            <v>-6.7000000000000002E-3</v>
          </cell>
          <cell r="F15">
            <v>-3.4999999999999996E-3</v>
          </cell>
        </row>
        <row r="16">
          <cell r="B16">
            <v>6.25E-2</v>
          </cell>
          <cell r="C16">
            <v>4.3E-3</v>
          </cell>
          <cell r="D16">
            <v>1.1999999999999999E-3</v>
          </cell>
          <cell r="E16">
            <v>-5.1999999999999998E-3</v>
          </cell>
          <cell r="F16">
            <v>-2.7000000000000001E-3</v>
          </cell>
        </row>
        <row r="17">
          <cell r="B17">
            <v>5.9200000000000003E-2</v>
          </cell>
          <cell r="C17">
            <v>4.0999999999999995E-3</v>
          </cell>
          <cell r="D17">
            <v>1.1000000000000001E-3</v>
          </cell>
          <cell r="E17">
            <v>-5.1000000000000004E-3</v>
          </cell>
          <cell r="F17">
            <v>-2.7000000000000001E-3</v>
          </cell>
        </row>
        <row r="18">
          <cell r="B18">
            <v>5.9699999999999996E-2</v>
          </cell>
          <cell r="C18">
            <v>4.4000000000000003E-3</v>
          </cell>
          <cell r="D18">
            <v>1.1999999999999999E-3</v>
          </cell>
          <cell r="E18">
            <v>-5.7999999999999996E-3</v>
          </cell>
          <cell r="F18">
            <v>-3.0000000000000001E-3</v>
          </cell>
        </row>
        <row r="19">
          <cell r="B19">
            <v>6.2699999999999992E-2</v>
          </cell>
          <cell r="C19">
            <v>5.3E-3</v>
          </cell>
          <cell r="D19">
            <v>1.4000000000000002E-3</v>
          </cell>
          <cell r="E19">
            <v>-6.7000000000000002E-3</v>
          </cell>
          <cell r="F19">
            <v>-3.4999999999999996E-3</v>
          </cell>
        </row>
        <row r="20">
          <cell r="B20">
            <v>6.3E-2</v>
          </cell>
          <cell r="C20">
            <v>6.0000000000000001E-3</v>
          </cell>
          <cell r="D20">
            <v>1.6000000000000001E-3</v>
          </cell>
          <cell r="E20">
            <v>-7.3000000000000001E-3</v>
          </cell>
          <cell r="F20">
            <v>-3.8E-3</v>
          </cell>
        </row>
        <row r="21">
          <cell r="B21">
            <v>6.3200000000000006E-2</v>
          </cell>
          <cell r="C21">
            <v>6.7000000000000002E-3</v>
          </cell>
          <cell r="D21">
            <v>1.7000000000000001E-3</v>
          </cell>
          <cell r="E21">
            <v>-8.3000000000000001E-3</v>
          </cell>
          <cell r="F21">
            <v>-4.3E-3</v>
          </cell>
        </row>
        <row r="22">
          <cell r="B22">
            <v>6.4199999999999993E-2</v>
          </cell>
          <cell r="C22">
            <v>7.6E-3</v>
          </cell>
          <cell r="D22">
            <v>1.9E-3</v>
          </cell>
          <cell r="E22">
            <v>-9.4999999999999998E-3</v>
          </cell>
          <cell r="F22">
            <v>-4.7999999999999996E-3</v>
          </cell>
        </row>
        <row r="23">
          <cell r="B23">
            <v>6.5299999999999997E-2</v>
          </cell>
          <cell r="C23">
            <v>8.6E-3</v>
          </cell>
          <cell r="D23">
            <v>2.0999999999999999E-3</v>
          </cell>
          <cell r="E23">
            <v>-1.0700000000000001E-2</v>
          </cell>
          <cell r="F23">
            <v>-5.5000000000000005E-3</v>
          </cell>
        </row>
        <row r="24">
          <cell r="B24">
            <v>6.6900000000000001E-2</v>
          </cell>
          <cell r="C24">
            <v>8.8999999999999999E-3</v>
          </cell>
          <cell r="D24">
            <v>2.2000000000000001E-3</v>
          </cell>
          <cell r="E24">
            <v>-1.24E-2</v>
          </cell>
          <cell r="F24">
            <v>-6.6E-3</v>
          </cell>
        </row>
        <row r="25">
          <cell r="B25">
            <v>6.83E-2</v>
          </cell>
          <cell r="C25">
            <v>8.8999999999999999E-3</v>
          </cell>
          <cell r="D25">
            <v>2.2000000000000001E-3</v>
          </cell>
          <cell r="E25">
            <v>-1.29E-2</v>
          </cell>
          <cell r="F25">
            <v>-6.8999999999999999E-3</v>
          </cell>
        </row>
      </sheetData>
      <sheetData sheetId="28">
        <row r="15">
          <cell r="B15">
            <v>0.15289999999999998</v>
          </cell>
          <cell r="C15">
            <v>1.52E-2</v>
          </cell>
          <cell r="D15">
            <v>4.1999999999999997E-3</v>
          </cell>
          <cell r="E15">
            <v>-5.6100000000000004E-2</v>
          </cell>
          <cell r="F15">
            <v>-3.1E-2</v>
          </cell>
        </row>
        <row r="16">
          <cell r="B16">
            <v>0.1134</v>
          </cell>
          <cell r="C16">
            <v>1.11E-2</v>
          </cell>
          <cell r="D16">
            <v>3.4999999999999996E-3</v>
          </cell>
          <cell r="E16">
            <v>-4.1399999999999999E-2</v>
          </cell>
          <cell r="F16">
            <v>-2.29E-2</v>
          </cell>
        </row>
        <row r="17">
          <cell r="B17">
            <v>0.11269999999999999</v>
          </cell>
          <cell r="C17">
            <v>1.1399999999999999E-2</v>
          </cell>
          <cell r="D17">
            <v>3.4999999999999996E-3</v>
          </cell>
          <cell r="E17">
            <v>-4.2099999999999999E-2</v>
          </cell>
          <cell r="F17">
            <v>-2.3199999999999998E-2</v>
          </cell>
        </row>
        <row r="18">
          <cell r="B18">
            <v>0.1048</v>
          </cell>
          <cell r="C18">
            <v>1.1399999999999999E-2</v>
          </cell>
          <cell r="D18">
            <v>3.3E-3</v>
          </cell>
          <cell r="E18">
            <v>-4.0800000000000003E-2</v>
          </cell>
          <cell r="F18">
            <v>-2.2400000000000003E-2</v>
          </cell>
        </row>
        <row r="19">
          <cell r="B19">
            <v>0.10279999999999999</v>
          </cell>
          <cell r="C19">
            <v>1.21E-2</v>
          </cell>
          <cell r="D19">
            <v>3.4999999999999996E-3</v>
          </cell>
          <cell r="E19">
            <v>-4.0800000000000003E-2</v>
          </cell>
          <cell r="F19">
            <v>-2.2099999999999998E-2</v>
          </cell>
        </row>
        <row r="20">
          <cell r="B20">
            <v>0.10099999999999999</v>
          </cell>
          <cell r="C20">
            <v>1.2699999999999999E-2</v>
          </cell>
          <cell r="D20">
            <v>3.7000000000000002E-3</v>
          </cell>
          <cell r="E20">
            <v>-4.0800000000000003E-2</v>
          </cell>
          <cell r="F20">
            <v>-2.1700000000000001E-2</v>
          </cell>
        </row>
        <row r="21">
          <cell r="B21">
            <v>9.9199999999999997E-2</v>
          </cell>
          <cell r="C21">
            <v>1.3999999999999999E-2</v>
          </cell>
          <cell r="D21">
            <v>4.0999999999999995E-3</v>
          </cell>
          <cell r="E21">
            <v>-3.7699999999999997E-2</v>
          </cell>
          <cell r="F21">
            <v>-1.9199999999999998E-2</v>
          </cell>
        </row>
        <row r="22">
          <cell r="B22">
            <v>0.1</v>
          </cell>
          <cell r="C22">
            <v>1.52E-2</v>
          </cell>
          <cell r="D22">
            <v>4.1999999999999997E-3</v>
          </cell>
          <cell r="E22">
            <v>-3.7900000000000003E-2</v>
          </cell>
          <cell r="F22">
            <v>-1.8600000000000002E-2</v>
          </cell>
        </row>
        <row r="23">
          <cell r="B23">
            <v>0.1013</v>
          </cell>
          <cell r="C23">
            <v>1.6500000000000001E-2</v>
          </cell>
          <cell r="D23">
            <v>4.4000000000000003E-3</v>
          </cell>
          <cell r="E23">
            <v>-3.7699999999999997E-2</v>
          </cell>
          <cell r="F23">
            <v>-1.8000000000000002E-2</v>
          </cell>
        </row>
        <row r="24">
          <cell r="B24">
            <v>0.1012</v>
          </cell>
          <cell r="C24">
            <v>1.9299999999999998E-2</v>
          </cell>
          <cell r="D24">
            <v>5.5000000000000005E-3</v>
          </cell>
          <cell r="E24">
            <v>-3.7499999999999999E-2</v>
          </cell>
          <cell r="F24">
            <v>-1.9299999999999998E-2</v>
          </cell>
        </row>
        <row r="25">
          <cell r="B25">
            <v>0.1018</v>
          </cell>
          <cell r="C25">
            <v>2.0499999999999997E-2</v>
          </cell>
          <cell r="D25">
            <v>5.6999999999999993E-3</v>
          </cell>
          <cell r="E25">
            <v>-3.8399999999999997E-2</v>
          </cell>
          <cell r="F25">
            <v>-1.9799999999999998E-2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 Spread"/>
      <sheetName val="G7"/>
      <sheetName val="G7 Cross"/>
    </sheetNames>
    <sheetDataSet>
      <sheetData sheetId="0"/>
      <sheetData sheetId="1">
        <row r="2">
          <cell r="C2">
            <v>0.8</v>
          </cell>
          <cell r="D2">
            <v>3.1</v>
          </cell>
        </row>
        <row r="3">
          <cell r="C3">
            <v>0.67999999999999994</v>
          </cell>
          <cell r="D3">
            <v>2.11</v>
          </cell>
        </row>
        <row r="4">
          <cell r="C4">
            <v>0.53</v>
          </cell>
          <cell r="D4">
            <v>1.51</v>
          </cell>
        </row>
        <row r="5">
          <cell r="C5">
            <v>0.34</v>
          </cell>
          <cell r="D5">
            <v>0.75</v>
          </cell>
        </row>
        <row r="6">
          <cell r="C6">
            <v>0.34</v>
          </cell>
          <cell r="D6">
            <v>0.74</v>
          </cell>
        </row>
        <row r="7">
          <cell r="C7">
            <v>0.34</v>
          </cell>
          <cell r="D7">
            <v>0.75</v>
          </cell>
        </row>
        <row r="8">
          <cell r="C8">
            <v>0.33</v>
          </cell>
          <cell r="D8">
            <v>0.7</v>
          </cell>
        </row>
        <row r="9">
          <cell r="C9">
            <v>0.33</v>
          </cell>
          <cell r="D9">
            <v>0.7</v>
          </cell>
        </row>
        <row r="10">
          <cell r="C10">
            <v>0.35</v>
          </cell>
          <cell r="D10">
            <v>0.73</v>
          </cell>
        </row>
        <row r="11">
          <cell r="C11">
            <v>0.4</v>
          </cell>
          <cell r="D11">
            <v>1.01</v>
          </cell>
        </row>
        <row r="12">
          <cell r="C12">
            <v>0.47000000000000003</v>
          </cell>
          <cell r="D12">
            <v>1.29</v>
          </cell>
        </row>
        <row r="14">
          <cell r="C14">
            <v>2.64</v>
          </cell>
          <cell r="D14">
            <v>9.43</v>
          </cell>
        </row>
        <row r="15">
          <cell r="C15">
            <v>1.23</v>
          </cell>
          <cell r="D15">
            <v>4.04</v>
          </cell>
        </row>
        <row r="16">
          <cell r="C16">
            <v>0.73</v>
          </cell>
          <cell r="D16">
            <v>2.39</v>
          </cell>
        </row>
        <row r="17">
          <cell r="C17">
            <v>0.44</v>
          </cell>
          <cell r="D17">
            <v>1.3299999999999998</v>
          </cell>
        </row>
        <row r="18">
          <cell r="C18">
            <v>0.41000000000000003</v>
          </cell>
          <cell r="D18">
            <v>1.23</v>
          </cell>
        </row>
        <row r="19">
          <cell r="C19">
            <v>0.4</v>
          </cell>
          <cell r="D19">
            <v>1.23</v>
          </cell>
        </row>
        <row r="20">
          <cell r="C20">
            <v>0.36</v>
          </cell>
          <cell r="D20">
            <v>1.06</v>
          </cell>
        </row>
        <row r="21">
          <cell r="C21">
            <v>0.36</v>
          </cell>
          <cell r="D21">
            <v>1.03</v>
          </cell>
        </row>
        <row r="22">
          <cell r="C22">
            <v>0.35</v>
          </cell>
          <cell r="D22">
            <v>1.03</v>
          </cell>
        </row>
        <row r="23">
          <cell r="C23">
            <v>0.38</v>
          </cell>
          <cell r="D23">
            <v>1.19</v>
          </cell>
        </row>
        <row r="24">
          <cell r="C24">
            <v>0.37</v>
          </cell>
          <cell r="D24">
            <v>1.17</v>
          </cell>
        </row>
        <row r="26">
          <cell r="C26">
            <v>1.56</v>
          </cell>
          <cell r="D26">
            <v>2.94</v>
          </cell>
        </row>
        <row r="27">
          <cell r="C27">
            <v>0.66999999999999993</v>
          </cell>
          <cell r="D27">
            <v>0.8899999999999999</v>
          </cell>
        </row>
        <row r="28">
          <cell r="C28">
            <v>0.51</v>
          </cell>
          <cell r="D28">
            <v>0.81</v>
          </cell>
        </row>
        <row r="29">
          <cell r="C29">
            <v>0.31</v>
          </cell>
          <cell r="D29">
            <v>0.59000000000000008</v>
          </cell>
        </row>
        <row r="30">
          <cell r="C30">
            <v>0.34</v>
          </cell>
          <cell r="D30">
            <v>0.58000000000000007</v>
          </cell>
        </row>
        <row r="31">
          <cell r="C31">
            <v>0.29000000000000004</v>
          </cell>
          <cell r="D31">
            <v>0.59000000000000008</v>
          </cell>
        </row>
        <row r="32">
          <cell r="C32">
            <v>0.29000000000000004</v>
          </cell>
          <cell r="D32">
            <v>0.59000000000000008</v>
          </cell>
        </row>
        <row r="33">
          <cell r="C33">
            <v>0.28000000000000003</v>
          </cell>
          <cell r="D33">
            <v>0.59000000000000008</v>
          </cell>
        </row>
        <row r="34">
          <cell r="C34">
            <v>0.29000000000000004</v>
          </cell>
          <cell r="D34">
            <v>0.60000000000000009</v>
          </cell>
        </row>
        <row r="35">
          <cell r="C35">
            <v>0.36</v>
          </cell>
          <cell r="D35">
            <v>1.1300000000000001</v>
          </cell>
        </row>
        <row r="36">
          <cell r="C36">
            <v>0.44</v>
          </cell>
          <cell r="D36">
            <v>1.52</v>
          </cell>
        </row>
        <row r="38">
          <cell r="C38">
            <v>1.03</v>
          </cell>
          <cell r="D38">
            <v>2.76</v>
          </cell>
        </row>
        <row r="39">
          <cell r="C39">
            <v>0.71</v>
          </cell>
          <cell r="D39">
            <v>1.3499999999999999</v>
          </cell>
        </row>
        <row r="40">
          <cell r="C40">
            <v>0.55000000000000004</v>
          </cell>
          <cell r="D40">
            <v>1.24</v>
          </cell>
        </row>
        <row r="41">
          <cell r="C41">
            <v>0.38</v>
          </cell>
          <cell r="D41">
            <v>0.92999999999999994</v>
          </cell>
        </row>
        <row r="42">
          <cell r="C42">
            <v>0.37</v>
          </cell>
          <cell r="D42">
            <v>0.90999999999999992</v>
          </cell>
        </row>
        <row r="43">
          <cell r="C43">
            <v>0.38</v>
          </cell>
          <cell r="D43">
            <v>0.94</v>
          </cell>
        </row>
        <row r="44">
          <cell r="C44">
            <v>0.37</v>
          </cell>
          <cell r="D44">
            <v>0.95</v>
          </cell>
        </row>
        <row r="45">
          <cell r="C45">
            <v>0.36</v>
          </cell>
          <cell r="D45">
            <v>0.95</v>
          </cell>
        </row>
        <row r="46">
          <cell r="C46">
            <v>0.38</v>
          </cell>
          <cell r="D46">
            <v>0.98</v>
          </cell>
        </row>
        <row r="47">
          <cell r="C47">
            <v>0.42000000000000004</v>
          </cell>
          <cell r="D47">
            <v>2.5</v>
          </cell>
        </row>
        <row r="48">
          <cell r="C48">
            <v>0.52</v>
          </cell>
          <cell r="D48">
            <v>3.4200000000000004</v>
          </cell>
        </row>
        <row r="50">
          <cell r="C50">
            <v>4.04</v>
          </cell>
          <cell r="D50">
            <v>4</v>
          </cell>
        </row>
        <row r="51">
          <cell r="C51">
            <v>2</v>
          </cell>
          <cell r="D51">
            <v>2</v>
          </cell>
        </row>
        <row r="52">
          <cell r="C52">
            <v>1.7</v>
          </cell>
          <cell r="D52">
            <v>1.7</v>
          </cell>
        </row>
        <row r="53">
          <cell r="C53">
            <v>0.8</v>
          </cell>
          <cell r="D53">
            <v>1.3</v>
          </cell>
        </row>
        <row r="54">
          <cell r="C54">
            <v>0.7</v>
          </cell>
          <cell r="D54">
            <v>1.27</v>
          </cell>
        </row>
        <row r="55">
          <cell r="C55">
            <v>0.60000000000000009</v>
          </cell>
          <cell r="D55">
            <v>1.3</v>
          </cell>
        </row>
        <row r="56">
          <cell r="C56">
            <v>0.55000000000000004</v>
          </cell>
          <cell r="D56">
            <v>1.28</v>
          </cell>
        </row>
        <row r="57">
          <cell r="C57">
            <v>0.55000000000000004</v>
          </cell>
          <cell r="D57">
            <v>1.23</v>
          </cell>
        </row>
        <row r="58">
          <cell r="C58">
            <v>0.55000000000000004</v>
          </cell>
          <cell r="D58">
            <v>1.23</v>
          </cell>
        </row>
        <row r="59">
          <cell r="C59">
            <v>0.55000000000000004</v>
          </cell>
          <cell r="D59">
            <v>1.1599999999999999</v>
          </cell>
        </row>
        <row r="60">
          <cell r="C60">
            <v>0.55000000000000004</v>
          </cell>
          <cell r="D60">
            <v>1.07</v>
          </cell>
        </row>
        <row r="62">
          <cell r="C62">
            <v>1.69</v>
          </cell>
          <cell r="D62">
            <v>6.97</v>
          </cell>
        </row>
        <row r="63">
          <cell r="C63">
            <v>1.1499999999999999</v>
          </cell>
          <cell r="D63">
            <v>3.98</v>
          </cell>
        </row>
        <row r="64">
          <cell r="C64">
            <v>0.79</v>
          </cell>
          <cell r="D64">
            <v>2.54</v>
          </cell>
        </row>
        <row r="65">
          <cell r="C65">
            <v>0.49</v>
          </cell>
          <cell r="D65">
            <v>1.3499999999999999</v>
          </cell>
        </row>
        <row r="66">
          <cell r="C66">
            <v>0.46</v>
          </cell>
          <cell r="D66">
            <v>1.24</v>
          </cell>
        </row>
        <row r="67">
          <cell r="C67">
            <v>0.46</v>
          </cell>
          <cell r="D67">
            <v>1.23</v>
          </cell>
        </row>
        <row r="68">
          <cell r="C68">
            <v>0.44</v>
          </cell>
          <cell r="D68">
            <v>1.1599999999999999</v>
          </cell>
        </row>
        <row r="69">
          <cell r="C69">
            <v>0.44</v>
          </cell>
          <cell r="D69">
            <v>1.1300000000000001</v>
          </cell>
        </row>
        <row r="70">
          <cell r="C70">
            <v>0.46</v>
          </cell>
          <cell r="D70">
            <v>1.1399999999999999</v>
          </cell>
        </row>
        <row r="71">
          <cell r="C71">
            <v>0.47000000000000003</v>
          </cell>
          <cell r="D71">
            <v>1.32</v>
          </cell>
        </row>
        <row r="72">
          <cell r="C72">
            <v>0.75</v>
          </cell>
          <cell r="D72">
            <v>2.3800000000000003</v>
          </cell>
        </row>
        <row r="74">
          <cell r="C74">
            <v>3.44</v>
          </cell>
          <cell r="D74">
            <v>2.87</v>
          </cell>
        </row>
        <row r="75">
          <cell r="C75">
            <v>1.55</v>
          </cell>
          <cell r="D75">
            <v>1.19</v>
          </cell>
        </row>
        <row r="76">
          <cell r="C76">
            <v>0.98</v>
          </cell>
          <cell r="D76">
            <v>1</v>
          </cell>
        </row>
        <row r="77">
          <cell r="C77">
            <v>0.49</v>
          </cell>
          <cell r="D77">
            <v>0.67999999999999994</v>
          </cell>
        </row>
        <row r="78">
          <cell r="C78">
            <v>0.58000000000000007</v>
          </cell>
          <cell r="D78">
            <v>0.66999999999999993</v>
          </cell>
        </row>
        <row r="79">
          <cell r="C79">
            <v>0.45</v>
          </cell>
          <cell r="D79">
            <v>0.67999999999999994</v>
          </cell>
        </row>
        <row r="80">
          <cell r="C80">
            <v>0.43000000000000005</v>
          </cell>
          <cell r="D80">
            <v>0.66</v>
          </cell>
        </row>
        <row r="81">
          <cell r="C81">
            <v>0.42000000000000004</v>
          </cell>
          <cell r="D81">
            <v>0.66999999999999993</v>
          </cell>
        </row>
        <row r="82">
          <cell r="C82">
            <v>0.44</v>
          </cell>
          <cell r="D82">
            <v>0.67999999999999994</v>
          </cell>
        </row>
        <row r="83">
          <cell r="C83">
            <v>0.44</v>
          </cell>
          <cell r="D83">
            <v>1.1300000000000001</v>
          </cell>
        </row>
        <row r="84">
          <cell r="C84">
            <v>0.55000000000000004</v>
          </cell>
          <cell r="D84">
            <v>1.49</v>
          </cell>
        </row>
      </sheetData>
      <sheetData sheetId="2">
        <row r="2">
          <cell r="C2">
            <v>8.11</v>
          </cell>
        </row>
        <row r="3">
          <cell r="C3">
            <v>2.3199999999999998</v>
          </cell>
        </row>
        <row r="4">
          <cell r="C4">
            <v>1.35</v>
          </cell>
        </row>
        <row r="5">
          <cell r="C5">
            <v>0.67</v>
          </cell>
        </row>
        <row r="6">
          <cell r="C6">
            <v>0.63</v>
          </cell>
        </row>
        <row r="7">
          <cell r="C7">
            <v>0.65</v>
          </cell>
        </row>
        <row r="8">
          <cell r="C8">
            <v>0.62</v>
          </cell>
        </row>
        <row r="9">
          <cell r="C9">
            <v>0.56999999999999995</v>
          </cell>
        </row>
        <row r="10">
          <cell r="C10">
            <v>0.55000000000000004</v>
          </cell>
        </row>
        <row r="11">
          <cell r="C11">
            <v>0.71</v>
          </cell>
        </row>
        <row r="12">
          <cell r="C12">
            <v>0.73</v>
          </cell>
        </row>
        <row r="14">
          <cell r="C14">
            <v>4.6100000000000003</v>
          </cell>
        </row>
        <row r="15">
          <cell r="C15">
            <v>1.29</v>
          </cell>
        </row>
        <row r="16">
          <cell r="C16">
            <v>0.78</v>
          </cell>
        </row>
        <row r="17">
          <cell r="C17">
            <v>0.48</v>
          </cell>
        </row>
        <row r="18">
          <cell r="C18">
            <v>0.44</v>
          </cell>
        </row>
        <row r="19">
          <cell r="C19">
            <v>0.44</v>
          </cell>
        </row>
        <row r="20">
          <cell r="C20">
            <v>0.56000000000000005</v>
          </cell>
        </row>
        <row r="21">
          <cell r="C21">
            <v>0.54</v>
          </cell>
        </row>
        <row r="22">
          <cell r="C22">
            <v>0.54</v>
          </cell>
        </row>
        <row r="23">
          <cell r="C23">
            <v>0.56999999999999995</v>
          </cell>
        </row>
        <row r="24">
          <cell r="C24">
            <v>1.04</v>
          </cell>
        </row>
        <row r="26">
          <cell r="C26">
            <v>5.0599999999999996</v>
          </cell>
        </row>
        <row r="27">
          <cell r="C27">
            <v>2.3199999999999998</v>
          </cell>
        </row>
        <row r="28">
          <cell r="C28">
            <v>1.32</v>
          </cell>
        </row>
        <row r="29">
          <cell r="C29">
            <v>0.7</v>
          </cell>
        </row>
        <row r="30">
          <cell r="C30">
            <v>0.65</v>
          </cell>
        </row>
        <row r="31">
          <cell r="C31">
            <v>0.65</v>
          </cell>
        </row>
        <row r="32">
          <cell r="C32">
            <v>0.59</v>
          </cell>
        </row>
        <row r="33">
          <cell r="C33">
            <v>0.55000000000000004</v>
          </cell>
        </row>
        <row r="34">
          <cell r="C34">
            <v>0.54</v>
          </cell>
        </row>
        <row r="35">
          <cell r="C35">
            <v>0.62</v>
          </cell>
        </row>
        <row r="36">
          <cell r="C36">
            <v>0.73</v>
          </cell>
        </row>
        <row r="38">
          <cell r="C38">
            <v>2.0099999999999998</v>
          </cell>
        </row>
        <row r="39">
          <cell r="C39">
            <v>0.95</v>
          </cell>
        </row>
        <row r="40">
          <cell r="C40">
            <v>0.56999999999999995</v>
          </cell>
        </row>
        <row r="41">
          <cell r="C41">
            <v>0.3</v>
          </cell>
        </row>
        <row r="42">
          <cell r="C42">
            <v>0.25</v>
          </cell>
        </row>
        <row r="43">
          <cell r="C43">
            <v>0.26</v>
          </cell>
        </row>
        <row r="44">
          <cell r="C44">
            <v>0.24</v>
          </cell>
        </row>
        <row r="45">
          <cell r="C45">
            <v>0.22</v>
          </cell>
        </row>
        <row r="46">
          <cell r="C46">
            <v>0.23</v>
          </cell>
        </row>
        <row r="47">
          <cell r="C47">
            <v>0.35</v>
          </cell>
        </row>
        <row r="48">
          <cell r="C48">
            <v>0.48</v>
          </cell>
        </row>
        <row r="50">
          <cell r="C50">
            <v>2.04</v>
          </cell>
        </row>
        <row r="51">
          <cell r="C51">
            <v>0.85</v>
          </cell>
        </row>
        <row r="52">
          <cell r="C52">
            <v>0.53</v>
          </cell>
        </row>
        <row r="53">
          <cell r="C53">
            <v>0.32</v>
          </cell>
        </row>
        <row r="54">
          <cell r="C54">
            <v>0.28999999999999998</v>
          </cell>
        </row>
        <row r="55">
          <cell r="C55">
            <v>0.31</v>
          </cell>
        </row>
        <row r="56">
          <cell r="C56">
            <v>0.37</v>
          </cell>
        </row>
        <row r="57">
          <cell r="C57">
            <v>0.35</v>
          </cell>
        </row>
        <row r="58">
          <cell r="C58">
            <v>0.35</v>
          </cell>
        </row>
        <row r="59">
          <cell r="C59">
            <v>0.37</v>
          </cell>
        </row>
        <row r="60">
          <cell r="C60">
            <v>0.67</v>
          </cell>
        </row>
        <row r="62">
          <cell r="C62">
            <v>5.28</v>
          </cell>
        </row>
        <row r="63">
          <cell r="C63">
            <v>1.83</v>
          </cell>
        </row>
        <row r="64">
          <cell r="C64">
            <v>0.97</v>
          </cell>
        </row>
        <row r="65">
          <cell r="C65">
            <v>0.42</v>
          </cell>
        </row>
        <row r="66">
          <cell r="C66">
            <v>0.41</v>
          </cell>
        </row>
        <row r="67">
          <cell r="C67">
            <v>0.43</v>
          </cell>
        </row>
        <row r="68">
          <cell r="C68">
            <v>0.4</v>
          </cell>
        </row>
        <row r="69">
          <cell r="C69">
            <v>0.38</v>
          </cell>
        </row>
        <row r="70">
          <cell r="C70">
            <v>0.38</v>
          </cell>
        </row>
        <row r="71">
          <cell r="C71">
            <v>0.56000000000000005</v>
          </cell>
        </row>
        <row r="72">
          <cell r="C72">
            <v>0.61</v>
          </cell>
        </row>
        <row r="74">
          <cell r="C74">
            <v>1.5</v>
          </cell>
        </row>
        <row r="75">
          <cell r="C75">
            <v>0.65</v>
          </cell>
        </row>
        <row r="76">
          <cell r="C76">
            <v>0.46</v>
          </cell>
        </row>
        <row r="77">
          <cell r="C77">
            <v>0.21</v>
          </cell>
        </row>
        <row r="78">
          <cell r="C78">
            <v>0.19</v>
          </cell>
        </row>
        <row r="79">
          <cell r="C79">
            <v>0.2</v>
          </cell>
        </row>
        <row r="80">
          <cell r="C80">
            <v>0.2</v>
          </cell>
        </row>
        <row r="81">
          <cell r="C81">
            <v>0.19</v>
          </cell>
        </row>
        <row r="82">
          <cell r="C82">
            <v>0.19</v>
          </cell>
        </row>
        <row r="83">
          <cell r="C83">
            <v>0.27</v>
          </cell>
        </row>
        <row r="84">
          <cell r="C84">
            <v>0.43</v>
          </cell>
        </row>
        <row r="86">
          <cell r="C86">
            <v>4.04</v>
          </cell>
        </row>
        <row r="87">
          <cell r="C87">
            <v>1.8</v>
          </cell>
        </row>
        <row r="88">
          <cell r="C88">
            <v>1.5</v>
          </cell>
        </row>
        <row r="89">
          <cell r="C89">
            <v>0.6</v>
          </cell>
        </row>
        <row r="90">
          <cell r="C90">
            <v>0.5</v>
          </cell>
        </row>
        <row r="91">
          <cell r="C91">
            <v>0.44</v>
          </cell>
        </row>
        <row r="92">
          <cell r="C92">
            <v>0.41</v>
          </cell>
        </row>
        <row r="93">
          <cell r="C93">
            <v>0.39</v>
          </cell>
        </row>
        <row r="94">
          <cell r="C94">
            <v>0.43</v>
          </cell>
        </row>
        <row r="95">
          <cell r="C95">
            <v>0.49</v>
          </cell>
        </row>
        <row r="96">
          <cell r="C96">
            <v>0.53</v>
          </cell>
        </row>
        <row r="98">
          <cell r="C98">
            <v>4.0999999999999996</v>
          </cell>
        </row>
        <row r="99">
          <cell r="C99">
            <v>1.28</v>
          </cell>
        </row>
        <row r="100">
          <cell r="C100">
            <v>0.78</v>
          </cell>
        </row>
        <row r="101">
          <cell r="C101">
            <v>0.49</v>
          </cell>
        </row>
        <row r="102">
          <cell r="C102">
            <v>0.45</v>
          </cell>
        </row>
        <row r="103">
          <cell r="C103">
            <v>0.45</v>
          </cell>
        </row>
        <row r="104">
          <cell r="C104">
            <v>0.56000000000000005</v>
          </cell>
        </row>
        <row r="105">
          <cell r="C105">
            <v>0.53</v>
          </cell>
        </row>
        <row r="106">
          <cell r="C106">
            <v>0.53</v>
          </cell>
        </row>
        <row r="107">
          <cell r="C107">
            <v>0.55000000000000004</v>
          </cell>
        </row>
        <row r="108">
          <cell r="C108">
            <v>0.99</v>
          </cell>
        </row>
        <row r="110">
          <cell r="C110">
            <v>1.55</v>
          </cell>
        </row>
        <row r="111">
          <cell r="C111">
            <v>0.95</v>
          </cell>
        </row>
        <row r="112">
          <cell r="C112">
            <v>0.68</v>
          </cell>
        </row>
        <row r="113">
          <cell r="C113">
            <v>0.27</v>
          </cell>
        </row>
        <row r="114">
          <cell r="C114">
            <v>0.27</v>
          </cell>
        </row>
        <row r="115">
          <cell r="C115">
            <v>0.28000000000000003</v>
          </cell>
        </row>
        <row r="116">
          <cell r="C116">
            <v>0.25</v>
          </cell>
        </row>
        <row r="117">
          <cell r="C117">
            <v>0.25</v>
          </cell>
        </row>
        <row r="118">
          <cell r="C118">
            <v>0.26</v>
          </cell>
        </row>
        <row r="119">
          <cell r="C119">
            <v>0.4</v>
          </cell>
        </row>
        <row r="120">
          <cell r="C120">
            <v>0.54</v>
          </cell>
        </row>
        <row r="122">
          <cell r="C122">
            <v>2.73</v>
          </cell>
        </row>
        <row r="123">
          <cell r="C123">
            <v>0.86</v>
          </cell>
        </row>
        <row r="124">
          <cell r="C124">
            <v>0.52</v>
          </cell>
        </row>
        <row r="125">
          <cell r="C125">
            <v>0.33</v>
          </cell>
        </row>
        <row r="126">
          <cell r="C126">
            <v>0.3</v>
          </cell>
        </row>
        <row r="127">
          <cell r="C127">
            <v>0.31</v>
          </cell>
        </row>
        <row r="128">
          <cell r="C128">
            <v>0.38</v>
          </cell>
        </row>
        <row r="129">
          <cell r="C129">
            <v>0.36</v>
          </cell>
        </row>
        <row r="130">
          <cell r="C130">
            <v>0.36</v>
          </cell>
        </row>
        <row r="131">
          <cell r="C131">
            <v>0.38</v>
          </cell>
        </row>
        <row r="132">
          <cell r="C132">
            <v>0.7</v>
          </cell>
        </row>
        <row r="134">
          <cell r="C134">
            <v>14.44</v>
          </cell>
        </row>
        <row r="135">
          <cell r="C135">
            <v>3.95</v>
          </cell>
        </row>
        <row r="136">
          <cell r="C136">
            <v>2.19</v>
          </cell>
        </row>
        <row r="137">
          <cell r="C137">
            <v>1.03</v>
          </cell>
        </row>
        <row r="138">
          <cell r="C138">
            <v>0.83</v>
          </cell>
        </row>
        <row r="139">
          <cell r="C139">
            <v>0.82</v>
          </cell>
        </row>
        <row r="140">
          <cell r="C140">
            <v>0.71</v>
          </cell>
        </row>
        <row r="141">
          <cell r="C141">
            <v>0.68</v>
          </cell>
        </row>
        <row r="142">
          <cell r="C142">
            <v>0.69</v>
          </cell>
        </row>
        <row r="143">
          <cell r="C143">
            <v>1.01</v>
          </cell>
        </row>
        <row r="144">
          <cell r="C144">
            <v>1.03</v>
          </cell>
        </row>
        <row r="146">
          <cell r="C146">
            <v>3.48</v>
          </cell>
        </row>
        <row r="147">
          <cell r="C147">
            <v>1.89</v>
          </cell>
        </row>
        <row r="148">
          <cell r="C148">
            <v>1.23</v>
          </cell>
        </row>
        <row r="149">
          <cell r="C149">
            <v>0.56999999999999995</v>
          </cell>
        </row>
        <row r="150">
          <cell r="C150">
            <v>0.52</v>
          </cell>
        </row>
        <row r="151">
          <cell r="C151">
            <v>0.51</v>
          </cell>
        </row>
        <row r="152">
          <cell r="C152">
            <v>0.48</v>
          </cell>
        </row>
        <row r="153">
          <cell r="C153">
            <v>0.47</v>
          </cell>
        </row>
        <row r="154">
          <cell r="C154">
            <v>0.48</v>
          </cell>
        </row>
        <row r="155">
          <cell r="C155">
            <v>0.56000000000000005</v>
          </cell>
        </row>
        <row r="156">
          <cell r="C156">
            <v>1.1100000000000001</v>
          </cell>
        </row>
        <row r="158">
          <cell r="C158">
            <v>6.15</v>
          </cell>
        </row>
        <row r="159">
          <cell r="C159">
            <v>1.72</v>
          </cell>
        </row>
        <row r="160">
          <cell r="C160">
            <v>1.05</v>
          </cell>
        </row>
        <row r="161">
          <cell r="C161">
            <v>0.65</v>
          </cell>
        </row>
        <row r="162">
          <cell r="C162">
            <v>0.59</v>
          </cell>
        </row>
        <row r="163">
          <cell r="C163">
            <v>0.59</v>
          </cell>
        </row>
        <row r="164">
          <cell r="C164">
            <v>0.75</v>
          </cell>
        </row>
        <row r="165">
          <cell r="C165">
            <v>0.8</v>
          </cell>
        </row>
        <row r="166">
          <cell r="C166">
            <v>0.71</v>
          </cell>
        </row>
        <row r="167">
          <cell r="C167">
            <v>0.74</v>
          </cell>
        </row>
        <row r="168">
          <cell r="C168">
            <v>1.35</v>
          </cell>
        </row>
        <row r="170">
          <cell r="C170">
            <v>8.35</v>
          </cell>
        </row>
        <row r="171">
          <cell r="C171">
            <v>3.01</v>
          </cell>
        </row>
        <row r="172">
          <cell r="C172">
            <v>1.71</v>
          </cell>
        </row>
        <row r="173">
          <cell r="C173">
            <v>0.9</v>
          </cell>
        </row>
        <row r="174">
          <cell r="C174">
            <v>0.84</v>
          </cell>
        </row>
        <row r="175">
          <cell r="C175">
            <v>0.84</v>
          </cell>
        </row>
        <row r="176">
          <cell r="C176">
            <v>0.76</v>
          </cell>
        </row>
        <row r="177">
          <cell r="C177">
            <v>0.71</v>
          </cell>
        </row>
        <row r="178">
          <cell r="C178">
            <v>0.7</v>
          </cell>
        </row>
        <row r="179">
          <cell r="C179">
            <v>0.78</v>
          </cell>
        </row>
        <row r="180">
          <cell r="C180">
            <v>0.93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7"/>
      <sheetName val="G7 Cross"/>
    </sheetNames>
    <sheetDataSet>
      <sheetData sheetId="0">
        <row r="2">
          <cell r="E2">
            <v>4.4171428571428564</v>
          </cell>
        </row>
      </sheetData>
      <sheetData sheetId="1">
        <row r="2">
          <cell r="E2">
            <v>5.02952380952381</v>
          </cell>
        </row>
        <row r="170">
          <cell r="E170">
            <v>6.19</v>
          </cell>
        </row>
        <row r="171">
          <cell r="E171">
            <v>3.09</v>
          </cell>
        </row>
        <row r="172">
          <cell r="E172">
            <v>2.17</v>
          </cell>
        </row>
        <row r="173">
          <cell r="E173">
            <v>1.1599999999999999</v>
          </cell>
        </row>
        <row r="174">
          <cell r="E174">
            <v>0.93</v>
          </cell>
        </row>
        <row r="175">
          <cell r="E175">
            <v>0.9</v>
          </cell>
        </row>
        <row r="176">
          <cell r="E176">
            <v>0.81</v>
          </cell>
        </row>
        <row r="177">
          <cell r="E177">
            <v>0.81</v>
          </cell>
        </row>
        <row r="178">
          <cell r="E178">
            <v>0.83000000000000007</v>
          </cell>
        </row>
        <row r="179">
          <cell r="E179">
            <v>1.05</v>
          </cell>
        </row>
        <row r="180">
          <cell r="E180">
            <v>1.31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 PM Input"/>
      <sheetName val="XAU Input"/>
    </sheetNames>
    <sheetDataSet>
      <sheetData sheetId="0">
        <row r="2">
          <cell r="Q2">
            <v>6.5000000000000006E-3</v>
          </cell>
          <cell r="R2">
            <v>-6.8000000000000005E-3</v>
          </cell>
          <cell r="S2">
            <v>-1.405E-2</v>
          </cell>
          <cell r="T2">
            <v>-1.6000000000000001E-3</v>
          </cell>
          <cell r="U2">
            <v>-1.8E-3</v>
          </cell>
          <cell r="X2">
            <v>2.6500000000000003E-2</v>
          </cell>
          <cell r="Y2">
            <v>4.2000000000000006E-3</v>
          </cell>
          <cell r="Z2">
            <v>9.4500000000000001E-3</v>
          </cell>
          <cell r="AA2">
            <v>3.4000000000000002E-3</v>
          </cell>
          <cell r="AB2">
            <v>8.2000000000000007E-3</v>
          </cell>
        </row>
        <row r="3">
          <cell r="Q3">
            <v>1.4250000000000001E-2</v>
          </cell>
          <cell r="R3">
            <v>-3.5999999999999999E-3</v>
          </cell>
          <cell r="S3">
            <v>-7.0000000000000001E-3</v>
          </cell>
          <cell r="T3">
            <v>-1.1000000000000001E-3</v>
          </cell>
          <cell r="U3">
            <v>-1E-3</v>
          </cell>
          <cell r="X3">
            <v>1.7750000000000002E-2</v>
          </cell>
          <cell r="Y3">
            <v>8.0000000000000015E-4</v>
          </cell>
          <cell r="Z3">
            <v>1.8000000000000004E-3</v>
          </cell>
          <cell r="AA3">
            <v>2.8999999999999998E-3</v>
          </cell>
          <cell r="AB3">
            <v>7.0000000000000001E-3</v>
          </cell>
        </row>
        <row r="4">
          <cell r="Q4">
            <v>1.4000000000000002E-2</v>
          </cell>
          <cell r="R4">
            <v>-2.5500000000000002E-3</v>
          </cell>
          <cell r="S4">
            <v>-4.8999999999999998E-3</v>
          </cell>
          <cell r="T4">
            <v>-2.5000000000000001E-4</v>
          </cell>
          <cell r="U4">
            <v>5.0000000000000001E-4</v>
          </cell>
          <cell r="X4">
            <v>2.1000000000000001E-2</v>
          </cell>
          <cell r="Y4">
            <v>5.4999999999999992E-4</v>
          </cell>
          <cell r="Z4">
            <v>1.2999999999999999E-3</v>
          </cell>
          <cell r="AA4">
            <v>2.2500000000000003E-3</v>
          </cell>
          <cell r="AB4">
            <v>5.4999999999999997E-3</v>
          </cell>
        </row>
        <row r="5">
          <cell r="Q5">
            <v>1.6250000000000001E-2</v>
          </cell>
          <cell r="R5">
            <v>-1.8500000000000001E-3</v>
          </cell>
          <cell r="S5">
            <v>-3.5999999999999999E-3</v>
          </cell>
          <cell r="T5">
            <v>2.5000000000000001E-4</v>
          </cell>
          <cell r="U5">
            <v>1.3999999999999998E-3</v>
          </cell>
          <cell r="X5">
            <v>1.9750000000000004E-2</v>
          </cell>
          <cell r="Y5">
            <v>2.499999999999999E-4</v>
          </cell>
          <cell r="Z5">
            <v>5.9999999999999984E-4</v>
          </cell>
          <cell r="AA5">
            <v>1.75E-3</v>
          </cell>
          <cell r="AB5">
            <v>4.3999999999999994E-3</v>
          </cell>
        </row>
        <row r="6">
          <cell r="Q6">
            <v>1.8749999999999996E-2</v>
          </cell>
          <cell r="R6">
            <v>-1.8E-3</v>
          </cell>
          <cell r="S6">
            <v>-3.15E-3</v>
          </cell>
          <cell r="T6">
            <v>4.4999999999999988E-4</v>
          </cell>
          <cell r="U6">
            <v>1.8999999999999998E-3</v>
          </cell>
          <cell r="X6">
            <v>2.2249999999999999E-2</v>
          </cell>
          <cell r="Y6">
            <v>1.9999999999999998E-4</v>
          </cell>
          <cell r="Z6">
            <v>1.4999999999999996E-4</v>
          </cell>
          <cell r="AA6">
            <v>1.9499999999999999E-3</v>
          </cell>
          <cell r="AB6">
            <v>4.8999999999999998E-3</v>
          </cell>
        </row>
        <row r="7">
          <cell r="Q7">
            <v>2.1249999999999998E-2</v>
          </cell>
          <cell r="R7">
            <v>-1.9E-3</v>
          </cell>
          <cell r="S7">
            <v>-3.15E-3</v>
          </cell>
          <cell r="T7">
            <v>5.4999999999999992E-4</v>
          </cell>
          <cell r="U7">
            <v>2.3999999999999998E-3</v>
          </cell>
          <cell r="X7">
            <v>2.4750000000000001E-2</v>
          </cell>
          <cell r="Y7">
            <v>1.0000000000000005E-4</v>
          </cell>
          <cell r="Z7">
            <v>-2.5000000000000001E-4</v>
          </cell>
          <cell r="AA7">
            <v>2.0499999999999997E-3</v>
          </cell>
          <cell r="AB7">
            <v>5.4000000000000003E-3</v>
          </cell>
        </row>
        <row r="8">
          <cell r="Q8">
            <v>2.5250000000000002E-2</v>
          </cell>
          <cell r="R8">
            <v>-2.5000000000000001E-3</v>
          </cell>
          <cell r="S8">
            <v>-3.8999999999999998E-3</v>
          </cell>
          <cell r="T8">
            <v>9.4999999999999989E-4</v>
          </cell>
          <cell r="U8">
            <v>3.9000000000000003E-3</v>
          </cell>
          <cell r="X8">
            <v>2.8750000000000005E-2</v>
          </cell>
          <cell r="Y8">
            <v>-5.0000000000000001E-4</v>
          </cell>
          <cell r="Z8">
            <v>-1.5000000000000002E-3</v>
          </cell>
          <cell r="AA8">
            <v>2.4499999999999999E-3</v>
          </cell>
          <cell r="AB8">
            <v>6.8999999999999999E-3</v>
          </cell>
        </row>
        <row r="9">
          <cell r="Q9">
            <v>2.8249999999999997E-2</v>
          </cell>
          <cell r="R9">
            <v>-2.8999999999999998E-3</v>
          </cell>
          <cell r="S9">
            <v>-4.45E-3</v>
          </cell>
          <cell r="T9">
            <v>1.25E-3</v>
          </cell>
          <cell r="U9">
            <v>5.1000000000000004E-3</v>
          </cell>
          <cell r="X9">
            <v>3.175E-2</v>
          </cell>
          <cell r="Y9">
            <v>-8.9999999999999998E-4</v>
          </cell>
          <cell r="Z9">
            <v>-2.3499999999999997E-3</v>
          </cell>
          <cell r="AA9">
            <v>2.7499999999999998E-3</v>
          </cell>
          <cell r="AB9">
            <v>8.0999999999999996E-3</v>
          </cell>
        </row>
        <row r="10">
          <cell r="Q10">
            <v>3.075E-2</v>
          </cell>
          <cell r="R10">
            <v>-3.0000000000000001E-3</v>
          </cell>
          <cell r="S10">
            <v>-4.5999999999999999E-3</v>
          </cell>
          <cell r="T10">
            <v>1.5499999999999999E-3</v>
          </cell>
          <cell r="U10">
            <v>6.6E-3</v>
          </cell>
          <cell r="X10">
            <v>3.4250000000000003E-2</v>
          </cell>
          <cell r="Y10">
            <v>-1E-3</v>
          </cell>
          <cell r="Z10">
            <v>-2.5999999999999999E-3</v>
          </cell>
          <cell r="AA10">
            <v>3.0499999999999998E-3</v>
          </cell>
          <cell r="AB10">
            <v>9.5999999999999992E-3</v>
          </cell>
        </row>
        <row r="11">
          <cell r="Q11">
            <v>3.5499999999999997E-2</v>
          </cell>
          <cell r="R11">
            <v>-1.5E-3</v>
          </cell>
          <cell r="S11">
            <v>-2.5000000000000001E-3</v>
          </cell>
          <cell r="T11">
            <v>1.75E-3</v>
          </cell>
          <cell r="U11">
            <v>7.4999999999999997E-3</v>
          </cell>
          <cell r="X11">
            <v>3.85E-2</v>
          </cell>
          <cell r="Y11">
            <v>5.0000000000000001E-4</v>
          </cell>
          <cell r="Z11">
            <v>5.0000000000000001E-4</v>
          </cell>
          <cell r="AA11">
            <v>3.2500000000000003E-3</v>
          </cell>
          <cell r="AB11">
            <v>1.0499999999999999E-2</v>
          </cell>
        </row>
        <row r="12">
          <cell r="Q12">
            <v>3.95E-2</v>
          </cell>
          <cell r="R12">
            <v>-2.0999999999999999E-3</v>
          </cell>
          <cell r="S12">
            <v>-4.1000000000000003E-3</v>
          </cell>
          <cell r="T12">
            <v>1.15E-3</v>
          </cell>
          <cell r="U12">
            <v>7.6500000000000005E-3</v>
          </cell>
          <cell r="X12">
            <v>4.3500000000000004E-2</v>
          </cell>
          <cell r="Y12">
            <v>9.0000000000000008E-4</v>
          </cell>
          <cell r="Z12">
            <v>1.9E-3</v>
          </cell>
          <cell r="AA12">
            <v>4.6499999999999996E-3</v>
          </cell>
          <cell r="AB12">
            <v>1.2150000000000001E-2</v>
          </cell>
        </row>
        <row r="16">
          <cell r="Q16">
            <v>2.4999999999999996E-3</v>
          </cell>
          <cell r="R16">
            <v>-4.8999999999999998E-3</v>
          </cell>
          <cell r="S16">
            <v>-9.0000000000000011E-3</v>
          </cell>
          <cell r="T16">
            <v>-1.4000000000000002E-3</v>
          </cell>
          <cell r="U16">
            <v>-1.6000000000000003E-3</v>
          </cell>
          <cell r="X16">
            <v>1.2500000000000001E-2</v>
          </cell>
          <cell r="Y16">
            <v>1.0000000000000026E-4</v>
          </cell>
          <cell r="Z16">
            <v>1E-3</v>
          </cell>
          <cell r="AA16">
            <v>2.5999999999999999E-3</v>
          </cell>
          <cell r="AB16">
            <v>6.3999999999999994E-3</v>
          </cell>
        </row>
        <row r="17">
          <cell r="Q17">
            <v>2.4999999999999996E-3</v>
          </cell>
          <cell r="R17">
            <v>-5.0000000000000001E-3</v>
          </cell>
          <cell r="S17">
            <v>-9.4999999999999998E-3</v>
          </cell>
          <cell r="T17">
            <v>-9.0000000000000008E-4</v>
          </cell>
          <cell r="U17">
            <v>-7.9999999999999993E-4</v>
          </cell>
          <cell r="X17">
            <v>1.2500000000000001E-2</v>
          </cell>
          <cell r="Y17">
            <v>-1E-3</v>
          </cell>
          <cell r="Z17">
            <v>-1.4999999999999996E-3</v>
          </cell>
          <cell r="AA17">
            <v>2.0999999999999999E-3</v>
          </cell>
          <cell r="AB17">
            <v>5.1999999999999998E-3</v>
          </cell>
        </row>
        <row r="18">
          <cell r="Q18">
            <v>2.4999999999999996E-3</v>
          </cell>
          <cell r="R18">
            <v>-4.8500000000000001E-3</v>
          </cell>
          <cell r="S18">
            <v>-9.6000000000000009E-3</v>
          </cell>
          <cell r="T18">
            <v>-6.5000000000000008E-4</v>
          </cell>
          <cell r="U18">
            <v>0</v>
          </cell>
          <cell r="X18">
            <v>1.2500000000000001E-2</v>
          </cell>
          <cell r="Y18">
            <v>-1.3500000000000001E-3</v>
          </cell>
          <cell r="Z18">
            <v>-2.6000000000000007E-3</v>
          </cell>
          <cell r="AA18">
            <v>1.8500000000000001E-3</v>
          </cell>
          <cell r="AB18">
            <v>5.0000000000000001E-3</v>
          </cell>
        </row>
        <row r="19">
          <cell r="Q19">
            <v>4.9999999999999992E-3</v>
          </cell>
          <cell r="R19">
            <v>-5.0000000000000001E-3</v>
          </cell>
          <cell r="S19">
            <v>-1.06E-2</v>
          </cell>
          <cell r="T19">
            <v>-3.0000000000000003E-4</v>
          </cell>
          <cell r="U19">
            <v>7.000000000000001E-4</v>
          </cell>
          <cell r="X19">
            <v>0.01</v>
          </cell>
          <cell r="Y19">
            <v>-2E-3</v>
          </cell>
          <cell r="Z19">
            <v>-4.5999999999999999E-3</v>
          </cell>
          <cell r="AA19">
            <v>1.7000000000000001E-3</v>
          </cell>
          <cell r="AB19">
            <v>4.7000000000000002E-3</v>
          </cell>
        </row>
        <row r="20">
          <cell r="Q20">
            <v>5.4999999999999997E-3</v>
          </cell>
          <cell r="R20">
            <v>-5.0000000000000001E-3</v>
          </cell>
          <cell r="S20">
            <v>-1.06E-2</v>
          </cell>
          <cell r="T20">
            <v>-1.0000000000000005E-4</v>
          </cell>
          <cell r="U20">
            <v>1.3999999999999998E-3</v>
          </cell>
          <cell r="X20">
            <v>9.4999999999999998E-3</v>
          </cell>
          <cell r="Y20">
            <v>-2E-3</v>
          </cell>
          <cell r="Z20">
            <v>-4.5999999999999999E-3</v>
          </cell>
          <cell r="AA20">
            <v>1.9E-3</v>
          </cell>
          <cell r="AB20">
            <v>5.4000000000000003E-3</v>
          </cell>
        </row>
        <row r="21">
          <cell r="Q21">
            <v>5.4999999999999997E-3</v>
          </cell>
          <cell r="R21">
            <v>-5.1999999999999998E-3</v>
          </cell>
          <cell r="S21">
            <v>-1.1300000000000001E-2</v>
          </cell>
          <cell r="T21">
            <v>1.9999999999999987E-4</v>
          </cell>
          <cell r="U21">
            <v>2.4999999999999996E-3</v>
          </cell>
          <cell r="X21">
            <v>9.4999999999999998E-3</v>
          </cell>
          <cell r="Y21">
            <v>-2.2000000000000001E-3</v>
          </cell>
          <cell r="Z21">
            <v>-5.3E-3</v>
          </cell>
          <cell r="AA21">
            <v>2.1999999999999997E-3</v>
          </cell>
          <cell r="AB21">
            <v>6.4999999999999997E-3</v>
          </cell>
        </row>
        <row r="22">
          <cell r="Q22">
            <v>5.4999999999999997E-3</v>
          </cell>
          <cell r="R22">
            <v>-5.0000000000000001E-3</v>
          </cell>
          <cell r="S22">
            <v>-1.0999999999999999E-2</v>
          </cell>
          <cell r="T22">
            <v>1.2000000000000001E-3</v>
          </cell>
          <cell r="U22">
            <v>5.7999999999999996E-3</v>
          </cell>
          <cell r="X22">
            <v>9.4999999999999998E-3</v>
          </cell>
          <cell r="Y22">
            <v>-2E-3</v>
          </cell>
          <cell r="Z22">
            <v>-5.0000000000000001E-3</v>
          </cell>
          <cell r="AA22">
            <v>3.2000000000000002E-3</v>
          </cell>
          <cell r="AB22">
            <v>9.7999999999999997E-3</v>
          </cell>
        </row>
        <row r="23">
          <cell r="Q23">
            <v>5.4999999999999997E-3</v>
          </cell>
          <cell r="R23">
            <v>-6.0000000000000001E-3</v>
          </cell>
          <cell r="S23">
            <v>-1.3299999999999999E-2</v>
          </cell>
          <cell r="T23">
            <v>1.5999999999999999E-3</v>
          </cell>
          <cell r="U23">
            <v>7.7000000000000002E-3</v>
          </cell>
          <cell r="X23">
            <v>9.4999999999999998E-3</v>
          </cell>
          <cell r="Y23">
            <v>-2.9999999999999996E-3</v>
          </cell>
          <cell r="Z23">
            <v>-7.3000000000000001E-3</v>
          </cell>
          <cell r="AA23">
            <v>3.5999999999999999E-3</v>
          </cell>
          <cell r="AB23">
            <v>1.17E-2</v>
          </cell>
        </row>
        <row r="24">
          <cell r="Q24">
            <v>5.4999999999999997E-3</v>
          </cell>
          <cell r="R24">
            <v>-6.9999999999999993E-3</v>
          </cell>
          <cell r="S24">
            <v>-1.5599999999999999E-2</v>
          </cell>
          <cell r="T24">
            <v>2.0999999999999999E-3</v>
          </cell>
          <cell r="U24">
            <v>9.5999999999999992E-3</v>
          </cell>
          <cell r="X24">
            <v>9.4999999999999998E-3</v>
          </cell>
          <cell r="Y24">
            <v>-4.0000000000000001E-3</v>
          </cell>
          <cell r="Z24">
            <v>-9.6000000000000009E-3</v>
          </cell>
          <cell r="AA24">
            <v>4.0999999999999995E-3</v>
          </cell>
          <cell r="AB24">
            <v>1.3599999999999999E-2</v>
          </cell>
        </row>
        <row r="25">
          <cell r="Q25">
            <v>8.0000000000000002E-3</v>
          </cell>
          <cell r="R25">
            <v>-1.46E-2</v>
          </cell>
          <cell r="S25">
            <v>-3.2600000000000004E-2</v>
          </cell>
          <cell r="T25">
            <v>1.5499999999999997E-3</v>
          </cell>
          <cell r="U25">
            <v>1.1099999999999999E-2</v>
          </cell>
          <cell r="X25">
            <v>1.2E-2</v>
          </cell>
          <cell r="Y25">
            <v>-7.6000000000000009E-3</v>
          </cell>
          <cell r="Z25">
            <v>-1.8600000000000002E-2</v>
          </cell>
          <cell r="AA25">
            <v>6.0499999999999998E-3</v>
          </cell>
          <cell r="AB25">
            <v>2.01E-2</v>
          </cell>
        </row>
        <row r="26">
          <cell r="Q26">
            <v>1.4500000000000001E-2</v>
          </cell>
          <cell r="R26">
            <v>-1.9900000000000001E-2</v>
          </cell>
          <cell r="S26">
            <v>-4.3899999999999995E-2</v>
          </cell>
          <cell r="T26">
            <v>1.0000000000000026E-4</v>
          </cell>
          <cell r="U26">
            <v>9.0000000000000011E-3</v>
          </cell>
          <cell r="X26">
            <v>1.8500000000000003E-2</v>
          </cell>
          <cell r="Y26">
            <v>-7.899999999999999E-3</v>
          </cell>
          <cell r="Z26">
            <v>-1.9899999999999998E-2</v>
          </cell>
          <cell r="AA26">
            <v>8.0999999999999996E-3</v>
          </cell>
          <cell r="AB26">
            <v>2.5000000000000001E-2</v>
          </cell>
        </row>
        <row r="30">
          <cell r="Q30">
            <v>5.7499999999999999E-3</v>
          </cell>
          <cell r="R30">
            <v>-3.8E-3</v>
          </cell>
          <cell r="S30">
            <v>-7.3000000000000001E-3</v>
          </cell>
          <cell r="T30">
            <v>-1.1000000000000001E-3</v>
          </cell>
          <cell r="U30">
            <v>-7.9999999999999993E-4</v>
          </cell>
          <cell r="X30">
            <v>2.5750000000000002E-2</v>
          </cell>
          <cell r="Y30">
            <v>1.2000000000000001E-3</v>
          </cell>
          <cell r="Z30">
            <v>2.7000000000000001E-3</v>
          </cell>
          <cell r="AA30">
            <v>2.8999999999999998E-3</v>
          </cell>
          <cell r="AB30">
            <v>7.1999999999999998E-3</v>
          </cell>
        </row>
        <row r="31">
          <cell r="Q31">
            <v>9.305227865013966E-3</v>
          </cell>
          <cell r="R31">
            <v>-3.4000000000000002E-3</v>
          </cell>
          <cell r="S31">
            <v>-6.6E-3</v>
          </cell>
          <cell r="T31">
            <v>-6.0000000000000006E-4</v>
          </cell>
          <cell r="U31">
            <v>0</v>
          </cell>
          <cell r="X31">
            <v>2.1305227865013966E-2</v>
          </cell>
          <cell r="Y31">
            <v>6.0000000000000006E-4</v>
          </cell>
          <cell r="Z31">
            <v>1.4000000000000002E-3</v>
          </cell>
          <cell r="AA31">
            <v>2.4000000000000002E-3</v>
          </cell>
          <cell r="AB31">
            <v>6.0000000000000001E-3</v>
          </cell>
        </row>
        <row r="32">
          <cell r="Q32">
            <v>1.1648948915772429E-2</v>
          </cell>
          <cell r="R32">
            <v>-2.7499999999999998E-3</v>
          </cell>
          <cell r="S32">
            <v>-5.2999999999999992E-3</v>
          </cell>
          <cell r="T32">
            <v>-2.5000000000000001E-4</v>
          </cell>
          <cell r="U32">
            <v>5.0000000000000001E-4</v>
          </cell>
          <cell r="X32">
            <v>2.1648948915772431E-2</v>
          </cell>
          <cell r="Y32">
            <v>7.499999999999998E-4</v>
          </cell>
          <cell r="Z32">
            <v>1.6999999999999997E-3</v>
          </cell>
          <cell r="AA32">
            <v>2.2500000000000003E-3</v>
          </cell>
          <cell r="AB32">
            <v>5.4999999999999997E-3</v>
          </cell>
        </row>
        <row r="33">
          <cell r="Q33">
            <v>1.4102631376487072E-2</v>
          </cell>
          <cell r="R33">
            <v>-2.3E-3</v>
          </cell>
          <cell r="S33">
            <v>-4.5000000000000005E-3</v>
          </cell>
          <cell r="T33">
            <v>0</v>
          </cell>
          <cell r="U33">
            <v>8.9999999999999976E-4</v>
          </cell>
          <cell r="X33">
            <v>2.010263137648707E-2</v>
          </cell>
          <cell r="Y33">
            <v>6.9999999999999999E-4</v>
          </cell>
          <cell r="Z33">
            <v>1.5E-3</v>
          </cell>
          <cell r="AA33">
            <v>2E-3</v>
          </cell>
          <cell r="AB33">
            <v>4.8999999999999998E-3</v>
          </cell>
        </row>
        <row r="34">
          <cell r="Q34">
            <v>1.6405218370325027E-2</v>
          </cell>
          <cell r="R34">
            <v>-2.3E-3</v>
          </cell>
          <cell r="S34">
            <v>-4.5000000000000005E-3</v>
          </cell>
          <cell r="T34">
            <v>1.9999999999999987E-4</v>
          </cell>
          <cell r="U34">
            <v>1.3999999999999998E-3</v>
          </cell>
          <cell r="X34">
            <v>2.2405218370325025E-2</v>
          </cell>
          <cell r="Y34">
            <v>6.9999999999999999E-4</v>
          </cell>
          <cell r="Z34">
            <v>1.5E-3</v>
          </cell>
          <cell r="AA34">
            <v>2.1999999999999997E-3</v>
          </cell>
          <cell r="AB34">
            <v>5.4000000000000003E-3</v>
          </cell>
        </row>
        <row r="35">
          <cell r="Q35">
            <v>1.894880406764797E-2</v>
          </cell>
          <cell r="R35">
            <v>-2.4000000000000002E-3</v>
          </cell>
          <cell r="S35">
            <v>-4.7000000000000002E-3</v>
          </cell>
          <cell r="T35">
            <v>2.9999999999999992E-4</v>
          </cell>
          <cell r="U35">
            <v>1.8999999999999998E-3</v>
          </cell>
          <cell r="X35">
            <v>2.4948804067647969E-2</v>
          </cell>
          <cell r="Y35">
            <v>6.0000000000000006E-4</v>
          </cell>
          <cell r="Z35">
            <v>1.3000000000000002E-3</v>
          </cell>
          <cell r="AA35">
            <v>2.3E-3</v>
          </cell>
          <cell r="AB35">
            <v>5.8999999999999999E-3</v>
          </cell>
        </row>
        <row r="36">
          <cell r="Q36">
            <v>2.3537709019431204E-2</v>
          </cell>
          <cell r="R36">
            <v>-3.0000000000000001E-3</v>
          </cell>
          <cell r="S36">
            <v>-5.7000000000000002E-3</v>
          </cell>
          <cell r="T36">
            <v>6.9999999999999988E-4</v>
          </cell>
          <cell r="U36">
            <v>3.4000000000000002E-3</v>
          </cell>
          <cell r="X36">
            <v>2.9537709019431202E-2</v>
          </cell>
          <cell r="Y36">
            <v>0</v>
          </cell>
          <cell r="Z36">
            <v>2.9999999999999992E-4</v>
          </cell>
          <cell r="AA36">
            <v>2.7000000000000001E-3</v>
          </cell>
          <cell r="AB36">
            <v>7.4000000000000003E-3</v>
          </cell>
        </row>
        <row r="37">
          <cell r="Q37">
            <v>2.6432125305522875E-2</v>
          </cell>
          <cell r="R37">
            <v>-3.4000000000000002E-3</v>
          </cell>
          <cell r="S37">
            <v>-6.3999999999999994E-3</v>
          </cell>
          <cell r="T37">
            <v>1E-3</v>
          </cell>
          <cell r="U37">
            <v>4.5999999999999999E-3</v>
          </cell>
          <cell r="X37">
            <v>3.2432125305522877E-2</v>
          </cell>
          <cell r="Y37">
            <v>-3.9999999999999996E-4</v>
          </cell>
          <cell r="Z37">
            <v>-3.9999999999999975E-4</v>
          </cell>
          <cell r="AA37">
            <v>3.0000000000000001E-3</v>
          </cell>
          <cell r="AB37">
            <v>8.6E-3</v>
          </cell>
        </row>
        <row r="38">
          <cell r="Q38">
            <v>2.8859064644147985E-2</v>
          </cell>
          <cell r="R38">
            <v>-3.5000000000000001E-3</v>
          </cell>
          <cell r="S38">
            <v>-6.6E-3</v>
          </cell>
          <cell r="T38">
            <v>1.2999999999999999E-3</v>
          </cell>
          <cell r="U38">
            <v>6.0999999999999995E-3</v>
          </cell>
          <cell r="X38">
            <v>3.4859064644147987E-2</v>
          </cell>
          <cell r="Y38">
            <v>-5.0000000000000001E-4</v>
          </cell>
          <cell r="Z38">
            <v>-5.9999999999999984E-4</v>
          </cell>
          <cell r="AA38">
            <v>3.3E-3</v>
          </cell>
          <cell r="AB38">
            <v>1.01E-2</v>
          </cell>
        </row>
        <row r="39">
          <cell r="Q39">
            <v>3.3345563690772503E-2</v>
          </cell>
          <cell r="R39">
            <v>-4.0000000000000001E-3</v>
          </cell>
          <cell r="S39">
            <v>-8.0000000000000002E-3</v>
          </cell>
          <cell r="T39">
            <v>2.4999999999999979E-4</v>
          </cell>
          <cell r="U39">
            <v>4.4999999999999988E-3</v>
          </cell>
          <cell r="X39">
            <v>3.9345563690772509E-2</v>
          </cell>
          <cell r="Y39">
            <v>2.9999999999999996E-3</v>
          </cell>
          <cell r="Z39">
            <v>5.9999999999999993E-3</v>
          </cell>
          <cell r="AA39">
            <v>4.7500000000000007E-3</v>
          </cell>
          <cell r="AB39">
            <v>1.35E-2</v>
          </cell>
        </row>
        <row r="40">
          <cell r="Q40">
            <v>3.8480115718257102E-2</v>
          </cell>
          <cell r="R40">
            <v>-6.6E-3</v>
          </cell>
          <cell r="S40">
            <v>-1.3100000000000001E-2</v>
          </cell>
          <cell r="T40">
            <v>-1.1000000000000003E-3</v>
          </cell>
          <cell r="U40">
            <v>1.9000000000000006E-3</v>
          </cell>
          <cell r="X40">
            <v>4.4480115718257107E-2</v>
          </cell>
          <cell r="Y40">
            <v>5.4000000000000003E-3</v>
          </cell>
          <cell r="Z40">
            <v>1.09E-2</v>
          </cell>
          <cell r="AA40">
            <v>6.8999999999999999E-3</v>
          </cell>
          <cell r="AB40">
            <v>1.7899999999999999E-2</v>
          </cell>
        </row>
        <row r="44">
          <cell r="Q44">
            <v>0.21000000000000002</v>
          </cell>
          <cell r="R44">
            <v>-5.4999999999999979E-3</v>
          </cell>
          <cell r="S44">
            <v>-1.5199999999999997E-2</v>
          </cell>
          <cell r="T44">
            <v>-6.0000000000000001E-3</v>
          </cell>
          <cell r="U44">
            <v>-6.0000000000000001E-3</v>
          </cell>
          <cell r="X44">
            <v>0.3</v>
          </cell>
          <cell r="Y44">
            <v>2.2499999999999999E-2</v>
          </cell>
          <cell r="Z44">
            <v>4.0799999999999996E-2</v>
          </cell>
          <cell r="AA44">
            <v>1.4E-2</v>
          </cell>
          <cell r="AB44">
            <v>3.4000000000000002E-2</v>
          </cell>
        </row>
        <row r="45">
          <cell r="Q45">
            <v>0.21</v>
          </cell>
          <cell r="R45">
            <v>2.5000000000000005E-3</v>
          </cell>
          <cell r="S45">
            <v>1.1999999999999997E-3</v>
          </cell>
          <cell r="T45">
            <v>4.9999999999999958E-4</v>
          </cell>
          <cell r="U45">
            <v>7.8000000000000014E-3</v>
          </cell>
          <cell r="X45">
            <v>0.27</v>
          </cell>
          <cell r="Y45">
            <v>1.4500000000000001E-2</v>
          </cell>
          <cell r="Z45">
            <v>2.52E-2</v>
          </cell>
          <cell r="AA45">
            <v>8.5000000000000006E-3</v>
          </cell>
          <cell r="AB45">
            <v>2.3800000000000002E-2</v>
          </cell>
        </row>
        <row r="46">
          <cell r="Q46">
            <v>0.22</v>
          </cell>
          <cell r="R46">
            <v>5.000000000000001E-3</v>
          </cell>
          <cell r="S46">
            <v>6.8000000000000005E-3</v>
          </cell>
          <cell r="T46">
            <v>2.2499999999999998E-3</v>
          </cell>
          <cell r="U46">
            <v>1.2E-2</v>
          </cell>
          <cell r="X46">
            <v>0.26</v>
          </cell>
          <cell r="Y46">
            <v>1.2E-2</v>
          </cell>
          <cell r="Z46">
            <v>2.0799999999999999E-2</v>
          </cell>
          <cell r="AA46">
            <v>7.7499999999999999E-3</v>
          </cell>
          <cell r="AB46">
            <v>2.3000000000000003E-2</v>
          </cell>
        </row>
        <row r="47">
          <cell r="Q47">
            <v>0.22799999999999998</v>
          </cell>
          <cell r="R47">
            <v>8.0000000000000002E-3</v>
          </cell>
          <cell r="S47">
            <v>1.3299999999999999E-2</v>
          </cell>
          <cell r="T47">
            <v>4.6750000000000003E-3</v>
          </cell>
          <cell r="U47">
            <v>1.7049999999999999E-2</v>
          </cell>
          <cell r="X47">
            <v>0.253</v>
          </cell>
          <cell r="Y47">
            <v>1.2E-2</v>
          </cell>
          <cell r="Z47">
            <v>2.1299999999999999E-2</v>
          </cell>
          <cell r="AA47">
            <v>7.9249999999999998E-3</v>
          </cell>
          <cell r="AB47">
            <v>2.3549999999999998E-2</v>
          </cell>
        </row>
        <row r="48">
          <cell r="Q48">
            <v>0.22424999999999998</v>
          </cell>
          <cell r="R48">
            <v>1.2500000000000001E-2</v>
          </cell>
          <cell r="S48">
            <v>2.1399999999999999E-2</v>
          </cell>
          <cell r="T48">
            <v>4.8749999999999991E-3</v>
          </cell>
          <cell r="U48">
            <v>1.7850000000000001E-2</v>
          </cell>
          <cell r="X48">
            <v>0.24575</v>
          </cell>
          <cell r="Y48">
            <v>1.6500000000000001E-2</v>
          </cell>
          <cell r="Z48">
            <v>2.9399999999999999E-2</v>
          </cell>
          <cell r="AA48">
            <v>8.1250000000000003E-3</v>
          </cell>
          <cell r="AB48">
            <v>2.435E-2</v>
          </cell>
        </row>
        <row r="49">
          <cell r="Q49">
            <v>0.221</v>
          </cell>
          <cell r="R49">
            <v>1.4E-2</v>
          </cell>
          <cell r="S49">
            <v>2.4400000000000002E-2</v>
          </cell>
          <cell r="T49">
            <v>5.6749999999999995E-3</v>
          </cell>
          <cell r="U49">
            <v>2.035E-2</v>
          </cell>
          <cell r="X49">
            <v>0.24100000000000002</v>
          </cell>
          <cell r="Y49">
            <v>1.8000000000000002E-2</v>
          </cell>
          <cell r="Z49">
            <v>3.2399999999999998E-2</v>
          </cell>
          <cell r="AA49">
            <v>8.9250000000000006E-3</v>
          </cell>
          <cell r="AB49">
            <v>2.6849999999999999E-2</v>
          </cell>
        </row>
        <row r="50">
          <cell r="Q50">
            <v>0.221</v>
          </cell>
          <cell r="R50">
            <v>1.5000000000000001E-2</v>
          </cell>
          <cell r="S50">
            <v>2.7E-2</v>
          </cell>
          <cell r="T50">
            <v>5.875E-3</v>
          </cell>
          <cell r="U50">
            <v>1.9650000000000001E-2</v>
          </cell>
          <cell r="X50">
            <v>0.24000000000000002</v>
          </cell>
          <cell r="Y50">
            <v>1.9000000000000003E-2</v>
          </cell>
          <cell r="Z50">
            <v>3.5000000000000003E-2</v>
          </cell>
          <cell r="AA50">
            <v>9.1249999999999994E-3</v>
          </cell>
          <cell r="AB50">
            <v>2.615E-2</v>
          </cell>
        </row>
        <row r="51">
          <cell r="Q51">
            <v>0.2195</v>
          </cell>
          <cell r="R51">
            <v>1.35E-2</v>
          </cell>
          <cell r="S51">
            <v>2.4299999999999999E-2</v>
          </cell>
          <cell r="T51">
            <v>6.3750000000000005E-3</v>
          </cell>
          <cell r="U51">
            <v>2.1150000000000002E-2</v>
          </cell>
          <cell r="X51">
            <v>0.23750000000000002</v>
          </cell>
          <cell r="Y51">
            <v>1.7500000000000002E-2</v>
          </cell>
          <cell r="Z51">
            <v>3.2299999999999995E-2</v>
          </cell>
          <cell r="AA51">
            <v>9.6249999999999999E-3</v>
          </cell>
          <cell r="AB51">
            <v>2.7650000000000001E-2</v>
          </cell>
        </row>
        <row r="52">
          <cell r="Q52">
            <v>0.21975</v>
          </cell>
          <cell r="R52">
            <v>1.23E-2</v>
          </cell>
          <cell r="S52">
            <v>2.3099999999999999E-2</v>
          </cell>
          <cell r="T52">
            <v>6.8750000000000009E-3</v>
          </cell>
          <cell r="U52">
            <v>2.265E-2</v>
          </cell>
          <cell r="X52">
            <v>0.23625000000000002</v>
          </cell>
          <cell r="Y52">
            <v>1.6300000000000002E-2</v>
          </cell>
          <cell r="Z52">
            <v>3.1099999999999999E-2</v>
          </cell>
          <cell r="AA52">
            <v>1.0125E-2</v>
          </cell>
          <cell r="AB52">
            <v>2.9149999999999999E-2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BCFO%20Vols%20spread.xlsx" TargetMode="External"/><Relationship Id="rId2" Type="http://schemas.openxmlformats.org/officeDocument/2006/relationships/hyperlink" Target="..\..\Murex_File_Upload\Vol\vol%20data%20file%20for%20Uploading%20to%20Murex%20v1.1.xls" TargetMode="External"/><Relationship Id="rId1" Type="http://schemas.openxmlformats.org/officeDocument/2006/relationships/hyperlink" Target="BCFO%20Vols%20bbg%20input_EM%20PM.xlsx" TargetMode="External"/><Relationship Id="rId5" Type="http://schemas.openxmlformats.org/officeDocument/2006/relationships/hyperlink" Target="BCFO%20Vols%20spread%20DB.xlsx" TargetMode="External"/><Relationship Id="rId4" Type="http://schemas.openxmlformats.org/officeDocument/2006/relationships/hyperlink" Target="..\..\New%20Daily%20Quote\PB%20G7%20and%20crosses%20inpu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3"/>
  <dimension ref="A1:AF238"/>
  <sheetViews>
    <sheetView topLeftCell="A97" zoomScaleNormal="100" workbookViewId="0">
      <selection activeCell="C3" sqref="C3"/>
    </sheetView>
  </sheetViews>
  <sheetFormatPr defaultRowHeight="15.75" x14ac:dyDescent="0.25"/>
  <cols>
    <col min="1" max="1" width="9.5703125" bestFit="1" customWidth="1"/>
    <col min="2" max="2" width="5" bestFit="1" customWidth="1"/>
    <col min="3" max="3" width="9" style="27" bestFit="1" customWidth="1"/>
    <col min="4" max="5" width="8.5703125" style="27" bestFit="1" customWidth="1"/>
    <col min="6" max="7" width="8" style="27" bestFit="1" customWidth="1"/>
    <col min="8" max="8" width="8" customWidth="1"/>
    <col min="9" max="9" width="8.42578125" bestFit="1" customWidth="1"/>
    <col min="10" max="10" width="6.85546875" bestFit="1" customWidth="1"/>
    <col min="11" max="12" width="8.42578125" bestFit="1" customWidth="1"/>
    <col min="13" max="15" width="8" customWidth="1"/>
    <col min="16" max="16" width="4.5703125" style="19" bestFit="1" customWidth="1"/>
    <col min="17" max="17" width="8" style="19" customWidth="1"/>
    <col min="18" max="19" width="8.42578125" style="19" bestFit="1" customWidth="1"/>
    <col min="20" max="22" width="8" style="19" customWidth="1"/>
    <col min="23" max="23" width="7.5703125" style="19" bestFit="1" customWidth="1"/>
    <col min="24" max="24" width="8" style="19" customWidth="1"/>
    <col min="25" max="26" width="8.42578125" style="19" bestFit="1" customWidth="1"/>
    <col min="27" max="28" width="8" style="19" customWidth="1"/>
    <col min="30" max="30" width="7.42578125" customWidth="1"/>
    <col min="31" max="32" width="7.42578125" bestFit="1" customWidth="1"/>
    <col min="33" max="33" width="7.42578125" customWidth="1"/>
    <col min="34" max="34" width="7.42578125" bestFit="1" customWidth="1"/>
    <col min="36" max="36" width="7.42578125" bestFit="1" customWidth="1"/>
    <col min="37" max="37" width="8.42578125" bestFit="1" customWidth="1"/>
    <col min="38" max="38" width="7.42578125" bestFit="1" customWidth="1"/>
    <col min="39" max="39" width="7.42578125" customWidth="1"/>
    <col min="40" max="40" width="8.42578125" bestFit="1" customWidth="1"/>
  </cols>
  <sheetData>
    <row r="1" spans="1:28" x14ac:dyDescent="0.25">
      <c r="A1" s="7" t="s">
        <v>70</v>
      </c>
      <c r="B1" s="7" t="s">
        <v>327</v>
      </c>
      <c r="C1" s="24" t="s">
        <v>311</v>
      </c>
      <c r="D1" s="24" t="s">
        <v>312</v>
      </c>
      <c r="E1" s="24" t="s">
        <v>313</v>
      </c>
      <c r="F1" s="24" t="s">
        <v>314</v>
      </c>
      <c r="G1" s="24" t="s">
        <v>315</v>
      </c>
      <c r="H1" s="8"/>
      <c r="I1" s="7" t="s">
        <v>328</v>
      </c>
      <c r="J1" s="7" t="s">
        <v>319</v>
      </c>
      <c r="K1" s="7" t="s">
        <v>320</v>
      </c>
      <c r="L1" s="7" t="s">
        <v>321</v>
      </c>
      <c r="M1" s="7" t="s">
        <v>316</v>
      </c>
      <c r="N1" s="7" t="s">
        <v>317</v>
      </c>
      <c r="O1" s="16"/>
      <c r="P1" s="7" t="s">
        <v>69</v>
      </c>
      <c r="Q1" s="7" t="s">
        <v>319</v>
      </c>
      <c r="R1" s="7" t="s">
        <v>320</v>
      </c>
      <c r="S1" s="7" t="s">
        <v>321</v>
      </c>
      <c r="T1" s="7" t="s">
        <v>316</v>
      </c>
      <c r="U1" s="7" t="s">
        <v>317</v>
      </c>
      <c r="V1" s="22"/>
      <c r="W1" s="7" t="s">
        <v>318</v>
      </c>
      <c r="X1" s="7" t="s">
        <v>322</v>
      </c>
      <c r="Y1" s="7" t="s">
        <v>323</v>
      </c>
      <c r="Z1" s="7" t="s">
        <v>324</v>
      </c>
      <c r="AA1" s="7" t="s">
        <v>325</v>
      </c>
      <c r="AB1" s="7" t="s">
        <v>326</v>
      </c>
    </row>
    <row r="2" spans="1:28" x14ac:dyDescent="0.25">
      <c r="A2" s="21" t="s">
        <v>71</v>
      </c>
      <c r="B2" s="21" t="s">
        <v>5</v>
      </c>
      <c r="C2" s="25">
        <f>[1]AUDUSD!$B15</f>
        <v>6.4399999999999999E-2</v>
      </c>
      <c r="D2" s="25">
        <f>[1]AUDUSD!$F15</f>
        <v>-3.3E-3</v>
      </c>
      <c r="E2" s="25">
        <f>[1]AUDUSD!$E15</f>
        <v>-6.4000000000000003E-3</v>
      </c>
      <c r="F2" s="25">
        <f>[1]AUDUSD!$D15</f>
        <v>1E-3</v>
      </c>
      <c r="G2" s="25">
        <f>[1]AUDUSD!$C15</f>
        <v>3.4000000000000002E-3</v>
      </c>
      <c r="H2" s="8"/>
      <c r="I2" s="21" t="s">
        <v>5</v>
      </c>
      <c r="J2" s="28">
        <f>[2]G7!$C2</f>
        <v>0.8</v>
      </c>
      <c r="K2" s="28">
        <v>1.2</v>
      </c>
      <c r="L2" s="28">
        <v>2.4</v>
      </c>
      <c r="M2" s="28">
        <v>1.2</v>
      </c>
      <c r="N2" s="28">
        <v>2.4</v>
      </c>
      <c r="O2" s="16"/>
      <c r="P2" s="21" t="s">
        <v>5</v>
      </c>
      <c r="Q2" s="20">
        <f>(C2-J2/200)-0.002</f>
        <v>5.8399999999999994E-2</v>
      </c>
      <c r="R2" s="20">
        <f>D2-K2/200</f>
        <v>-9.2999999999999992E-3</v>
      </c>
      <c r="S2" s="20">
        <f t="shared" ref="S2:S11" si="0">E2-L2/200</f>
        <v>-1.84E-2</v>
      </c>
      <c r="T2" s="20">
        <f t="shared" ref="T2:T11" si="1">F2-M2/200</f>
        <v>-5.0000000000000001E-3</v>
      </c>
      <c r="U2" s="20">
        <f t="shared" ref="U2:U11" si="2">G2-N2/200</f>
        <v>-8.6E-3</v>
      </c>
      <c r="V2" s="22"/>
      <c r="W2" s="21" t="s">
        <v>5</v>
      </c>
      <c r="X2" s="20">
        <f>(C2+J2/200)-0.002</f>
        <v>6.6400000000000001E-2</v>
      </c>
      <c r="Y2" s="20">
        <f t="shared" ref="Y2:Y11" si="3">D2+K2/200</f>
        <v>2.7000000000000001E-3</v>
      </c>
      <c r="Z2" s="20">
        <f t="shared" ref="Z2:Z11" si="4">E2+L2/200</f>
        <v>5.5999999999999999E-3</v>
      </c>
      <c r="AA2" s="20">
        <f t="shared" ref="AA2:AA11" si="5">F2+M2/200</f>
        <v>7.0000000000000001E-3</v>
      </c>
      <c r="AB2" s="20">
        <f t="shared" ref="AB2:AB11" si="6">G2+N2/200</f>
        <v>1.54E-2</v>
      </c>
    </row>
    <row r="3" spans="1:28" x14ac:dyDescent="0.25">
      <c r="A3" s="21" t="s">
        <v>71</v>
      </c>
      <c r="B3" s="21" t="s">
        <v>6</v>
      </c>
      <c r="C3" s="25">
        <f>[1]AUDUSD!$B16</f>
        <v>6.25E-2</v>
      </c>
      <c r="D3" s="25">
        <f>[1]AUDUSD!$F16</f>
        <v>-3.5999999999999999E-3</v>
      </c>
      <c r="E3" s="25">
        <f>[1]AUDUSD!$E16</f>
        <v>-8.1000000000000013E-3</v>
      </c>
      <c r="F3" s="25">
        <f>[1]AUDUSD!$D16</f>
        <v>1.1999999999999999E-3</v>
      </c>
      <c r="G3" s="25">
        <f>[1]AUDUSD!$C16</f>
        <v>4.3E-3</v>
      </c>
      <c r="H3" s="8"/>
      <c r="I3" s="21" t="s">
        <v>6</v>
      </c>
      <c r="J3" s="28">
        <f>[2]G7!$C3</f>
        <v>0.67999999999999994</v>
      </c>
      <c r="K3" s="28">
        <v>0.5</v>
      </c>
      <c r="L3" s="28">
        <v>1</v>
      </c>
      <c r="M3" s="28">
        <v>0.5</v>
      </c>
      <c r="N3" s="28">
        <v>1</v>
      </c>
      <c r="O3" s="16"/>
      <c r="P3" s="21" t="s">
        <v>6</v>
      </c>
      <c r="Q3" s="20">
        <f t="shared" ref="Q3:Q12" si="7">(C3-J3/200)-0.002</f>
        <v>5.7099999999999998E-2</v>
      </c>
      <c r="R3" s="20">
        <f t="shared" ref="R3:R11" si="8">D3-K3/200</f>
        <v>-6.0999999999999995E-3</v>
      </c>
      <c r="S3" s="20">
        <f t="shared" si="0"/>
        <v>-1.3100000000000001E-2</v>
      </c>
      <c r="T3" s="20">
        <f t="shared" si="1"/>
        <v>-1.3000000000000002E-3</v>
      </c>
      <c r="U3" s="20">
        <f t="shared" si="2"/>
        <v>-7.000000000000001E-4</v>
      </c>
      <c r="V3" s="22"/>
      <c r="W3" s="21" t="s">
        <v>6</v>
      </c>
      <c r="X3" s="20">
        <f t="shared" ref="X3:X12" si="9">(C3+J3/200)-0.002</f>
        <v>6.3899999999999998E-2</v>
      </c>
      <c r="Y3" s="20">
        <f t="shared" si="3"/>
        <v>-1.0999999999999998E-3</v>
      </c>
      <c r="Z3" s="20">
        <f t="shared" si="4"/>
        <v>-3.1000000000000012E-3</v>
      </c>
      <c r="AA3" s="20">
        <f t="shared" si="5"/>
        <v>3.7000000000000002E-3</v>
      </c>
      <c r="AB3" s="20">
        <f t="shared" si="6"/>
        <v>9.2999999999999992E-3</v>
      </c>
    </row>
    <row r="4" spans="1:28" x14ac:dyDescent="0.25">
      <c r="A4" s="21" t="s">
        <v>71</v>
      </c>
      <c r="B4" s="21" t="s">
        <v>7</v>
      </c>
      <c r="C4" s="25">
        <f>[1]AUDUSD!$B17</f>
        <v>6.6900000000000001E-2</v>
      </c>
      <c r="D4" s="25">
        <f>[1]AUDUSD!$F17</f>
        <v>-4.0999999999999995E-3</v>
      </c>
      <c r="E4" s="25">
        <f>[1]AUDUSD!$E17</f>
        <v>-9.0000000000000011E-3</v>
      </c>
      <c r="F4" s="25">
        <f>[1]AUDUSD!$D17</f>
        <v>1.2999999999999999E-3</v>
      </c>
      <c r="G4" s="25">
        <f>[1]AUDUSD!$C17</f>
        <v>4.6999999999999993E-3</v>
      </c>
      <c r="H4" s="8"/>
      <c r="I4" s="21" t="s">
        <v>7</v>
      </c>
      <c r="J4" s="28">
        <f>[2]G7!$C4</f>
        <v>0.53</v>
      </c>
      <c r="K4" s="28">
        <v>0.3</v>
      </c>
      <c r="L4" s="28">
        <v>0.6</v>
      </c>
      <c r="M4" s="28">
        <v>0.3</v>
      </c>
      <c r="N4" s="28">
        <v>0.6</v>
      </c>
      <c r="O4" s="16"/>
      <c r="P4" s="21" t="s">
        <v>7</v>
      </c>
      <c r="Q4" s="20">
        <f t="shared" si="7"/>
        <v>6.225E-2</v>
      </c>
      <c r="R4" s="20">
        <f t="shared" si="8"/>
        <v>-5.5999999999999991E-3</v>
      </c>
      <c r="S4" s="20">
        <f t="shared" si="0"/>
        <v>-1.2E-2</v>
      </c>
      <c r="T4" s="20">
        <f t="shared" si="1"/>
        <v>-2.0000000000000009E-4</v>
      </c>
      <c r="U4" s="20">
        <f t="shared" si="2"/>
        <v>1.6999999999999993E-3</v>
      </c>
      <c r="V4" s="22"/>
      <c r="W4" s="21" t="s">
        <v>7</v>
      </c>
      <c r="X4" s="20">
        <f t="shared" si="9"/>
        <v>6.7549999999999999E-2</v>
      </c>
      <c r="Y4" s="20">
        <f t="shared" si="3"/>
        <v>-2.5999999999999994E-3</v>
      </c>
      <c r="Z4" s="20">
        <f t="shared" si="4"/>
        <v>-6.000000000000001E-3</v>
      </c>
      <c r="AA4" s="20">
        <f t="shared" si="5"/>
        <v>2.8E-3</v>
      </c>
      <c r="AB4" s="20">
        <f t="shared" si="6"/>
        <v>7.6999999999999994E-3</v>
      </c>
    </row>
    <row r="5" spans="1:28" x14ac:dyDescent="0.25">
      <c r="A5" s="21" t="s">
        <v>71</v>
      </c>
      <c r="B5" s="21" t="s">
        <v>8</v>
      </c>
      <c r="C5" s="25">
        <f>[1]AUDUSD!$B18</f>
        <v>7.0000000000000007E-2</v>
      </c>
      <c r="D5" s="25">
        <f>[1]AUDUSD!$F18</f>
        <v>-4.8999999999999998E-3</v>
      </c>
      <c r="E5" s="25">
        <f>[1]AUDUSD!$E18</f>
        <v>-0.01</v>
      </c>
      <c r="F5" s="25">
        <f>[1]AUDUSD!$D18</f>
        <v>1.4000000000000002E-3</v>
      </c>
      <c r="G5" s="25">
        <f>[1]AUDUSD!$C18</f>
        <v>5.1000000000000004E-3</v>
      </c>
      <c r="H5" s="8"/>
      <c r="I5" s="21" t="s">
        <v>8</v>
      </c>
      <c r="J5" s="28">
        <f>[2]G7!$C5</f>
        <v>0.34</v>
      </c>
      <c r="K5" s="28">
        <v>0.2</v>
      </c>
      <c r="L5" s="28">
        <v>0.4</v>
      </c>
      <c r="M5" s="28">
        <v>0.2</v>
      </c>
      <c r="N5" s="28">
        <v>0.4</v>
      </c>
      <c r="O5" s="16"/>
      <c r="P5" s="21" t="s">
        <v>8</v>
      </c>
      <c r="Q5" s="20">
        <f t="shared" si="7"/>
        <v>6.6299999999999998E-2</v>
      </c>
      <c r="R5" s="20">
        <f t="shared" si="8"/>
        <v>-5.8999999999999999E-3</v>
      </c>
      <c r="S5" s="20">
        <f t="shared" si="0"/>
        <v>-1.2E-2</v>
      </c>
      <c r="T5" s="20">
        <f t="shared" si="1"/>
        <v>4.0000000000000018E-4</v>
      </c>
      <c r="U5" s="20">
        <f t="shared" si="2"/>
        <v>3.1000000000000003E-3</v>
      </c>
      <c r="V5" s="22"/>
      <c r="W5" s="21" t="s">
        <v>8</v>
      </c>
      <c r="X5" s="20">
        <f t="shared" si="9"/>
        <v>6.9700000000000012E-2</v>
      </c>
      <c r="Y5" s="20">
        <f t="shared" si="3"/>
        <v>-3.8999999999999998E-3</v>
      </c>
      <c r="Z5" s="20">
        <f t="shared" si="4"/>
        <v>-8.0000000000000002E-3</v>
      </c>
      <c r="AA5" s="20">
        <f t="shared" si="5"/>
        <v>2.4000000000000002E-3</v>
      </c>
      <c r="AB5" s="20">
        <f t="shared" si="6"/>
        <v>7.1000000000000004E-3</v>
      </c>
    </row>
    <row r="6" spans="1:28" x14ac:dyDescent="0.25">
      <c r="A6" s="21" t="s">
        <v>71</v>
      </c>
      <c r="B6" s="21" t="s">
        <v>9</v>
      </c>
      <c r="C6" s="25">
        <f>[1]AUDUSD!$B19</f>
        <v>7.2400000000000006E-2</v>
      </c>
      <c r="D6" s="25">
        <f>[1]AUDUSD!$F19</f>
        <v>-5.6000000000000008E-3</v>
      </c>
      <c r="E6" s="25">
        <f>[1]AUDUSD!$E19</f>
        <v>-1.1699999999999999E-2</v>
      </c>
      <c r="F6" s="25">
        <f>[1]AUDUSD!$D19</f>
        <v>1.7000000000000001E-3</v>
      </c>
      <c r="G6" s="25">
        <f>[1]AUDUSD!$C19</f>
        <v>6.0000000000000001E-3</v>
      </c>
      <c r="H6" s="8"/>
      <c r="I6" s="21" t="s">
        <v>9</v>
      </c>
      <c r="J6" s="28">
        <f>[2]G7!$C6</f>
        <v>0.34</v>
      </c>
      <c r="K6" s="28">
        <v>0.2</v>
      </c>
      <c r="L6" s="28">
        <v>0.4</v>
      </c>
      <c r="M6" s="28">
        <v>0.2</v>
      </c>
      <c r="N6" s="28">
        <v>0.4</v>
      </c>
      <c r="O6" s="16"/>
      <c r="P6" s="21" t="s">
        <v>9</v>
      </c>
      <c r="Q6" s="20">
        <f t="shared" si="7"/>
        <v>6.8700000000000011E-2</v>
      </c>
      <c r="R6" s="20">
        <f t="shared" si="8"/>
        <v>-6.6000000000000008E-3</v>
      </c>
      <c r="S6" s="20">
        <f t="shared" si="0"/>
        <v>-1.3699999999999999E-2</v>
      </c>
      <c r="T6" s="20">
        <f t="shared" si="1"/>
        <v>7.000000000000001E-4</v>
      </c>
      <c r="U6" s="20">
        <f t="shared" si="2"/>
        <v>4.0000000000000001E-3</v>
      </c>
      <c r="V6" s="22"/>
      <c r="W6" s="21" t="s">
        <v>9</v>
      </c>
      <c r="X6" s="20">
        <f t="shared" si="9"/>
        <v>7.2099999999999997E-2</v>
      </c>
      <c r="Y6" s="20">
        <f t="shared" si="3"/>
        <v>-4.6000000000000008E-3</v>
      </c>
      <c r="Z6" s="20">
        <f t="shared" si="4"/>
        <v>-9.6999999999999986E-3</v>
      </c>
      <c r="AA6" s="20">
        <f t="shared" si="5"/>
        <v>2.7000000000000001E-3</v>
      </c>
      <c r="AB6" s="20">
        <f t="shared" si="6"/>
        <v>8.0000000000000002E-3</v>
      </c>
    </row>
    <row r="7" spans="1:28" x14ac:dyDescent="0.25">
      <c r="A7" s="21" t="s">
        <v>71</v>
      </c>
      <c r="B7" s="21" t="s">
        <v>10</v>
      </c>
      <c r="C7" s="25">
        <f>[1]AUDUSD!$B20</f>
        <v>7.400000000000001E-2</v>
      </c>
      <c r="D7" s="25">
        <f>[1]AUDUSD!$F20</f>
        <v>-6.1999999999999998E-3</v>
      </c>
      <c r="E7" s="25">
        <f>[1]AUDUSD!$E20</f>
        <v>-1.32E-2</v>
      </c>
      <c r="F7" s="25">
        <f>[1]AUDUSD!$D20</f>
        <v>2E-3</v>
      </c>
      <c r="G7" s="25">
        <f>[1]AUDUSD!$C20</f>
        <v>6.8999999999999999E-3</v>
      </c>
      <c r="H7" s="8"/>
      <c r="I7" s="21" t="s">
        <v>10</v>
      </c>
      <c r="J7" s="28">
        <f>[2]G7!$C7</f>
        <v>0.34</v>
      </c>
      <c r="K7" s="28">
        <v>0.2</v>
      </c>
      <c r="L7" s="28">
        <v>0.4</v>
      </c>
      <c r="M7" s="28">
        <v>0.2</v>
      </c>
      <c r="N7" s="28">
        <v>0.4</v>
      </c>
      <c r="O7" s="16"/>
      <c r="P7" s="21" t="s">
        <v>10</v>
      </c>
      <c r="Q7" s="20">
        <f t="shared" si="7"/>
        <v>7.0300000000000001E-2</v>
      </c>
      <c r="R7" s="20">
        <f t="shared" si="8"/>
        <v>-7.1999999999999998E-3</v>
      </c>
      <c r="S7" s="20">
        <f t="shared" si="0"/>
        <v>-1.52E-2</v>
      </c>
      <c r="T7" s="20">
        <f t="shared" si="1"/>
        <v>1E-3</v>
      </c>
      <c r="U7" s="20">
        <f t="shared" si="2"/>
        <v>4.8999999999999998E-3</v>
      </c>
      <c r="V7" s="22"/>
      <c r="W7" s="21" t="s">
        <v>10</v>
      </c>
      <c r="X7" s="20">
        <f t="shared" si="9"/>
        <v>7.3700000000000015E-2</v>
      </c>
      <c r="Y7" s="20">
        <f t="shared" si="3"/>
        <v>-5.1999999999999998E-3</v>
      </c>
      <c r="Z7" s="20">
        <f t="shared" si="4"/>
        <v>-1.12E-2</v>
      </c>
      <c r="AA7" s="20">
        <f t="shared" si="5"/>
        <v>3.0000000000000001E-3</v>
      </c>
      <c r="AB7" s="20">
        <f t="shared" si="6"/>
        <v>8.8999999999999999E-3</v>
      </c>
    </row>
    <row r="8" spans="1:28" x14ac:dyDescent="0.25">
      <c r="A8" s="21" t="s">
        <v>71</v>
      </c>
      <c r="B8" s="21" t="s">
        <v>11</v>
      </c>
      <c r="C8" s="25">
        <f>[1]AUDUSD!$B21</f>
        <v>7.7499999999999999E-2</v>
      </c>
      <c r="D8" s="25">
        <f>[1]AUDUSD!$F21</f>
        <v>-7.4999999999999997E-3</v>
      </c>
      <c r="E8" s="25">
        <f>[1]AUDUSD!$E21</f>
        <v>-1.5900000000000001E-2</v>
      </c>
      <c r="F8" s="25">
        <f>[1]AUDUSD!$D21</f>
        <v>2.2000000000000001E-3</v>
      </c>
      <c r="G8" s="25">
        <f>[1]AUDUSD!$C21</f>
        <v>7.7000000000000002E-3</v>
      </c>
      <c r="H8" s="8"/>
      <c r="I8" s="21" t="s">
        <v>11</v>
      </c>
      <c r="J8" s="28">
        <f>[2]G7!$C8</f>
        <v>0.33</v>
      </c>
      <c r="K8" s="28">
        <v>0.2</v>
      </c>
      <c r="L8" s="28">
        <v>0.4</v>
      </c>
      <c r="M8" s="28">
        <v>0.2</v>
      </c>
      <c r="N8" s="28">
        <v>0.4</v>
      </c>
      <c r="O8" s="16"/>
      <c r="P8" s="21" t="s">
        <v>11</v>
      </c>
      <c r="Q8" s="20">
        <f t="shared" si="7"/>
        <v>7.3849999999999999E-2</v>
      </c>
      <c r="R8" s="20">
        <f t="shared" si="8"/>
        <v>-8.5000000000000006E-3</v>
      </c>
      <c r="S8" s="20">
        <f t="shared" si="0"/>
        <v>-1.7899999999999999E-2</v>
      </c>
      <c r="T8" s="20">
        <f t="shared" si="1"/>
        <v>1.2000000000000001E-3</v>
      </c>
      <c r="U8" s="20">
        <f t="shared" si="2"/>
        <v>5.7000000000000002E-3</v>
      </c>
      <c r="V8" s="22"/>
      <c r="W8" s="21" t="s">
        <v>11</v>
      </c>
      <c r="X8" s="20">
        <f t="shared" si="9"/>
        <v>7.7149999999999996E-2</v>
      </c>
      <c r="Y8" s="20">
        <f t="shared" si="3"/>
        <v>-6.4999999999999997E-3</v>
      </c>
      <c r="Z8" s="20">
        <f t="shared" si="4"/>
        <v>-1.3900000000000001E-2</v>
      </c>
      <c r="AA8" s="20">
        <f t="shared" si="5"/>
        <v>3.2000000000000002E-3</v>
      </c>
      <c r="AB8" s="20">
        <f t="shared" si="6"/>
        <v>9.7000000000000003E-3</v>
      </c>
    </row>
    <row r="9" spans="1:28" x14ac:dyDescent="0.25">
      <c r="A9" s="21" t="s">
        <v>71</v>
      </c>
      <c r="B9" s="21" t="s">
        <v>12</v>
      </c>
      <c r="C9" s="25">
        <f>[1]AUDUSD!$B22</f>
        <v>8.1099999999999992E-2</v>
      </c>
      <c r="D9" s="25">
        <f>[1]AUDUSD!$F22</f>
        <v>-8.5000000000000006E-3</v>
      </c>
      <c r="E9" s="25">
        <f>[1]AUDUSD!$E22</f>
        <v>-1.8100000000000002E-2</v>
      </c>
      <c r="F9" s="25">
        <f>[1]AUDUSD!$D22</f>
        <v>2.5000000000000001E-3</v>
      </c>
      <c r="G9" s="25">
        <f>[1]AUDUSD!$C22</f>
        <v>9.0000000000000011E-3</v>
      </c>
      <c r="H9" s="8"/>
      <c r="I9" s="21" t="s">
        <v>12</v>
      </c>
      <c r="J9" s="28">
        <f>[2]G7!$C9</f>
        <v>0.33</v>
      </c>
      <c r="K9" s="28">
        <v>0.2</v>
      </c>
      <c r="L9" s="28">
        <v>0.4</v>
      </c>
      <c r="M9" s="28">
        <v>0.2</v>
      </c>
      <c r="N9" s="28">
        <v>0.4</v>
      </c>
      <c r="O9" s="16"/>
      <c r="P9" s="21" t="s">
        <v>12</v>
      </c>
      <c r="Q9" s="20">
        <f t="shared" si="7"/>
        <v>7.7449999999999991E-2</v>
      </c>
      <c r="R9" s="20">
        <f t="shared" si="8"/>
        <v>-9.5000000000000015E-3</v>
      </c>
      <c r="S9" s="20">
        <f t="shared" si="0"/>
        <v>-2.01E-2</v>
      </c>
      <c r="T9" s="20">
        <f t="shared" si="1"/>
        <v>1.5E-3</v>
      </c>
      <c r="U9" s="20">
        <f t="shared" si="2"/>
        <v>7.000000000000001E-3</v>
      </c>
      <c r="V9" s="22"/>
      <c r="W9" s="21" t="s">
        <v>12</v>
      </c>
      <c r="X9" s="20">
        <f t="shared" si="9"/>
        <v>8.0749999999999988E-2</v>
      </c>
      <c r="Y9" s="20">
        <f t="shared" si="3"/>
        <v>-7.5000000000000006E-3</v>
      </c>
      <c r="Z9" s="20">
        <f t="shared" si="4"/>
        <v>-1.6100000000000003E-2</v>
      </c>
      <c r="AA9" s="20">
        <f t="shared" si="5"/>
        <v>3.5000000000000001E-3</v>
      </c>
      <c r="AB9" s="20">
        <f t="shared" si="6"/>
        <v>1.1000000000000001E-2</v>
      </c>
    </row>
    <row r="10" spans="1:28" x14ac:dyDescent="0.25">
      <c r="A10" s="21" t="s">
        <v>71</v>
      </c>
      <c r="B10" s="21" t="s">
        <v>13</v>
      </c>
      <c r="C10" s="25">
        <f>[1]AUDUSD!$B23</f>
        <v>8.4199999999999997E-2</v>
      </c>
      <c r="D10" s="25">
        <f>[1]AUDUSD!$F23</f>
        <v>-9.4999999999999998E-3</v>
      </c>
      <c r="E10" s="25">
        <f>[1]AUDUSD!$E23</f>
        <v>-2.0199999999999999E-2</v>
      </c>
      <c r="F10" s="25">
        <f>[1]AUDUSD!$D23</f>
        <v>2.8999999999999998E-3</v>
      </c>
      <c r="G10" s="25">
        <f>[1]AUDUSD!$C23</f>
        <v>1.03E-2</v>
      </c>
      <c r="H10" s="8"/>
      <c r="I10" s="21" t="s">
        <v>13</v>
      </c>
      <c r="J10" s="28">
        <f>[2]G7!$C10</f>
        <v>0.35</v>
      </c>
      <c r="K10" s="28">
        <v>0.2</v>
      </c>
      <c r="L10" s="28">
        <v>0.4</v>
      </c>
      <c r="M10" s="28">
        <v>0.2</v>
      </c>
      <c r="N10" s="28">
        <v>0.4</v>
      </c>
      <c r="O10" s="16"/>
      <c r="P10" s="21" t="s">
        <v>13</v>
      </c>
      <c r="Q10" s="20">
        <f t="shared" si="7"/>
        <v>8.0449999999999994E-2</v>
      </c>
      <c r="R10" s="20">
        <f t="shared" si="8"/>
        <v>-1.0499999999999999E-2</v>
      </c>
      <c r="S10" s="20">
        <f t="shared" si="0"/>
        <v>-2.2199999999999998E-2</v>
      </c>
      <c r="T10" s="20">
        <f t="shared" si="1"/>
        <v>1.8999999999999998E-3</v>
      </c>
      <c r="U10" s="20">
        <f t="shared" si="2"/>
        <v>8.3000000000000001E-3</v>
      </c>
      <c r="V10" s="22"/>
      <c r="W10" s="21" t="s">
        <v>13</v>
      </c>
      <c r="X10" s="20">
        <f t="shared" si="9"/>
        <v>8.3949999999999997E-2</v>
      </c>
      <c r="Y10" s="20">
        <f t="shared" si="3"/>
        <v>-8.5000000000000006E-3</v>
      </c>
      <c r="Z10" s="20">
        <f t="shared" si="4"/>
        <v>-1.8200000000000001E-2</v>
      </c>
      <c r="AA10" s="20">
        <f t="shared" si="5"/>
        <v>3.8999999999999998E-3</v>
      </c>
      <c r="AB10" s="20">
        <f t="shared" si="6"/>
        <v>1.23E-2</v>
      </c>
    </row>
    <row r="11" spans="1:28" x14ac:dyDescent="0.25">
      <c r="A11" s="21" t="s">
        <v>71</v>
      </c>
      <c r="B11" s="21" t="s">
        <v>14</v>
      </c>
      <c r="C11" s="25">
        <f>[1]AUDUSD!$B24</f>
        <v>8.8499999999999995E-2</v>
      </c>
      <c r="D11" s="25">
        <f>[1]AUDUSD!$F24</f>
        <v>-1.1699999999999999E-2</v>
      </c>
      <c r="E11" s="25">
        <f>[1]AUDUSD!$E24</f>
        <v>-2.4300000000000002E-2</v>
      </c>
      <c r="F11" s="25">
        <f>[1]AUDUSD!$D24</f>
        <v>3.9000000000000003E-3</v>
      </c>
      <c r="G11" s="25">
        <f>[1]AUDUSD!$C24</f>
        <v>1.32E-2</v>
      </c>
      <c r="H11" s="16"/>
      <c r="I11" s="21" t="s">
        <v>14</v>
      </c>
      <c r="J11" s="28">
        <f>[2]G7!$C11</f>
        <v>0.4</v>
      </c>
      <c r="K11" s="28">
        <v>0.2</v>
      </c>
      <c r="L11" s="28">
        <v>0.4</v>
      </c>
      <c r="M11" s="28">
        <v>0.2</v>
      </c>
      <c r="N11" s="28">
        <v>0.4</v>
      </c>
      <c r="O11" s="16"/>
      <c r="P11" s="21" t="s">
        <v>14</v>
      </c>
      <c r="Q11" s="20">
        <f t="shared" si="7"/>
        <v>8.4499999999999992E-2</v>
      </c>
      <c r="R11" s="20">
        <f t="shared" si="8"/>
        <v>-1.2699999999999999E-2</v>
      </c>
      <c r="S11" s="20">
        <f t="shared" si="0"/>
        <v>-2.6300000000000004E-2</v>
      </c>
      <c r="T11" s="20">
        <f t="shared" si="1"/>
        <v>2.9000000000000002E-3</v>
      </c>
      <c r="U11" s="20">
        <f t="shared" si="2"/>
        <v>1.12E-2</v>
      </c>
      <c r="V11" s="22"/>
      <c r="W11" s="21" t="s">
        <v>14</v>
      </c>
      <c r="X11" s="20">
        <f t="shared" si="9"/>
        <v>8.8499999999999995E-2</v>
      </c>
      <c r="Y11" s="20">
        <f t="shared" si="3"/>
        <v>-1.0699999999999998E-2</v>
      </c>
      <c r="Z11" s="20">
        <f t="shared" si="4"/>
        <v>-2.23E-2</v>
      </c>
      <c r="AA11" s="20">
        <f t="shared" si="5"/>
        <v>4.8999999999999998E-3</v>
      </c>
      <c r="AB11" s="20">
        <f t="shared" si="6"/>
        <v>1.52E-2</v>
      </c>
    </row>
    <row r="12" spans="1:28" x14ac:dyDescent="0.25">
      <c r="A12" s="21" t="s">
        <v>71</v>
      </c>
      <c r="B12" s="21" t="s">
        <v>876</v>
      </c>
      <c r="C12" s="25">
        <f>[1]AUDUSD!$B25</f>
        <v>9.01E-2</v>
      </c>
      <c r="D12" s="25">
        <f>[1]AUDUSD!$F25</f>
        <v>-1.2E-2</v>
      </c>
      <c r="E12" s="25">
        <f>[1]AUDUSD!$E25</f>
        <v>-2.4799999999999999E-2</v>
      </c>
      <c r="F12" s="25">
        <f>[1]AUDUSD!$D25</f>
        <v>3.8E-3</v>
      </c>
      <c r="G12" s="25">
        <f>[1]AUDUSD!$C25</f>
        <v>1.3300000000000001E-2</v>
      </c>
      <c r="H12" s="16"/>
      <c r="I12" s="21" t="s">
        <v>876</v>
      </c>
      <c r="J12" s="28">
        <f>[2]G7!$C12</f>
        <v>0.47000000000000003</v>
      </c>
      <c r="K12" s="28">
        <v>0.2</v>
      </c>
      <c r="L12" s="28">
        <v>0.4</v>
      </c>
      <c r="M12" s="28">
        <v>0.2</v>
      </c>
      <c r="N12" s="28">
        <v>0.4</v>
      </c>
      <c r="O12" s="16"/>
      <c r="P12" s="21" t="s">
        <v>876</v>
      </c>
      <c r="Q12" s="20">
        <f t="shared" si="7"/>
        <v>8.5749999999999993E-2</v>
      </c>
      <c r="R12" s="20">
        <f t="shared" ref="R12" si="10">D12-K12/200</f>
        <v>-1.3000000000000001E-2</v>
      </c>
      <c r="S12" s="20">
        <f t="shared" ref="S12" si="11">E12-L12/200</f>
        <v>-2.6799999999999997E-2</v>
      </c>
      <c r="T12" s="20">
        <f t="shared" ref="T12" si="12">F12-M12/200</f>
        <v>2.8E-3</v>
      </c>
      <c r="U12" s="20">
        <f t="shared" ref="U12" si="13">G12-N12/200</f>
        <v>1.1300000000000001E-2</v>
      </c>
      <c r="V12" s="22"/>
      <c r="W12" s="21" t="s">
        <v>876</v>
      </c>
      <c r="X12" s="20">
        <f t="shared" si="9"/>
        <v>9.0450000000000003E-2</v>
      </c>
      <c r="Y12" s="20">
        <f t="shared" ref="Y12" si="14">D12+K12/200</f>
        <v>-1.0999999999999999E-2</v>
      </c>
      <c r="Z12" s="20">
        <f t="shared" ref="Z12" si="15">E12+L12/200</f>
        <v>-2.2800000000000001E-2</v>
      </c>
      <c r="AA12" s="20">
        <f t="shared" ref="AA12" si="16">F12+M12/200</f>
        <v>4.8000000000000004E-3</v>
      </c>
      <c r="AB12" s="20">
        <f t="shared" ref="AB12" si="17">G12+N12/200</f>
        <v>1.5300000000000001E-2</v>
      </c>
    </row>
    <row r="13" spans="1:28" x14ac:dyDescent="0.25">
      <c r="A13" s="21"/>
      <c r="B13" s="21"/>
      <c r="C13" s="25"/>
      <c r="D13" s="25"/>
      <c r="E13" s="25"/>
      <c r="F13" s="25"/>
      <c r="G13" s="25"/>
      <c r="H13" s="16"/>
      <c r="I13" s="21"/>
      <c r="J13" s="28"/>
      <c r="K13" s="28"/>
      <c r="L13" s="28"/>
      <c r="M13" s="28"/>
      <c r="N13" s="28"/>
      <c r="O13" s="16"/>
      <c r="P13" s="21"/>
      <c r="Q13" s="20"/>
      <c r="R13" s="20"/>
      <c r="S13" s="20"/>
      <c r="T13" s="20"/>
      <c r="U13" s="20"/>
      <c r="V13" s="22"/>
      <c r="W13" s="21"/>
      <c r="X13" s="20"/>
      <c r="Y13" s="20"/>
      <c r="Z13" s="20"/>
      <c r="AA13" s="20"/>
      <c r="AB13" s="20"/>
    </row>
    <row r="14" spans="1:28" x14ac:dyDescent="0.25">
      <c r="A14" s="16"/>
      <c r="B14" s="16"/>
      <c r="C14" s="26"/>
      <c r="D14" s="26"/>
      <c r="E14" s="26"/>
      <c r="F14" s="26"/>
      <c r="G14" s="26"/>
      <c r="H14" s="16"/>
      <c r="I14" s="16"/>
      <c r="J14" s="16"/>
      <c r="K14" s="16"/>
      <c r="L14" s="16"/>
      <c r="M14" s="16"/>
      <c r="N14" s="16"/>
      <c r="O14" s="16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x14ac:dyDescent="0.25">
      <c r="A15" s="7" t="s">
        <v>70</v>
      </c>
      <c r="B15" s="7" t="s">
        <v>340</v>
      </c>
      <c r="C15" s="24" t="s">
        <v>341</v>
      </c>
      <c r="D15" s="24" t="s">
        <v>342</v>
      </c>
      <c r="E15" s="24" t="s">
        <v>343</v>
      </c>
      <c r="F15" s="24" t="s">
        <v>344</v>
      </c>
      <c r="G15" s="24" t="s">
        <v>345</v>
      </c>
      <c r="H15" s="8"/>
      <c r="I15" s="7" t="s">
        <v>346</v>
      </c>
      <c r="J15" s="7" t="s">
        <v>347</v>
      </c>
      <c r="K15" s="7" t="s">
        <v>348</v>
      </c>
      <c r="L15" s="7" t="s">
        <v>343</v>
      </c>
      <c r="M15" s="7" t="s">
        <v>344</v>
      </c>
      <c r="N15" s="7" t="s">
        <v>345</v>
      </c>
      <c r="O15" s="16"/>
      <c r="P15" s="7" t="s">
        <v>349</v>
      </c>
      <c r="Q15" s="7" t="s">
        <v>347</v>
      </c>
      <c r="R15" s="7" t="s">
        <v>348</v>
      </c>
      <c r="S15" s="7" t="s">
        <v>343</v>
      </c>
      <c r="T15" s="7" t="s">
        <v>344</v>
      </c>
      <c r="U15" s="7" t="s">
        <v>345</v>
      </c>
      <c r="V15" s="22"/>
      <c r="W15" s="7" t="s">
        <v>350</v>
      </c>
      <c r="X15" s="7" t="s">
        <v>347</v>
      </c>
      <c r="Y15" s="7" t="s">
        <v>348</v>
      </c>
      <c r="Z15" s="7" t="s">
        <v>343</v>
      </c>
      <c r="AA15" s="7" t="s">
        <v>344</v>
      </c>
      <c r="AB15" s="7" t="s">
        <v>345</v>
      </c>
    </row>
    <row r="16" spans="1:28" x14ac:dyDescent="0.25">
      <c r="A16" s="21" t="s">
        <v>330</v>
      </c>
      <c r="B16" s="21" t="s">
        <v>5</v>
      </c>
      <c r="C16" s="25">
        <f>[1]AUDHKD!$B15</f>
        <v>6.3099999999999989E-2</v>
      </c>
      <c r="D16" s="25">
        <f>[1]AUDHKD!$F15</f>
        <v>-3.9000000000000003E-3</v>
      </c>
      <c r="E16" s="25">
        <f>[1]AUDHKD!$E15</f>
        <v>-7.7000000000000002E-3</v>
      </c>
      <c r="F16" s="25">
        <f>[1]AUDHKD!$D15</f>
        <v>1.1999999999999999E-3</v>
      </c>
      <c r="G16" s="25">
        <f>[1]AUDHKD!$C15</f>
        <v>4.3E-3</v>
      </c>
      <c r="H16" s="8"/>
      <c r="I16" s="21" t="s">
        <v>5</v>
      </c>
      <c r="J16" s="28">
        <f>[2]G7!$D2</f>
        <v>3.1</v>
      </c>
      <c r="K16" s="28">
        <v>1.2</v>
      </c>
      <c r="L16" s="28">
        <v>2.4</v>
      </c>
      <c r="M16" s="28">
        <v>1.2</v>
      </c>
      <c r="N16" s="28">
        <v>2.4</v>
      </c>
      <c r="O16" s="16"/>
      <c r="P16" s="21" t="s">
        <v>5</v>
      </c>
      <c r="Q16" s="20">
        <f>(C16-J16/200)-0.002</f>
        <v>4.5599999999999988E-2</v>
      </c>
      <c r="R16" s="20">
        <f t="shared" ref="R16:R26" si="18">D16-K16/200</f>
        <v>-9.9000000000000008E-3</v>
      </c>
      <c r="S16" s="20">
        <f t="shared" ref="S16:S26" si="19">E16-L16/200</f>
        <v>-1.9700000000000002E-2</v>
      </c>
      <c r="T16" s="20">
        <f t="shared" ref="T16:T26" si="20">F16-M16/200</f>
        <v>-4.8000000000000004E-3</v>
      </c>
      <c r="U16" s="20">
        <f t="shared" ref="U16:U26" si="21">G16-N16/200</f>
        <v>-7.7000000000000002E-3</v>
      </c>
      <c r="V16" s="22"/>
      <c r="W16" s="21" t="s">
        <v>5</v>
      </c>
      <c r="X16" s="20">
        <f>(C16+J16/200)-0.002</f>
        <v>7.6599999999999988E-2</v>
      </c>
      <c r="Y16" s="20">
        <f t="shared" ref="Y16:Y26" si="22">D16+K16/200</f>
        <v>2.0999999999999999E-3</v>
      </c>
      <c r="Z16" s="20">
        <f t="shared" ref="Z16:Z26" si="23">E16+L16/200</f>
        <v>4.3E-3</v>
      </c>
      <c r="AA16" s="20">
        <f t="shared" ref="AA16:AA26" si="24">F16+M16/200</f>
        <v>7.1999999999999998E-3</v>
      </c>
      <c r="AB16" s="20">
        <f t="shared" ref="AB16:AB26" si="25">G16+N16/200</f>
        <v>1.6300000000000002E-2</v>
      </c>
    </row>
    <row r="17" spans="1:28" x14ac:dyDescent="0.25">
      <c r="A17" s="21" t="s">
        <v>330</v>
      </c>
      <c r="B17" s="21" t="s">
        <v>6</v>
      </c>
      <c r="C17" s="25">
        <f>[1]AUDHKD!$B16</f>
        <v>6.1799999999999994E-2</v>
      </c>
      <c r="D17" s="25">
        <f>[1]AUDHKD!$F16</f>
        <v>-3.9000000000000003E-3</v>
      </c>
      <c r="E17" s="25">
        <f>[1]AUDHKD!$E16</f>
        <v>-7.4999999999999997E-3</v>
      </c>
      <c r="F17" s="25">
        <f>[1]AUDHKD!$D16</f>
        <v>1.1000000000000001E-3</v>
      </c>
      <c r="G17" s="25">
        <f>[1]AUDHKD!$C16</f>
        <v>4.1999999999999997E-3</v>
      </c>
      <c r="H17" s="8"/>
      <c r="I17" s="21" t="s">
        <v>6</v>
      </c>
      <c r="J17" s="28">
        <f>[2]G7!$D3</f>
        <v>2.11</v>
      </c>
      <c r="K17" s="28">
        <v>0.5</v>
      </c>
      <c r="L17" s="28">
        <v>1</v>
      </c>
      <c r="M17" s="28">
        <v>0.5</v>
      </c>
      <c r="N17" s="28">
        <v>1</v>
      </c>
      <c r="O17" s="16"/>
      <c r="P17" s="21" t="s">
        <v>6</v>
      </c>
      <c r="Q17" s="20">
        <f t="shared" ref="Q17:Q26" si="26">(C17-J17/200)-0.002</f>
        <v>4.9249999999999995E-2</v>
      </c>
      <c r="R17" s="20">
        <f t="shared" si="18"/>
        <v>-6.4000000000000003E-3</v>
      </c>
      <c r="S17" s="20">
        <f t="shared" si="19"/>
        <v>-1.2500000000000001E-2</v>
      </c>
      <c r="T17" s="20">
        <f t="shared" si="20"/>
        <v>-1.4E-3</v>
      </c>
      <c r="U17" s="20">
        <f t="shared" si="21"/>
        <v>-8.0000000000000036E-4</v>
      </c>
      <c r="V17" s="22"/>
      <c r="W17" s="21" t="s">
        <v>6</v>
      </c>
      <c r="X17" s="20">
        <f t="shared" ref="X17:X26" si="27">(C17+J17/200)-0.002</f>
        <v>7.0349999999999996E-2</v>
      </c>
      <c r="Y17" s="20">
        <f t="shared" si="22"/>
        <v>-1.4000000000000002E-3</v>
      </c>
      <c r="Z17" s="20">
        <f t="shared" si="23"/>
        <v>-2.4999999999999996E-3</v>
      </c>
      <c r="AA17" s="20">
        <f t="shared" si="24"/>
        <v>3.5999999999999999E-3</v>
      </c>
      <c r="AB17" s="20">
        <f t="shared" si="25"/>
        <v>9.1999999999999998E-3</v>
      </c>
    </row>
    <row r="18" spans="1:28" x14ac:dyDescent="0.25">
      <c r="A18" s="21" t="s">
        <v>330</v>
      </c>
      <c r="B18" s="21" t="s">
        <v>7</v>
      </c>
      <c r="C18" s="25">
        <f>[1]AUDHKD!$B17</f>
        <v>6.7699999999999996E-2</v>
      </c>
      <c r="D18" s="25">
        <f>[1]AUDHKD!$F17</f>
        <v>-4.6999999999999993E-3</v>
      </c>
      <c r="E18" s="25">
        <f>[1]AUDHKD!$E17</f>
        <v>-9.1000000000000004E-3</v>
      </c>
      <c r="F18" s="25">
        <f>[1]AUDHKD!$D17</f>
        <v>1.2999999999999999E-3</v>
      </c>
      <c r="G18" s="25">
        <f>[1]AUDHKD!$C17</f>
        <v>4.7999999999999996E-3</v>
      </c>
      <c r="H18" s="8"/>
      <c r="I18" s="21" t="s">
        <v>7</v>
      </c>
      <c r="J18" s="28">
        <f>[2]G7!$D4</f>
        <v>1.51</v>
      </c>
      <c r="K18" s="28">
        <v>0.3</v>
      </c>
      <c r="L18" s="28">
        <v>0.6</v>
      </c>
      <c r="M18" s="28">
        <v>0.3</v>
      </c>
      <c r="N18" s="28">
        <v>0.6</v>
      </c>
      <c r="O18" s="16"/>
      <c r="P18" s="21" t="s">
        <v>7</v>
      </c>
      <c r="Q18" s="20">
        <f t="shared" si="26"/>
        <v>5.8149999999999993E-2</v>
      </c>
      <c r="R18" s="20">
        <f t="shared" si="18"/>
        <v>-6.1999999999999989E-3</v>
      </c>
      <c r="S18" s="20">
        <f t="shared" si="19"/>
        <v>-1.21E-2</v>
      </c>
      <c r="T18" s="20">
        <f t="shared" si="20"/>
        <v>-2.0000000000000009E-4</v>
      </c>
      <c r="U18" s="20">
        <f t="shared" si="21"/>
        <v>1.7999999999999995E-3</v>
      </c>
      <c r="V18" s="22"/>
      <c r="W18" s="21" t="s">
        <v>7</v>
      </c>
      <c r="X18" s="20">
        <f t="shared" si="27"/>
        <v>7.3249999999999996E-2</v>
      </c>
      <c r="Y18" s="20">
        <f t="shared" si="22"/>
        <v>-3.1999999999999993E-3</v>
      </c>
      <c r="Z18" s="20">
        <f t="shared" si="23"/>
        <v>-6.1000000000000004E-3</v>
      </c>
      <c r="AA18" s="20">
        <f t="shared" si="24"/>
        <v>2.8E-3</v>
      </c>
      <c r="AB18" s="20">
        <f t="shared" si="25"/>
        <v>7.7999999999999996E-3</v>
      </c>
    </row>
    <row r="19" spans="1:28" x14ac:dyDescent="0.25">
      <c r="A19" s="21" t="s">
        <v>330</v>
      </c>
      <c r="B19" s="21" t="s">
        <v>8</v>
      </c>
      <c r="C19" s="25">
        <f>[1]AUDHKD!$B18</f>
        <v>6.9400000000000003E-2</v>
      </c>
      <c r="D19" s="25">
        <f>[1]AUDHKD!$F18</f>
        <v>-5.0000000000000001E-3</v>
      </c>
      <c r="E19" s="25">
        <f>[1]AUDHKD!$E18</f>
        <v>-9.7000000000000003E-3</v>
      </c>
      <c r="F19" s="25">
        <f>[1]AUDHKD!$D18</f>
        <v>1.4000000000000002E-3</v>
      </c>
      <c r="G19" s="25">
        <f>[1]AUDHKD!$C18</f>
        <v>5.0000000000000001E-3</v>
      </c>
      <c r="H19" s="8"/>
      <c r="I19" s="21" t="s">
        <v>8</v>
      </c>
      <c r="J19" s="28">
        <f>[2]G7!$D5</f>
        <v>0.75</v>
      </c>
      <c r="K19" s="28">
        <v>0.2</v>
      </c>
      <c r="L19" s="28">
        <v>0.4</v>
      </c>
      <c r="M19" s="28">
        <v>0.2</v>
      </c>
      <c r="N19" s="28">
        <v>0.4</v>
      </c>
      <c r="O19" s="16"/>
      <c r="P19" s="21" t="s">
        <v>8</v>
      </c>
      <c r="Q19" s="20">
        <f t="shared" si="26"/>
        <v>6.3649999999999998E-2</v>
      </c>
      <c r="R19" s="20">
        <f t="shared" si="18"/>
        <v>-6.0000000000000001E-3</v>
      </c>
      <c r="S19" s="20">
        <f t="shared" si="19"/>
        <v>-1.17E-2</v>
      </c>
      <c r="T19" s="20">
        <f t="shared" si="20"/>
        <v>4.0000000000000018E-4</v>
      </c>
      <c r="U19" s="20">
        <f t="shared" si="21"/>
        <v>3.0000000000000001E-3</v>
      </c>
      <c r="V19" s="22"/>
      <c r="W19" s="21" t="s">
        <v>8</v>
      </c>
      <c r="X19" s="20">
        <f t="shared" si="27"/>
        <v>7.1150000000000005E-2</v>
      </c>
      <c r="Y19" s="20">
        <f t="shared" si="22"/>
        <v>-4.0000000000000001E-3</v>
      </c>
      <c r="Z19" s="20">
        <f t="shared" si="23"/>
        <v>-7.7000000000000002E-3</v>
      </c>
      <c r="AA19" s="20">
        <f t="shared" si="24"/>
        <v>2.4000000000000002E-3</v>
      </c>
      <c r="AB19" s="20">
        <f t="shared" si="25"/>
        <v>7.0000000000000001E-3</v>
      </c>
    </row>
    <row r="20" spans="1:28" x14ac:dyDescent="0.25">
      <c r="A20" s="21" t="s">
        <v>330</v>
      </c>
      <c r="B20" s="21" t="s">
        <v>9</v>
      </c>
      <c r="C20" s="25">
        <f>[1]AUDHKD!$B19</f>
        <v>7.2300000000000003E-2</v>
      </c>
      <c r="D20" s="25">
        <f>[1]AUDHKD!$F19</f>
        <v>-5.7999999999999996E-3</v>
      </c>
      <c r="E20" s="25">
        <f>[1]AUDHKD!$E19</f>
        <v>-1.1299999999999999E-2</v>
      </c>
      <c r="F20" s="25">
        <f>[1]AUDHKD!$D19</f>
        <v>1.6000000000000001E-3</v>
      </c>
      <c r="G20" s="25">
        <f>[1]AUDHKD!$C19</f>
        <v>6.0000000000000001E-3</v>
      </c>
      <c r="H20" s="8"/>
      <c r="I20" s="21" t="s">
        <v>9</v>
      </c>
      <c r="J20" s="28">
        <f>[2]G7!$D6</f>
        <v>0.74</v>
      </c>
      <c r="K20" s="28">
        <v>0.2</v>
      </c>
      <c r="L20" s="28">
        <v>0.4</v>
      </c>
      <c r="M20" s="28">
        <v>0.2</v>
      </c>
      <c r="N20" s="28">
        <v>0.4</v>
      </c>
      <c r="O20" s="16"/>
      <c r="P20" s="21" t="s">
        <v>9</v>
      </c>
      <c r="Q20" s="20">
        <f t="shared" si="26"/>
        <v>6.6600000000000006E-2</v>
      </c>
      <c r="R20" s="20">
        <f t="shared" si="18"/>
        <v>-6.7999999999999996E-3</v>
      </c>
      <c r="S20" s="20">
        <f t="shared" si="19"/>
        <v>-1.3299999999999999E-2</v>
      </c>
      <c r="T20" s="20">
        <f t="shared" si="20"/>
        <v>6.0000000000000006E-4</v>
      </c>
      <c r="U20" s="20">
        <f t="shared" si="21"/>
        <v>4.0000000000000001E-3</v>
      </c>
      <c r="V20" s="22"/>
      <c r="W20" s="21" t="s">
        <v>9</v>
      </c>
      <c r="X20" s="20">
        <f t="shared" si="27"/>
        <v>7.3999999999999996E-2</v>
      </c>
      <c r="Y20" s="20">
        <f t="shared" si="22"/>
        <v>-4.7999999999999996E-3</v>
      </c>
      <c r="Z20" s="20">
        <f t="shared" si="23"/>
        <v>-9.2999999999999992E-3</v>
      </c>
      <c r="AA20" s="20">
        <f t="shared" si="24"/>
        <v>2.5999999999999999E-3</v>
      </c>
      <c r="AB20" s="20">
        <f t="shared" si="25"/>
        <v>8.0000000000000002E-3</v>
      </c>
    </row>
    <row r="21" spans="1:28" x14ac:dyDescent="0.25">
      <c r="A21" s="21" t="s">
        <v>330</v>
      </c>
      <c r="B21" s="21" t="s">
        <v>10</v>
      </c>
      <c r="C21" s="25">
        <f>[1]AUDHKD!$B20</f>
        <v>7.3899999999999993E-2</v>
      </c>
      <c r="D21" s="25">
        <f>[1]AUDHKD!$F20</f>
        <v>-6.5000000000000006E-3</v>
      </c>
      <c r="E21" s="25">
        <f>[1]AUDHKD!$E20</f>
        <v>-1.26E-2</v>
      </c>
      <c r="F21" s="25">
        <f>[1]AUDHKD!$D20</f>
        <v>1.8E-3</v>
      </c>
      <c r="G21" s="25">
        <f>[1]AUDHKD!$C20</f>
        <v>6.8000000000000005E-3</v>
      </c>
      <c r="H21" s="8"/>
      <c r="I21" s="21" t="s">
        <v>10</v>
      </c>
      <c r="J21" s="28">
        <f>[2]G7!$D7</f>
        <v>0.75</v>
      </c>
      <c r="K21" s="28">
        <v>0.2</v>
      </c>
      <c r="L21" s="28">
        <v>0.4</v>
      </c>
      <c r="M21" s="28">
        <v>0.2</v>
      </c>
      <c r="N21" s="28">
        <v>0.4</v>
      </c>
      <c r="O21" s="16"/>
      <c r="P21" s="21" t="s">
        <v>10</v>
      </c>
      <c r="Q21" s="20">
        <f t="shared" si="26"/>
        <v>6.8149999999999988E-2</v>
      </c>
      <c r="R21" s="20">
        <f t="shared" si="18"/>
        <v>-7.5000000000000006E-3</v>
      </c>
      <c r="S21" s="20">
        <f t="shared" si="19"/>
        <v>-1.46E-2</v>
      </c>
      <c r="T21" s="20">
        <f t="shared" si="20"/>
        <v>7.9999999999999993E-4</v>
      </c>
      <c r="U21" s="20">
        <f t="shared" si="21"/>
        <v>4.8000000000000004E-3</v>
      </c>
      <c r="V21" s="22"/>
      <c r="W21" s="21" t="s">
        <v>10</v>
      </c>
      <c r="X21" s="20">
        <f t="shared" si="27"/>
        <v>7.5649999999999995E-2</v>
      </c>
      <c r="Y21" s="20">
        <f t="shared" si="22"/>
        <v>-5.5000000000000005E-3</v>
      </c>
      <c r="Z21" s="20">
        <f t="shared" si="23"/>
        <v>-1.06E-2</v>
      </c>
      <c r="AA21" s="20">
        <f t="shared" si="24"/>
        <v>2.8E-3</v>
      </c>
      <c r="AB21" s="20">
        <f t="shared" si="25"/>
        <v>8.8000000000000005E-3</v>
      </c>
    </row>
    <row r="22" spans="1:28" x14ac:dyDescent="0.25">
      <c r="A22" s="21" t="s">
        <v>330</v>
      </c>
      <c r="B22" s="21" t="s">
        <v>11</v>
      </c>
      <c r="C22" s="25">
        <f>[1]AUDHKD!$B21</f>
        <v>7.7399999999999997E-2</v>
      </c>
      <c r="D22" s="25">
        <f>[1]AUDHKD!$F21</f>
        <v>-7.7000000000000002E-3</v>
      </c>
      <c r="E22" s="25">
        <f>[1]AUDHKD!$E21</f>
        <v>-1.49E-2</v>
      </c>
      <c r="F22" s="25">
        <f>[1]AUDHKD!$D21</f>
        <v>1.9E-3</v>
      </c>
      <c r="G22" s="25">
        <f>[1]AUDHKD!$C21</f>
        <v>7.6E-3</v>
      </c>
      <c r="H22" s="8"/>
      <c r="I22" s="21" t="s">
        <v>11</v>
      </c>
      <c r="J22" s="28">
        <f>[2]G7!$D8</f>
        <v>0.7</v>
      </c>
      <c r="K22" s="28">
        <v>0.2</v>
      </c>
      <c r="L22" s="28">
        <v>0.4</v>
      </c>
      <c r="M22" s="28">
        <v>0.2</v>
      </c>
      <c r="N22" s="28">
        <v>0.4</v>
      </c>
      <c r="O22" s="16"/>
      <c r="P22" s="21" t="s">
        <v>11</v>
      </c>
      <c r="Q22" s="20">
        <f t="shared" si="26"/>
        <v>7.1899999999999992E-2</v>
      </c>
      <c r="R22" s="20">
        <f t="shared" si="18"/>
        <v>-8.6999999999999994E-3</v>
      </c>
      <c r="S22" s="20">
        <f t="shared" si="19"/>
        <v>-1.6899999999999998E-2</v>
      </c>
      <c r="T22" s="20">
        <f t="shared" si="20"/>
        <v>8.9999999999999998E-4</v>
      </c>
      <c r="U22" s="20">
        <f t="shared" si="21"/>
        <v>5.5999999999999999E-3</v>
      </c>
      <c r="V22" s="22"/>
      <c r="W22" s="21" t="s">
        <v>11</v>
      </c>
      <c r="X22" s="20">
        <f t="shared" si="27"/>
        <v>7.8899999999999998E-2</v>
      </c>
      <c r="Y22" s="20">
        <f t="shared" si="22"/>
        <v>-6.7000000000000002E-3</v>
      </c>
      <c r="Z22" s="20">
        <f t="shared" si="23"/>
        <v>-1.29E-2</v>
      </c>
      <c r="AA22" s="20">
        <f t="shared" si="24"/>
        <v>2.8999999999999998E-3</v>
      </c>
      <c r="AB22" s="20">
        <f t="shared" si="25"/>
        <v>9.6000000000000009E-3</v>
      </c>
    </row>
    <row r="23" spans="1:28" x14ac:dyDescent="0.25">
      <c r="A23" s="21" t="s">
        <v>330</v>
      </c>
      <c r="B23" s="21" t="s">
        <v>12</v>
      </c>
      <c r="C23" s="25">
        <f>[1]AUDHKD!$B22</f>
        <v>8.1900000000000001E-2</v>
      </c>
      <c r="D23" s="25">
        <f>[1]AUDHKD!$F22</f>
        <v>-9.3999999999999986E-3</v>
      </c>
      <c r="E23" s="25">
        <f>[1]AUDHKD!$E22</f>
        <v>-1.8000000000000002E-2</v>
      </c>
      <c r="F23" s="25">
        <f>[1]AUDHKD!$D22</f>
        <v>2.3E-3</v>
      </c>
      <c r="G23" s="25">
        <f>[1]AUDHKD!$C22</f>
        <v>9.3999999999999986E-3</v>
      </c>
      <c r="H23" s="8"/>
      <c r="I23" s="21" t="s">
        <v>12</v>
      </c>
      <c r="J23" s="28">
        <f>[2]G7!$D9</f>
        <v>0.7</v>
      </c>
      <c r="K23" s="28">
        <v>0.2</v>
      </c>
      <c r="L23" s="28">
        <v>0.4</v>
      </c>
      <c r="M23" s="28">
        <v>0.2</v>
      </c>
      <c r="N23" s="28">
        <v>0.4</v>
      </c>
      <c r="O23" s="16"/>
      <c r="P23" s="21" t="s">
        <v>12</v>
      </c>
      <c r="Q23" s="20">
        <f t="shared" si="26"/>
        <v>7.6399999999999996E-2</v>
      </c>
      <c r="R23" s="20">
        <f t="shared" si="18"/>
        <v>-1.04E-2</v>
      </c>
      <c r="S23" s="20">
        <f t="shared" si="19"/>
        <v>-2.0000000000000004E-2</v>
      </c>
      <c r="T23" s="20">
        <f t="shared" si="20"/>
        <v>1.2999999999999999E-3</v>
      </c>
      <c r="U23" s="20">
        <f t="shared" si="21"/>
        <v>7.3999999999999986E-3</v>
      </c>
      <c r="V23" s="22"/>
      <c r="W23" s="21" t="s">
        <v>12</v>
      </c>
      <c r="X23" s="20">
        <f t="shared" si="27"/>
        <v>8.3400000000000002E-2</v>
      </c>
      <c r="Y23" s="20">
        <f t="shared" si="22"/>
        <v>-8.3999999999999977E-3</v>
      </c>
      <c r="Z23" s="20">
        <f t="shared" si="23"/>
        <v>-1.6E-2</v>
      </c>
      <c r="AA23" s="20">
        <f t="shared" si="24"/>
        <v>3.3E-3</v>
      </c>
      <c r="AB23" s="20">
        <f t="shared" si="25"/>
        <v>1.1399999999999999E-2</v>
      </c>
    </row>
    <row r="24" spans="1:28" x14ac:dyDescent="0.25">
      <c r="A24" s="21" t="s">
        <v>330</v>
      </c>
      <c r="B24" s="21" t="s">
        <v>13</v>
      </c>
      <c r="C24" s="25">
        <f>[1]AUDHKD!$B23</f>
        <v>8.4499999999999992E-2</v>
      </c>
      <c r="D24" s="25">
        <f>[1]AUDHKD!$F23</f>
        <v>-1.0200000000000001E-2</v>
      </c>
      <c r="E24" s="25">
        <f>[1]AUDHKD!$E23</f>
        <v>-1.9599999999999999E-2</v>
      </c>
      <c r="F24" s="25">
        <f>[1]AUDHKD!$D23</f>
        <v>2.5000000000000001E-3</v>
      </c>
      <c r="G24" s="25">
        <f>[1]AUDHKD!$C23</f>
        <v>1.03E-2</v>
      </c>
      <c r="H24" s="8"/>
      <c r="I24" s="21" t="s">
        <v>13</v>
      </c>
      <c r="J24" s="28">
        <f>[2]G7!$D10</f>
        <v>0.73</v>
      </c>
      <c r="K24" s="28">
        <v>0.2</v>
      </c>
      <c r="L24" s="28">
        <v>0.4</v>
      </c>
      <c r="M24" s="28">
        <v>0.2</v>
      </c>
      <c r="N24" s="28">
        <v>0.4</v>
      </c>
      <c r="O24" s="16"/>
      <c r="P24" s="21" t="s">
        <v>13</v>
      </c>
      <c r="Q24" s="20">
        <f t="shared" si="26"/>
        <v>7.884999999999999E-2</v>
      </c>
      <c r="R24" s="20">
        <f t="shared" si="18"/>
        <v>-1.1200000000000002E-2</v>
      </c>
      <c r="S24" s="20">
        <f t="shared" si="19"/>
        <v>-2.1600000000000001E-2</v>
      </c>
      <c r="T24" s="20">
        <f t="shared" si="20"/>
        <v>1.5E-3</v>
      </c>
      <c r="U24" s="20">
        <f t="shared" si="21"/>
        <v>8.3000000000000001E-3</v>
      </c>
      <c r="V24" s="22"/>
      <c r="W24" s="21" t="s">
        <v>13</v>
      </c>
      <c r="X24" s="20">
        <f t="shared" si="27"/>
        <v>8.614999999999999E-2</v>
      </c>
      <c r="Y24" s="20">
        <f t="shared" si="22"/>
        <v>-9.1999999999999998E-3</v>
      </c>
      <c r="Z24" s="20">
        <f t="shared" si="23"/>
        <v>-1.7599999999999998E-2</v>
      </c>
      <c r="AA24" s="20">
        <f t="shared" si="24"/>
        <v>3.5000000000000001E-3</v>
      </c>
      <c r="AB24" s="20">
        <f t="shared" si="25"/>
        <v>1.23E-2</v>
      </c>
    </row>
    <row r="25" spans="1:28" x14ac:dyDescent="0.25">
      <c r="A25" s="21" t="s">
        <v>330</v>
      </c>
      <c r="B25" s="21" t="s">
        <v>14</v>
      </c>
      <c r="C25" s="25">
        <f>[1]AUDHKD!$B24</f>
        <v>8.9099999999999999E-2</v>
      </c>
      <c r="D25" s="25">
        <f>[1]AUDHKD!$F24</f>
        <v>-1.24E-2</v>
      </c>
      <c r="E25" s="25">
        <f>[1]AUDHKD!$E24</f>
        <v>-2.35E-2</v>
      </c>
      <c r="F25" s="25">
        <f>[1]AUDHKD!$D24</f>
        <v>2.8999999999999998E-3</v>
      </c>
      <c r="G25" s="25">
        <f>[1]AUDHKD!$C24</f>
        <v>1.24E-2</v>
      </c>
      <c r="H25" s="16"/>
      <c r="I25" s="21" t="s">
        <v>14</v>
      </c>
      <c r="J25" s="28">
        <f>[2]G7!$D11</f>
        <v>1.01</v>
      </c>
      <c r="K25" s="28">
        <v>0.2</v>
      </c>
      <c r="L25" s="28">
        <v>0.4</v>
      </c>
      <c r="M25" s="28">
        <v>0.2</v>
      </c>
      <c r="N25" s="28">
        <v>0.4</v>
      </c>
      <c r="O25" s="16"/>
      <c r="P25" s="21" t="s">
        <v>14</v>
      </c>
      <c r="Q25" s="20">
        <f t="shared" si="26"/>
        <v>8.2049999999999998E-2</v>
      </c>
      <c r="R25" s="20">
        <f t="shared" si="18"/>
        <v>-1.3399999999999999E-2</v>
      </c>
      <c r="S25" s="20">
        <f t="shared" si="19"/>
        <v>-2.5500000000000002E-2</v>
      </c>
      <c r="T25" s="20">
        <f t="shared" si="20"/>
        <v>1.8999999999999998E-3</v>
      </c>
      <c r="U25" s="20">
        <f t="shared" si="21"/>
        <v>1.04E-2</v>
      </c>
      <c r="V25" s="22"/>
      <c r="W25" s="21" t="s">
        <v>14</v>
      </c>
      <c r="X25" s="20">
        <f t="shared" si="27"/>
        <v>9.2149999999999996E-2</v>
      </c>
      <c r="Y25" s="20">
        <f t="shared" si="22"/>
        <v>-1.14E-2</v>
      </c>
      <c r="Z25" s="20">
        <f t="shared" si="23"/>
        <v>-2.1499999999999998E-2</v>
      </c>
      <c r="AA25" s="20">
        <f t="shared" si="24"/>
        <v>3.8999999999999998E-3</v>
      </c>
      <c r="AB25" s="20">
        <f t="shared" si="25"/>
        <v>1.44E-2</v>
      </c>
    </row>
    <row r="26" spans="1:28" x14ac:dyDescent="0.25">
      <c r="A26" s="21" t="s">
        <v>330</v>
      </c>
      <c r="B26" s="21" t="s">
        <v>876</v>
      </c>
      <c r="C26" s="25">
        <f>[1]AUDHKD!$B25</f>
        <v>9.1600000000000001E-2</v>
      </c>
      <c r="D26" s="25">
        <f>[1]AUDHKD!$F25</f>
        <v>-1.3100000000000001E-2</v>
      </c>
      <c r="E26" s="25">
        <f>[1]AUDHKD!$E25</f>
        <v>-2.4500000000000001E-2</v>
      </c>
      <c r="F26" s="25">
        <f>[1]AUDHKD!$D25</f>
        <v>2.7000000000000001E-3</v>
      </c>
      <c r="G26" s="25">
        <f>[1]AUDHKD!$C25</f>
        <v>1.23E-2</v>
      </c>
      <c r="H26" s="16"/>
      <c r="I26" s="21" t="s">
        <v>876</v>
      </c>
      <c r="J26" s="28">
        <f>[2]G7!$D12</f>
        <v>1.29</v>
      </c>
      <c r="K26" s="28">
        <v>0.2</v>
      </c>
      <c r="L26" s="28">
        <v>0.4</v>
      </c>
      <c r="M26" s="28">
        <v>0.2</v>
      </c>
      <c r="N26" s="28">
        <v>0.4</v>
      </c>
      <c r="O26" s="16"/>
      <c r="P26" s="21" t="s">
        <v>876</v>
      </c>
      <c r="Q26" s="20">
        <f t="shared" si="26"/>
        <v>8.3150000000000002E-2</v>
      </c>
      <c r="R26" s="20">
        <f t="shared" si="18"/>
        <v>-1.4100000000000001E-2</v>
      </c>
      <c r="S26" s="20">
        <f t="shared" si="19"/>
        <v>-2.6500000000000003E-2</v>
      </c>
      <c r="T26" s="20">
        <f t="shared" si="20"/>
        <v>1.7000000000000001E-3</v>
      </c>
      <c r="U26" s="20">
        <f t="shared" si="21"/>
        <v>1.03E-2</v>
      </c>
      <c r="V26" s="22"/>
      <c r="W26" s="21" t="s">
        <v>876</v>
      </c>
      <c r="X26" s="20">
        <f t="shared" si="27"/>
        <v>9.6049999999999996E-2</v>
      </c>
      <c r="Y26" s="20">
        <f t="shared" si="22"/>
        <v>-1.21E-2</v>
      </c>
      <c r="Z26" s="20">
        <f t="shared" si="23"/>
        <v>-2.2499999999999999E-2</v>
      </c>
      <c r="AA26" s="20">
        <f t="shared" si="24"/>
        <v>3.7000000000000002E-3</v>
      </c>
      <c r="AB26" s="20">
        <f t="shared" si="25"/>
        <v>1.43E-2</v>
      </c>
    </row>
    <row r="27" spans="1:28" x14ac:dyDescent="0.25">
      <c r="A27" s="21"/>
      <c r="B27" s="21"/>
      <c r="C27" s="25"/>
      <c r="D27" s="25"/>
      <c r="E27" s="25"/>
      <c r="F27" s="25"/>
      <c r="G27" s="25"/>
      <c r="H27" s="16"/>
      <c r="I27" s="21"/>
      <c r="J27" s="28"/>
      <c r="K27" s="28"/>
      <c r="L27" s="28"/>
      <c r="M27" s="28"/>
      <c r="N27" s="28"/>
      <c r="O27" s="16"/>
      <c r="P27" s="21"/>
      <c r="Q27" s="20"/>
      <c r="R27" s="20"/>
      <c r="S27" s="20"/>
      <c r="T27" s="20"/>
      <c r="U27" s="20"/>
      <c r="V27" s="22"/>
      <c r="W27" s="21"/>
      <c r="X27" s="20"/>
      <c r="Y27" s="20"/>
      <c r="Z27" s="20"/>
      <c r="AA27" s="20"/>
      <c r="AB27" s="20"/>
    </row>
    <row r="28" spans="1:28" x14ac:dyDescent="0.25">
      <c r="A28" s="16"/>
      <c r="B28" s="16"/>
      <c r="C28" s="26"/>
      <c r="D28" s="26"/>
      <c r="E28" s="26"/>
      <c r="F28" s="26"/>
      <c r="G28" s="26"/>
      <c r="H28" s="16"/>
      <c r="I28" s="16"/>
      <c r="J28" s="16"/>
      <c r="K28" s="16"/>
      <c r="L28" s="16"/>
      <c r="M28" s="16"/>
      <c r="N28" s="16"/>
      <c r="O28" s="16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 x14ac:dyDescent="0.25">
      <c r="A29" s="7" t="s">
        <v>70</v>
      </c>
      <c r="B29" s="7" t="s">
        <v>327</v>
      </c>
      <c r="C29" s="24" t="s">
        <v>311</v>
      </c>
      <c r="D29" s="24" t="s">
        <v>312</v>
      </c>
      <c r="E29" s="24" t="s">
        <v>313</v>
      </c>
      <c r="F29" s="24" t="s">
        <v>314</v>
      </c>
      <c r="G29" s="24" t="s">
        <v>315</v>
      </c>
      <c r="H29" s="8"/>
      <c r="I29" s="7" t="s">
        <v>328</v>
      </c>
      <c r="J29" s="7" t="s">
        <v>311</v>
      </c>
      <c r="K29" s="7" t="s">
        <v>312</v>
      </c>
      <c r="L29" s="7" t="s">
        <v>313</v>
      </c>
      <c r="M29" s="7" t="s">
        <v>314</v>
      </c>
      <c r="N29" s="7" t="s">
        <v>315</v>
      </c>
      <c r="O29" s="16"/>
      <c r="P29" s="7" t="s">
        <v>69</v>
      </c>
      <c r="Q29" s="7" t="s">
        <v>311</v>
      </c>
      <c r="R29" s="7" t="s">
        <v>312</v>
      </c>
      <c r="S29" s="7" t="s">
        <v>313</v>
      </c>
      <c r="T29" s="7" t="s">
        <v>314</v>
      </c>
      <c r="U29" s="7" t="s">
        <v>315</v>
      </c>
      <c r="V29" s="22"/>
      <c r="W29" s="7" t="s">
        <v>318</v>
      </c>
      <c r="X29" s="7" t="s">
        <v>311</v>
      </c>
      <c r="Y29" s="7" t="s">
        <v>312</v>
      </c>
      <c r="Z29" s="7" t="s">
        <v>313</v>
      </c>
      <c r="AA29" s="7" t="s">
        <v>314</v>
      </c>
      <c r="AB29" s="7" t="s">
        <v>315</v>
      </c>
    </row>
    <row r="30" spans="1:28" x14ac:dyDescent="0.25">
      <c r="A30" s="21" t="s">
        <v>338</v>
      </c>
      <c r="B30" s="21" t="s">
        <v>5</v>
      </c>
      <c r="C30" s="25">
        <f>[1]USDCAD!$B15</f>
        <v>5.3600000000000002E-2</v>
      </c>
      <c r="D30" s="25">
        <f>[1]USDCAD!$F15</f>
        <v>2.9999999999999997E-4</v>
      </c>
      <c r="E30" s="25">
        <f>[1]USDCAD!$E15</f>
        <v>5.9999999999999995E-4</v>
      </c>
      <c r="F30" s="25">
        <f>[1]USDCAD!$D15</f>
        <v>8.9999999999999998E-4</v>
      </c>
      <c r="G30" s="25">
        <f>[1]USDCAD!$C15</f>
        <v>3.0999999999999999E-3</v>
      </c>
      <c r="H30" s="8"/>
      <c r="I30" s="21" t="s">
        <v>5</v>
      </c>
      <c r="J30" s="28">
        <f>[2]G7!$C14</f>
        <v>2.64</v>
      </c>
      <c r="K30" s="28">
        <v>0.9</v>
      </c>
      <c r="L30" s="28">
        <v>1.8</v>
      </c>
      <c r="M30" s="28">
        <v>1.3</v>
      </c>
      <c r="N30" s="28">
        <v>2.6</v>
      </c>
      <c r="O30" s="16"/>
      <c r="P30" s="21" t="s">
        <v>5</v>
      </c>
      <c r="Q30" s="20">
        <f>(C30-J30/200)-0.002</f>
        <v>3.8400000000000004E-2</v>
      </c>
      <c r="R30" s="20">
        <f t="shared" ref="R30:R39" si="28">D30-K30/200</f>
        <v>-4.2000000000000006E-3</v>
      </c>
      <c r="S30" s="20">
        <f t="shared" ref="S30:S39" si="29">E30-L30/200</f>
        <v>-8.4000000000000012E-3</v>
      </c>
      <c r="T30" s="20">
        <f t="shared" ref="T30:T39" si="30">F30-M30/200</f>
        <v>-5.6000000000000008E-3</v>
      </c>
      <c r="U30" s="20">
        <f t="shared" ref="U30:U39" si="31">G30-N30/200</f>
        <v>-9.9000000000000008E-3</v>
      </c>
      <c r="V30" s="22"/>
      <c r="W30" s="21" t="s">
        <v>5</v>
      </c>
      <c r="X30" s="20">
        <f>(C30+J30/200)-0.002</f>
        <v>6.4799999999999996E-2</v>
      </c>
      <c r="Y30" s="20">
        <f t="shared" ref="Y30:Y39" si="32">D30+K30/200</f>
        <v>4.8000000000000004E-3</v>
      </c>
      <c r="Z30" s="20">
        <f t="shared" ref="Z30:Z39" si="33">E30+L30/200</f>
        <v>9.6000000000000009E-3</v>
      </c>
      <c r="AA30" s="20">
        <f t="shared" ref="AA30:AA39" si="34">F30+M30/200</f>
        <v>7.4000000000000003E-3</v>
      </c>
      <c r="AB30" s="20">
        <f t="shared" ref="AB30:AB39" si="35">G30+N30/200</f>
        <v>1.61E-2</v>
      </c>
    </row>
    <row r="31" spans="1:28" x14ac:dyDescent="0.25">
      <c r="A31" s="21" t="s">
        <v>338</v>
      </c>
      <c r="B31" s="21" t="s">
        <v>6</v>
      </c>
      <c r="C31" s="25">
        <f>[1]USDCAD!$B16</f>
        <v>4.9200000000000001E-2</v>
      </c>
      <c r="D31" s="25">
        <f>[1]USDCAD!$F16</f>
        <v>2.9999999999999997E-4</v>
      </c>
      <c r="E31" s="25">
        <f>[1]USDCAD!$E16</f>
        <v>5.9999999999999995E-4</v>
      </c>
      <c r="F31" s="25">
        <f>[1]USDCAD!$D16</f>
        <v>1.1999999999999999E-3</v>
      </c>
      <c r="G31" s="25">
        <f>[1]USDCAD!$C16</f>
        <v>3.5999999999999999E-3</v>
      </c>
      <c r="H31" s="8"/>
      <c r="I31" s="21" t="s">
        <v>6</v>
      </c>
      <c r="J31" s="28">
        <f>[2]G7!$C15</f>
        <v>1.23</v>
      </c>
      <c r="K31" s="28">
        <v>0.4</v>
      </c>
      <c r="L31" s="28">
        <v>0.8</v>
      </c>
      <c r="M31" s="28">
        <v>0.4</v>
      </c>
      <c r="N31" s="28">
        <v>0.8</v>
      </c>
      <c r="O31" s="16"/>
      <c r="P31" s="21" t="s">
        <v>6</v>
      </c>
      <c r="Q31" s="20">
        <f t="shared" ref="Q31:Q40" si="36">(C31-J31/200)-0.002</f>
        <v>4.1049999999999996E-2</v>
      </c>
      <c r="R31" s="20">
        <f t="shared" si="28"/>
        <v>-1.7000000000000001E-3</v>
      </c>
      <c r="S31" s="20">
        <f t="shared" si="29"/>
        <v>-3.4000000000000002E-3</v>
      </c>
      <c r="T31" s="20">
        <f t="shared" si="30"/>
        <v>-8.0000000000000015E-4</v>
      </c>
      <c r="U31" s="20">
        <f t="shared" si="31"/>
        <v>-4.0000000000000018E-4</v>
      </c>
      <c r="V31" s="22"/>
      <c r="W31" s="21" t="s">
        <v>6</v>
      </c>
      <c r="X31" s="20">
        <f t="shared" ref="X31:X40" si="37">(C31+J31/200)-0.002</f>
        <v>5.3350000000000002E-2</v>
      </c>
      <c r="Y31" s="20">
        <f t="shared" si="32"/>
        <v>2.3E-3</v>
      </c>
      <c r="Z31" s="20">
        <f t="shared" si="33"/>
        <v>4.5999999999999999E-3</v>
      </c>
      <c r="AA31" s="20">
        <f t="shared" si="34"/>
        <v>3.1999999999999997E-3</v>
      </c>
      <c r="AB31" s="20">
        <f t="shared" si="35"/>
        <v>7.6E-3</v>
      </c>
    </row>
    <row r="32" spans="1:28" x14ac:dyDescent="0.25">
      <c r="A32" s="21" t="s">
        <v>338</v>
      </c>
      <c r="B32" s="21" t="s">
        <v>7</v>
      </c>
      <c r="C32" s="25">
        <f>[1]USDCAD!$B17</f>
        <v>4.8499999999999995E-2</v>
      </c>
      <c r="D32" s="25">
        <f>[1]USDCAD!$F17</f>
        <v>2.9999999999999997E-4</v>
      </c>
      <c r="E32" s="25">
        <f>[1]USDCAD!$E17</f>
        <v>7.000000000000001E-4</v>
      </c>
      <c r="F32" s="25">
        <f>[1]USDCAD!$D17</f>
        <v>1.4000000000000002E-3</v>
      </c>
      <c r="G32" s="25">
        <f>[1]USDCAD!$C17</f>
        <v>4.3E-3</v>
      </c>
      <c r="H32" s="8"/>
      <c r="I32" s="21" t="s">
        <v>7</v>
      </c>
      <c r="J32" s="28">
        <f>[2]G7!$C16</f>
        <v>0.73</v>
      </c>
      <c r="K32" s="28">
        <v>0.2</v>
      </c>
      <c r="L32" s="28">
        <v>0.4</v>
      </c>
      <c r="M32" s="28">
        <v>0.2</v>
      </c>
      <c r="N32" s="28">
        <v>0.4</v>
      </c>
      <c r="O32" s="16"/>
      <c r="P32" s="21" t="s">
        <v>7</v>
      </c>
      <c r="Q32" s="20">
        <f t="shared" si="36"/>
        <v>4.2849999999999992E-2</v>
      </c>
      <c r="R32" s="20">
        <f t="shared" si="28"/>
        <v>-7.000000000000001E-4</v>
      </c>
      <c r="S32" s="20">
        <f t="shared" si="29"/>
        <v>-1.2999999999999999E-3</v>
      </c>
      <c r="T32" s="20">
        <f t="shared" si="30"/>
        <v>4.0000000000000018E-4</v>
      </c>
      <c r="U32" s="20">
        <f t="shared" si="31"/>
        <v>2.3E-3</v>
      </c>
      <c r="V32" s="22"/>
      <c r="W32" s="21" t="s">
        <v>7</v>
      </c>
      <c r="X32" s="20">
        <f t="shared" si="37"/>
        <v>5.0149999999999993E-2</v>
      </c>
      <c r="Y32" s="20">
        <f t="shared" si="32"/>
        <v>1.2999999999999999E-3</v>
      </c>
      <c r="Z32" s="20">
        <f t="shared" si="33"/>
        <v>2.7000000000000001E-3</v>
      </c>
      <c r="AA32" s="20">
        <f t="shared" si="34"/>
        <v>2.4000000000000002E-3</v>
      </c>
      <c r="AB32" s="20">
        <f t="shared" si="35"/>
        <v>6.3E-3</v>
      </c>
    </row>
    <row r="33" spans="1:28" x14ac:dyDescent="0.25">
      <c r="A33" s="21" t="s">
        <v>338</v>
      </c>
      <c r="B33" s="21" t="s">
        <v>8</v>
      </c>
      <c r="C33" s="25">
        <f>[1]USDCAD!$B18</f>
        <v>4.6399999999999997E-2</v>
      </c>
      <c r="D33" s="25">
        <f>[1]USDCAD!$F18</f>
        <v>-2.9999999999999997E-4</v>
      </c>
      <c r="E33" s="25">
        <f>[1]USDCAD!$E18</f>
        <v>-4.0000000000000002E-4</v>
      </c>
      <c r="F33" s="25">
        <f>[1]USDCAD!$D18</f>
        <v>1.1999999999999999E-3</v>
      </c>
      <c r="G33" s="25">
        <f>[1]USDCAD!$C18</f>
        <v>4.0000000000000001E-3</v>
      </c>
      <c r="H33" s="8"/>
      <c r="I33" s="21" t="s">
        <v>8</v>
      </c>
      <c r="J33" s="28">
        <f>[2]G7!$C17</f>
        <v>0.44</v>
      </c>
      <c r="K33" s="28">
        <v>0.2</v>
      </c>
      <c r="L33" s="28">
        <v>0.4</v>
      </c>
      <c r="M33" s="28">
        <v>0.2</v>
      </c>
      <c r="N33" s="28">
        <v>0.4</v>
      </c>
      <c r="O33" s="16"/>
      <c r="P33" s="21" t="s">
        <v>8</v>
      </c>
      <c r="Q33" s="20">
        <f t="shared" si="36"/>
        <v>4.2199999999999994E-2</v>
      </c>
      <c r="R33" s="20">
        <f t="shared" si="28"/>
        <v>-1.2999999999999999E-3</v>
      </c>
      <c r="S33" s="20">
        <f t="shared" si="29"/>
        <v>-2.4000000000000002E-3</v>
      </c>
      <c r="T33" s="20">
        <f t="shared" si="30"/>
        <v>1.9999999999999987E-4</v>
      </c>
      <c r="U33" s="20">
        <f t="shared" si="31"/>
        <v>2E-3</v>
      </c>
      <c r="V33" s="22"/>
      <c r="W33" s="21" t="s">
        <v>8</v>
      </c>
      <c r="X33" s="20">
        <f t="shared" si="37"/>
        <v>4.6599999999999996E-2</v>
      </c>
      <c r="Y33" s="20">
        <f t="shared" si="32"/>
        <v>7.000000000000001E-4</v>
      </c>
      <c r="Z33" s="20">
        <f t="shared" si="33"/>
        <v>1.6000000000000001E-3</v>
      </c>
      <c r="AA33" s="20">
        <f t="shared" si="34"/>
        <v>2.1999999999999997E-3</v>
      </c>
      <c r="AB33" s="20">
        <f t="shared" si="35"/>
        <v>6.0000000000000001E-3</v>
      </c>
    </row>
    <row r="34" spans="1:28" x14ac:dyDescent="0.25">
      <c r="A34" s="21" t="s">
        <v>338</v>
      </c>
      <c r="B34" s="21" t="s">
        <v>9</v>
      </c>
      <c r="C34" s="25">
        <f>[1]USDCAD!$B19</f>
        <v>4.6300000000000001E-2</v>
      </c>
      <c r="D34" s="25">
        <f>[1]USDCAD!$F19</f>
        <v>-4.0000000000000002E-4</v>
      </c>
      <c r="E34" s="25">
        <f>[1]USDCAD!$E19</f>
        <v>-5.9999999999999995E-4</v>
      </c>
      <c r="F34" s="25">
        <f>[1]USDCAD!$D19</f>
        <v>1.4000000000000002E-3</v>
      </c>
      <c r="G34" s="25">
        <f>[1]USDCAD!$C19</f>
        <v>4.5000000000000005E-3</v>
      </c>
      <c r="H34" s="8"/>
      <c r="I34" s="21" t="s">
        <v>9</v>
      </c>
      <c r="J34" s="28">
        <f>[2]G7!$C18</f>
        <v>0.41000000000000003</v>
      </c>
      <c r="K34" s="28">
        <v>0.2</v>
      </c>
      <c r="L34" s="28">
        <v>0.4</v>
      </c>
      <c r="M34" s="28">
        <v>0.2</v>
      </c>
      <c r="N34" s="28">
        <v>0.4</v>
      </c>
      <c r="O34" s="16"/>
      <c r="P34" s="21" t="s">
        <v>9</v>
      </c>
      <c r="Q34" s="20">
        <f t="shared" si="36"/>
        <v>4.2249999999999996E-2</v>
      </c>
      <c r="R34" s="20">
        <f t="shared" si="28"/>
        <v>-1.4E-3</v>
      </c>
      <c r="S34" s="20">
        <f t="shared" si="29"/>
        <v>-2.5999999999999999E-3</v>
      </c>
      <c r="T34" s="20">
        <f t="shared" si="30"/>
        <v>4.0000000000000018E-4</v>
      </c>
      <c r="U34" s="20">
        <f t="shared" si="31"/>
        <v>2.5000000000000005E-3</v>
      </c>
      <c r="V34" s="22"/>
      <c r="W34" s="21" t="s">
        <v>9</v>
      </c>
      <c r="X34" s="20">
        <f t="shared" si="37"/>
        <v>4.6350000000000002E-2</v>
      </c>
      <c r="Y34" s="20">
        <f t="shared" si="32"/>
        <v>6.0000000000000006E-4</v>
      </c>
      <c r="Z34" s="20">
        <f t="shared" si="33"/>
        <v>1.4000000000000002E-3</v>
      </c>
      <c r="AA34" s="20">
        <f t="shared" si="34"/>
        <v>2.4000000000000002E-3</v>
      </c>
      <c r="AB34" s="20">
        <f t="shared" si="35"/>
        <v>6.5000000000000006E-3</v>
      </c>
    </row>
    <row r="35" spans="1:28" x14ac:dyDescent="0.25">
      <c r="A35" s="21" t="s">
        <v>338</v>
      </c>
      <c r="B35" s="21" t="s">
        <v>10</v>
      </c>
      <c r="C35" s="25">
        <f>[1]USDCAD!$B20</f>
        <v>4.6500000000000007E-2</v>
      </c>
      <c r="D35" s="25">
        <f>[1]USDCAD!$F20</f>
        <v>-4.0000000000000002E-4</v>
      </c>
      <c r="E35" s="25">
        <f>[1]USDCAD!$E20</f>
        <v>-7.000000000000001E-4</v>
      </c>
      <c r="F35" s="25">
        <f>[1]USDCAD!$D20</f>
        <v>1.5E-3</v>
      </c>
      <c r="G35" s="25">
        <f>[1]USDCAD!$C20</f>
        <v>5.0000000000000001E-3</v>
      </c>
      <c r="H35" s="8"/>
      <c r="I35" s="21" t="s">
        <v>10</v>
      </c>
      <c r="J35" s="28">
        <f>[2]G7!$C19</f>
        <v>0.4</v>
      </c>
      <c r="K35" s="28">
        <v>0.2</v>
      </c>
      <c r="L35" s="28">
        <v>0.4</v>
      </c>
      <c r="M35" s="28">
        <v>0.2</v>
      </c>
      <c r="N35" s="28">
        <v>0.4</v>
      </c>
      <c r="O35" s="16"/>
      <c r="P35" s="21" t="s">
        <v>10</v>
      </c>
      <c r="Q35" s="20">
        <f t="shared" si="36"/>
        <v>4.2500000000000003E-2</v>
      </c>
      <c r="R35" s="20">
        <f t="shared" si="28"/>
        <v>-1.4E-3</v>
      </c>
      <c r="S35" s="20">
        <f t="shared" si="29"/>
        <v>-2.7000000000000001E-3</v>
      </c>
      <c r="T35" s="20">
        <f t="shared" si="30"/>
        <v>5.0000000000000001E-4</v>
      </c>
      <c r="U35" s="20">
        <f t="shared" si="31"/>
        <v>3.0000000000000001E-3</v>
      </c>
      <c r="V35" s="22"/>
      <c r="W35" s="21" t="s">
        <v>10</v>
      </c>
      <c r="X35" s="20">
        <f t="shared" si="37"/>
        <v>4.6500000000000007E-2</v>
      </c>
      <c r="Y35" s="20">
        <f t="shared" si="32"/>
        <v>6.0000000000000006E-4</v>
      </c>
      <c r="Z35" s="20">
        <f t="shared" si="33"/>
        <v>1.2999999999999999E-3</v>
      </c>
      <c r="AA35" s="20">
        <f t="shared" si="34"/>
        <v>2.5000000000000001E-3</v>
      </c>
      <c r="AB35" s="20">
        <f t="shared" si="35"/>
        <v>7.0000000000000001E-3</v>
      </c>
    </row>
    <row r="36" spans="1:28" x14ac:dyDescent="0.25">
      <c r="A36" s="21" t="s">
        <v>338</v>
      </c>
      <c r="B36" s="21" t="s">
        <v>11</v>
      </c>
      <c r="C36" s="25">
        <f>[1]USDCAD!$B21</f>
        <v>4.7599999999999996E-2</v>
      </c>
      <c r="D36" s="25">
        <f>[1]USDCAD!$F21</f>
        <v>2.0000000000000001E-4</v>
      </c>
      <c r="E36" s="25">
        <f>[1]USDCAD!$E21</f>
        <v>5.0000000000000001E-4</v>
      </c>
      <c r="F36" s="25">
        <f>[1]USDCAD!$D21</f>
        <v>1.8E-3</v>
      </c>
      <c r="G36" s="25">
        <f>[1]USDCAD!$C21</f>
        <v>6.0000000000000001E-3</v>
      </c>
      <c r="H36" s="8"/>
      <c r="I36" s="21" t="s">
        <v>11</v>
      </c>
      <c r="J36" s="28">
        <f>[2]G7!$C20</f>
        <v>0.36</v>
      </c>
      <c r="K36" s="28">
        <v>0.2</v>
      </c>
      <c r="L36" s="28">
        <v>0.4</v>
      </c>
      <c r="M36" s="28">
        <v>0.2</v>
      </c>
      <c r="N36" s="28">
        <v>0.4</v>
      </c>
      <c r="O36" s="16"/>
      <c r="P36" s="21" t="s">
        <v>11</v>
      </c>
      <c r="Q36" s="20">
        <f t="shared" si="36"/>
        <v>4.3799999999999992E-2</v>
      </c>
      <c r="R36" s="20">
        <f t="shared" si="28"/>
        <v>-8.0000000000000004E-4</v>
      </c>
      <c r="S36" s="20">
        <f t="shared" si="29"/>
        <v>-1.5E-3</v>
      </c>
      <c r="T36" s="20">
        <f t="shared" si="30"/>
        <v>7.9999999999999993E-4</v>
      </c>
      <c r="U36" s="20">
        <f t="shared" si="31"/>
        <v>4.0000000000000001E-3</v>
      </c>
      <c r="V36" s="22"/>
      <c r="W36" s="21" t="s">
        <v>11</v>
      </c>
      <c r="X36" s="20">
        <f t="shared" si="37"/>
        <v>4.7399999999999998E-2</v>
      </c>
      <c r="Y36" s="20">
        <f t="shared" si="32"/>
        <v>1.2000000000000001E-3</v>
      </c>
      <c r="Z36" s="20">
        <f t="shared" si="33"/>
        <v>2.5000000000000001E-3</v>
      </c>
      <c r="AA36" s="20">
        <f t="shared" si="34"/>
        <v>2.8E-3</v>
      </c>
      <c r="AB36" s="20">
        <f t="shared" si="35"/>
        <v>8.0000000000000002E-3</v>
      </c>
    </row>
    <row r="37" spans="1:28" x14ac:dyDescent="0.25">
      <c r="A37" s="21" t="s">
        <v>338</v>
      </c>
      <c r="B37" s="21" t="s">
        <v>12</v>
      </c>
      <c r="C37" s="25">
        <f>[1]USDCAD!$B22</f>
        <v>4.9599999999999998E-2</v>
      </c>
      <c r="D37" s="25">
        <f>[1]USDCAD!$F22</f>
        <v>2.0000000000000001E-4</v>
      </c>
      <c r="E37" s="25">
        <f>[1]USDCAD!$E22</f>
        <v>5.9999999999999995E-4</v>
      </c>
      <c r="F37" s="25">
        <f>[1]USDCAD!$D22</f>
        <v>2E-3</v>
      </c>
      <c r="G37" s="25">
        <f>[1]USDCAD!$C22</f>
        <v>6.8999999999999999E-3</v>
      </c>
      <c r="H37" s="8"/>
      <c r="I37" s="21" t="s">
        <v>12</v>
      </c>
      <c r="J37" s="28">
        <f>[2]G7!$C21</f>
        <v>0.36</v>
      </c>
      <c r="K37" s="28">
        <v>0.2</v>
      </c>
      <c r="L37" s="28">
        <v>0.4</v>
      </c>
      <c r="M37" s="28">
        <v>0.2</v>
      </c>
      <c r="N37" s="28">
        <v>0.4</v>
      </c>
      <c r="O37" s="16"/>
      <c r="P37" s="21" t="s">
        <v>12</v>
      </c>
      <c r="Q37" s="20">
        <f t="shared" si="36"/>
        <v>4.5799999999999993E-2</v>
      </c>
      <c r="R37" s="20">
        <f t="shared" si="28"/>
        <v>-8.0000000000000004E-4</v>
      </c>
      <c r="S37" s="20">
        <f t="shared" si="29"/>
        <v>-1.4000000000000002E-3</v>
      </c>
      <c r="T37" s="20">
        <f t="shared" si="30"/>
        <v>1E-3</v>
      </c>
      <c r="U37" s="20">
        <f t="shared" si="31"/>
        <v>4.8999999999999998E-3</v>
      </c>
      <c r="V37" s="22"/>
      <c r="W37" s="21" t="s">
        <v>12</v>
      </c>
      <c r="X37" s="20">
        <f t="shared" si="37"/>
        <v>4.9399999999999999E-2</v>
      </c>
      <c r="Y37" s="20">
        <f t="shared" si="32"/>
        <v>1.2000000000000001E-3</v>
      </c>
      <c r="Z37" s="20">
        <f t="shared" si="33"/>
        <v>2.5999999999999999E-3</v>
      </c>
      <c r="AA37" s="20">
        <f t="shared" si="34"/>
        <v>3.0000000000000001E-3</v>
      </c>
      <c r="AB37" s="20">
        <f t="shared" si="35"/>
        <v>8.8999999999999999E-3</v>
      </c>
    </row>
    <row r="38" spans="1:28" x14ac:dyDescent="0.25">
      <c r="A38" s="21" t="s">
        <v>338</v>
      </c>
      <c r="B38" s="21" t="s">
        <v>13</v>
      </c>
      <c r="C38" s="25">
        <f>[1]USDCAD!$B23</f>
        <v>5.1699999999999996E-2</v>
      </c>
      <c r="D38" s="25">
        <f>[1]USDCAD!$F23</f>
        <v>2.0000000000000001E-4</v>
      </c>
      <c r="E38" s="25">
        <f>[1]USDCAD!$E23</f>
        <v>8.0000000000000004E-4</v>
      </c>
      <c r="F38" s="25">
        <f>[1]USDCAD!$D23</f>
        <v>2.2000000000000001E-3</v>
      </c>
      <c r="G38" s="25">
        <f>[1]USDCAD!$C23</f>
        <v>7.8000000000000005E-3</v>
      </c>
      <c r="H38" s="8"/>
      <c r="I38" s="21" t="s">
        <v>13</v>
      </c>
      <c r="J38" s="28">
        <f>[2]G7!$C22</f>
        <v>0.35</v>
      </c>
      <c r="K38" s="28">
        <v>0.2</v>
      </c>
      <c r="L38" s="28">
        <v>0.4</v>
      </c>
      <c r="M38" s="28">
        <v>0.2</v>
      </c>
      <c r="N38" s="28">
        <v>0.4</v>
      </c>
      <c r="O38" s="16"/>
      <c r="P38" s="21" t="s">
        <v>13</v>
      </c>
      <c r="Q38" s="20">
        <f t="shared" si="36"/>
        <v>4.7949999999999993E-2</v>
      </c>
      <c r="R38" s="20">
        <f t="shared" si="28"/>
        <v>-8.0000000000000004E-4</v>
      </c>
      <c r="S38" s="20">
        <f t="shared" si="29"/>
        <v>-1.2000000000000001E-3</v>
      </c>
      <c r="T38" s="20">
        <f t="shared" si="30"/>
        <v>1.2000000000000001E-3</v>
      </c>
      <c r="U38" s="20">
        <f t="shared" si="31"/>
        <v>5.8000000000000005E-3</v>
      </c>
      <c r="V38" s="22"/>
      <c r="W38" s="21" t="s">
        <v>13</v>
      </c>
      <c r="X38" s="20">
        <f t="shared" si="37"/>
        <v>5.1449999999999996E-2</v>
      </c>
      <c r="Y38" s="20">
        <f t="shared" si="32"/>
        <v>1.2000000000000001E-3</v>
      </c>
      <c r="Z38" s="20">
        <f t="shared" si="33"/>
        <v>2.8E-3</v>
      </c>
      <c r="AA38" s="20">
        <f t="shared" si="34"/>
        <v>3.2000000000000002E-3</v>
      </c>
      <c r="AB38" s="20">
        <f t="shared" si="35"/>
        <v>9.7999999999999997E-3</v>
      </c>
    </row>
    <row r="39" spans="1:28" x14ac:dyDescent="0.25">
      <c r="A39" s="21" t="s">
        <v>338</v>
      </c>
      <c r="B39" s="21" t="s">
        <v>14</v>
      </c>
      <c r="C39" s="25">
        <f>[1]USDCAD!$B24</f>
        <v>5.4000000000000006E-2</v>
      </c>
      <c r="D39" s="25">
        <f>[1]USDCAD!$F24</f>
        <v>2.9999999999999997E-4</v>
      </c>
      <c r="E39" s="25">
        <f>[1]USDCAD!$E24</f>
        <v>1.1000000000000001E-3</v>
      </c>
      <c r="F39" s="25">
        <f>[1]USDCAD!$D24</f>
        <v>2.5000000000000001E-3</v>
      </c>
      <c r="G39" s="25">
        <f>[1]USDCAD!$C24</f>
        <v>9.300000000000001E-3</v>
      </c>
      <c r="H39" s="16"/>
      <c r="I39" s="21" t="s">
        <v>14</v>
      </c>
      <c r="J39" s="28">
        <f>[2]G7!$C23</f>
        <v>0.38</v>
      </c>
      <c r="K39" s="28">
        <v>0.2</v>
      </c>
      <c r="L39" s="28">
        <v>0.4</v>
      </c>
      <c r="M39" s="28">
        <v>0.2</v>
      </c>
      <c r="N39" s="28">
        <v>0.4</v>
      </c>
      <c r="O39" s="16"/>
      <c r="P39" s="21" t="s">
        <v>14</v>
      </c>
      <c r="Q39" s="20">
        <f t="shared" si="36"/>
        <v>5.0100000000000006E-2</v>
      </c>
      <c r="R39" s="20">
        <f t="shared" si="28"/>
        <v>-7.000000000000001E-4</v>
      </c>
      <c r="S39" s="20">
        <f t="shared" si="29"/>
        <v>-8.9999999999999998E-4</v>
      </c>
      <c r="T39" s="20">
        <f t="shared" si="30"/>
        <v>1.5E-3</v>
      </c>
      <c r="U39" s="20">
        <f t="shared" si="31"/>
        <v>7.3000000000000009E-3</v>
      </c>
      <c r="V39" s="22"/>
      <c r="W39" s="21" t="s">
        <v>14</v>
      </c>
      <c r="X39" s="20">
        <f t="shared" si="37"/>
        <v>5.3900000000000003E-2</v>
      </c>
      <c r="Y39" s="20">
        <f t="shared" si="32"/>
        <v>1.2999999999999999E-3</v>
      </c>
      <c r="Z39" s="20">
        <f t="shared" si="33"/>
        <v>3.1000000000000003E-3</v>
      </c>
      <c r="AA39" s="20">
        <f t="shared" si="34"/>
        <v>3.5000000000000001E-3</v>
      </c>
      <c r="AB39" s="20">
        <f t="shared" si="35"/>
        <v>1.1300000000000001E-2</v>
      </c>
    </row>
    <row r="40" spans="1:28" x14ac:dyDescent="0.25">
      <c r="A40" s="21" t="s">
        <v>338</v>
      </c>
      <c r="B40" s="21" t="s">
        <v>876</v>
      </c>
      <c r="C40" s="25">
        <f>[1]USDCAD!$B25</f>
        <v>5.6299999999999996E-2</v>
      </c>
      <c r="D40" s="25">
        <f>[1]USDCAD!$F25</f>
        <v>1E-3</v>
      </c>
      <c r="E40" s="25">
        <f>[1]USDCAD!$E25</f>
        <v>2.5000000000000001E-3</v>
      </c>
      <c r="F40" s="25">
        <f>[1]USDCAD!$D25</f>
        <v>2.5000000000000001E-3</v>
      </c>
      <c r="G40" s="25">
        <f>[1]USDCAD!$C25</f>
        <v>9.3999999999999986E-3</v>
      </c>
      <c r="H40" s="16"/>
      <c r="I40" s="21" t="s">
        <v>876</v>
      </c>
      <c r="J40" s="28">
        <f>[2]G7!$C24</f>
        <v>0.37</v>
      </c>
      <c r="K40" s="28">
        <v>0.2</v>
      </c>
      <c r="L40" s="28">
        <v>0.4</v>
      </c>
      <c r="M40" s="28">
        <v>0.2</v>
      </c>
      <c r="N40" s="28">
        <v>0.4</v>
      </c>
      <c r="O40" s="16"/>
      <c r="P40" s="21" t="s">
        <v>876</v>
      </c>
      <c r="Q40" s="20">
        <f t="shared" si="36"/>
        <v>5.2449999999999997E-2</v>
      </c>
      <c r="R40" s="20">
        <f t="shared" ref="R40" si="38">D40-K40/200</f>
        <v>0</v>
      </c>
      <c r="S40" s="20">
        <f t="shared" ref="S40" si="39">E40-L40/200</f>
        <v>5.0000000000000001E-4</v>
      </c>
      <c r="T40" s="20">
        <f t="shared" ref="T40" si="40">F40-M40/200</f>
        <v>1.5E-3</v>
      </c>
      <c r="U40" s="20">
        <f t="shared" ref="U40" si="41">G40-N40/200</f>
        <v>7.3999999999999986E-3</v>
      </c>
      <c r="V40" s="22"/>
      <c r="W40" s="21" t="s">
        <v>876</v>
      </c>
      <c r="X40" s="20">
        <f t="shared" si="37"/>
        <v>5.6149999999999992E-2</v>
      </c>
      <c r="Y40" s="20">
        <f t="shared" ref="Y40" si="42">D40+K40/200</f>
        <v>2E-3</v>
      </c>
      <c r="Z40" s="20">
        <f t="shared" ref="Z40" si="43">E40+L40/200</f>
        <v>4.5000000000000005E-3</v>
      </c>
      <c r="AA40" s="20">
        <f t="shared" ref="AA40" si="44">F40+M40/200</f>
        <v>3.5000000000000001E-3</v>
      </c>
      <c r="AB40" s="20">
        <f t="shared" ref="AB40" si="45">G40+N40/200</f>
        <v>1.1399999999999999E-2</v>
      </c>
    </row>
    <row r="41" spans="1:28" x14ac:dyDescent="0.25">
      <c r="A41" s="16"/>
      <c r="B41" s="16"/>
      <c r="C41" s="26"/>
      <c r="D41" s="26"/>
      <c r="E41" s="26"/>
      <c r="F41" s="26"/>
      <c r="G41" s="26"/>
      <c r="H41" s="16"/>
      <c r="I41" s="16"/>
      <c r="J41" s="16"/>
      <c r="K41" s="16"/>
      <c r="L41" s="16"/>
      <c r="M41" s="16"/>
      <c r="N41" s="16"/>
      <c r="O41" s="16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1:28" x14ac:dyDescent="0.25">
      <c r="A42" s="16"/>
      <c r="B42" s="16"/>
      <c r="C42" s="26"/>
      <c r="D42" s="26"/>
      <c r="E42" s="26"/>
      <c r="F42" s="26"/>
      <c r="G42" s="26"/>
      <c r="H42" s="16"/>
      <c r="I42" s="16"/>
      <c r="J42" s="16"/>
      <c r="K42" s="16"/>
      <c r="L42" s="16"/>
      <c r="M42" s="16"/>
      <c r="N42" s="16"/>
      <c r="O42" s="16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1:28" x14ac:dyDescent="0.25">
      <c r="A43" s="7" t="s">
        <v>70</v>
      </c>
      <c r="B43" s="7" t="s">
        <v>351</v>
      </c>
      <c r="C43" s="24" t="s">
        <v>347</v>
      </c>
      <c r="D43" s="24" t="s">
        <v>348</v>
      </c>
      <c r="E43" s="24" t="s">
        <v>343</v>
      </c>
      <c r="F43" s="24" t="s">
        <v>344</v>
      </c>
      <c r="G43" s="24" t="s">
        <v>345</v>
      </c>
      <c r="H43" s="8"/>
      <c r="I43" s="7" t="s">
        <v>346</v>
      </c>
      <c r="J43" s="7" t="s">
        <v>347</v>
      </c>
      <c r="K43" s="7" t="s">
        <v>348</v>
      </c>
      <c r="L43" s="7" t="s">
        <v>343</v>
      </c>
      <c r="M43" s="7" t="s">
        <v>344</v>
      </c>
      <c r="N43" s="7" t="s">
        <v>345</v>
      </c>
      <c r="O43" s="16"/>
      <c r="P43" s="7" t="s">
        <v>349</v>
      </c>
      <c r="Q43" s="7" t="s">
        <v>347</v>
      </c>
      <c r="R43" s="7" t="s">
        <v>348</v>
      </c>
      <c r="S43" s="7" t="s">
        <v>343</v>
      </c>
      <c r="T43" s="7" t="s">
        <v>344</v>
      </c>
      <c r="U43" s="7" t="s">
        <v>345</v>
      </c>
      <c r="V43" s="22"/>
      <c r="W43" s="7" t="s">
        <v>350</v>
      </c>
      <c r="X43" s="7" t="s">
        <v>347</v>
      </c>
      <c r="Y43" s="7" t="s">
        <v>348</v>
      </c>
      <c r="Z43" s="7" t="s">
        <v>343</v>
      </c>
      <c r="AA43" s="7" t="s">
        <v>344</v>
      </c>
      <c r="AB43" s="7" t="s">
        <v>345</v>
      </c>
    </row>
    <row r="44" spans="1:28" x14ac:dyDescent="0.25">
      <c r="A44" s="21" t="s">
        <v>355</v>
      </c>
      <c r="B44" s="21" t="s">
        <v>5</v>
      </c>
      <c r="C44" s="25">
        <f>[1]CADHKD!$B15</f>
        <v>5.5099999999999996E-2</v>
      </c>
      <c r="D44" s="25">
        <f>[1]CADHKD!$F15</f>
        <v>-4.0000000000000002E-4</v>
      </c>
      <c r="E44" s="25">
        <f>[1]CADHKD!$E15</f>
        <v>-7.000000000000001E-4</v>
      </c>
      <c r="F44" s="25">
        <f>[1]CADHKD!$D15</f>
        <v>1.1000000000000001E-3</v>
      </c>
      <c r="G44" s="25">
        <f>[1]CADHKD!$C15</f>
        <v>4.0999999999999995E-3</v>
      </c>
      <c r="H44" s="8"/>
      <c r="I44" s="21" t="s">
        <v>5</v>
      </c>
      <c r="J44" s="28">
        <f>[2]G7!$D14</f>
        <v>9.43</v>
      </c>
      <c r="K44" s="28">
        <v>0.9</v>
      </c>
      <c r="L44" s="28">
        <v>1.8</v>
      </c>
      <c r="M44" s="28">
        <v>1.3</v>
      </c>
      <c r="N44" s="28">
        <v>2.6</v>
      </c>
      <c r="O44" s="16"/>
      <c r="P44" s="21" t="s">
        <v>5</v>
      </c>
      <c r="Q44" s="20">
        <f>(C44-J44/200)-0.002</f>
        <v>5.9499999999999987E-3</v>
      </c>
      <c r="R44" s="20">
        <f t="shared" ref="R44:R54" si="46">D44-K44/200</f>
        <v>-4.9000000000000007E-3</v>
      </c>
      <c r="S44" s="20">
        <f t="shared" ref="S44:S54" si="47">E44-L44/200</f>
        <v>-9.7000000000000003E-3</v>
      </c>
      <c r="T44" s="20">
        <f t="shared" ref="T44:T54" si="48">F44-M44/200</f>
        <v>-5.4000000000000003E-3</v>
      </c>
      <c r="U44" s="20">
        <f t="shared" ref="U44:U54" si="49">G44-N44/200</f>
        <v>-8.9000000000000017E-3</v>
      </c>
      <c r="V44" s="22"/>
      <c r="W44" s="21" t="s">
        <v>5</v>
      </c>
      <c r="X44" s="20">
        <f>(C44+J44/200)-0.002</f>
        <v>0.10024999999999999</v>
      </c>
      <c r="Y44" s="20">
        <f t="shared" ref="Y44:Y54" si="50">D44+K44/200</f>
        <v>4.1000000000000003E-3</v>
      </c>
      <c r="Z44" s="20">
        <f t="shared" ref="Z44:Z54" si="51">E44+L44/200</f>
        <v>8.3000000000000018E-3</v>
      </c>
      <c r="AA44" s="20">
        <f t="shared" ref="AA44:AA54" si="52">F44+M44/200</f>
        <v>7.6000000000000009E-3</v>
      </c>
      <c r="AB44" s="20">
        <f t="shared" ref="AB44:AB54" si="53">G44+N44/200</f>
        <v>1.7100000000000001E-2</v>
      </c>
    </row>
    <row r="45" spans="1:28" x14ac:dyDescent="0.25">
      <c r="A45" s="21" t="s">
        <v>355</v>
      </c>
      <c r="B45" s="21" t="s">
        <v>6</v>
      </c>
      <c r="C45" s="25">
        <f>[1]CADHKD!$B16</f>
        <v>4.8399999999999999E-2</v>
      </c>
      <c r="D45" s="25">
        <f>[1]CADHKD!$F16</f>
        <v>-2.0000000000000001E-4</v>
      </c>
      <c r="E45" s="25">
        <f>[1]CADHKD!$E16</f>
        <v>-4.0000000000000002E-4</v>
      </c>
      <c r="F45" s="25">
        <f>[1]CADHKD!$D16</f>
        <v>1E-3</v>
      </c>
      <c r="G45" s="25">
        <f>[1]CADHKD!$C16</f>
        <v>3.8E-3</v>
      </c>
      <c r="H45" s="8"/>
      <c r="I45" s="21" t="s">
        <v>6</v>
      </c>
      <c r="J45" s="28">
        <f>[2]G7!$D15</f>
        <v>4.04</v>
      </c>
      <c r="K45" s="28">
        <v>0.4</v>
      </c>
      <c r="L45" s="28">
        <v>0.8</v>
      </c>
      <c r="M45" s="28">
        <v>0.4</v>
      </c>
      <c r="N45" s="28">
        <v>0.8</v>
      </c>
      <c r="O45" s="16"/>
      <c r="P45" s="21" t="s">
        <v>6</v>
      </c>
      <c r="Q45" s="20">
        <f t="shared" ref="Q45:Q54" si="54">(C45-J45/200)-0.002</f>
        <v>2.6200000000000001E-2</v>
      </c>
      <c r="R45" s="20">
        <f t="shared" si="46"/>
        <v>-2.2000000000000001E-3</v>
      </c>
      <c r="S45" s="20">
        <f t="shared" si="47"/>
        <v>-4.4000000000000003E-3</v>
      </c>
      <c r="T45" s="20">
        <f t="shared" si="48"/>
        <v>-1E-3</v>
      </c>
      <c r="U45" s="20">
        <f t="shared" si="49"/>
        <v>-2.0000000000000009E-4</v>
      </c>
      <c r="V45" s="22"/>
      <c r="W45" s="21" t="s">
        <v>6</v>
      </c>
      <c r="X45" s="20">
        <f t="shared" ref="X45:X54" si="55">(C45+J45/200)-0.002</f>
        <v>6.6599999999999993E-2</v>
      </c>
      <c r="Y45" s="20">
        <f t="shared" si="50"/>
        <v>1.8E-3</v>
      </c>
      <c r="Z45" s="20">
        <f t="shared" si="51"/>
        <v>3.5999999999999999E-3</v>
      </c>
      <c r="AA45" s="20">
        <f t="shared" si="52"/>
        <v>3.0000000000000001E-3</v>
      </c>
      <c r="AB45" s="20">
        <f t="shared" si="53"/>
        <v>7.7999999999999996E-3</v>
      </c>
    </row>
    <row r="46" spans="1:28" x14ac:dyDescent="0.25">
      <c r="A46" s="21" t="s">
        <v>355</v>
      </c>
      <c r="B46" s="21" t="s">
        <v>7</v>
      </c>
      <c r="C46" s="25">
        <f>[1]CADHKD!$B17</f>
        <v>4.53E-2</v>
      </c>
      <c r="D46" s="25">
        <f>[1]CADHKD!$F17</f>
        <v>1E-4</v>
      </c>
      <c r="E46" s="25">
        <f>[1]CADHKD!$E17</f>
        <v>2.0000000000000001E-4</v>
      </c>
      <c r="F46" s="25">
        <f>[1]CADHKD!$D17</f>
        <v>1.1000000000000001E-3</v>
      </c>
      <c r="G46" s="25">
        <f>[1]CADHKD!$C17</f>
        <v>4.0000000000000001E-3</v>
      </c>
      <c r="H46" s="8"/>
      <c r="I46" s="21" t="s">
        <v>7</v>
      </c>
      <c r="J46" s="28">
        <f>[2]G7!$D16</f>
        <v>2.39</v>
      </c>
      <c r="K46" s="28">
        <v>0.2</v>
      </c>
      <c r="L46" s="28">
        <v>0.4</v>
      </c>
      <c r="M46" s="28">
        <v>0.2</v>
      </c>
      <c r="N46" s="28">
        <v>0.4</v>
      </c>
      <c r="O46" s="16"/>
      <c r="P46" s="21" t="s">
        <v>7</v>
      </c>
      <c r="Q46" s="20">
        <f t="shared" si="54"/>
        <v>3.1349999999999996E-2</v>
      </c>
      <c r="R46" s="20">
        <f t="shared" si="46"/>
        <v>-8.9999999999999998E-4</v>
      </c>
      <c r="S46" s="20">
        <f t="shared" si="47"/>
        <v>-1.8E-3</v>
      </c>
      <c r="T46" s="20">
        <f t="shared" si="48"/>
        <v>1.0000000000000005E-4</v>
      </c>
      <c r="U46" s="20">
        <f t="shared" si="49"/>
        <v>2E-3</v>
      </c>
      <c r="V46" s="22"/>
      <c r="W46" s="21" t="s">
        <v>7</v>
      </c>
      <c r="X46" s="20">
        <f t="shared" si="55"/>
        <v>5.525E-2</v>
      </c>
      <c r="Y46" s="20">
        <f t="shared" si="50"/>
        <v>1.1000000000000001E-3</v>
      </c>
      <c r="Z46" s="20">
        <f t="shared" si="51"/>
        <v>2.2000000000000001E-3</v>
      </c>
      <c r="AA46" s="20">
        <f t="shared" si="52"/>
        <v>2.1000000000000003E-3</v>
      </c>
      <c r="AB46" s="20">
        <f t="shared" si="53"/>
        <v>6.0000000000000001E-3</v>
      </c>
    </row>
    <row r="47" spans="1:28" x14ac:dyDescent="0.25">
      <c r="A47" s="21" t="s">
        <v>355</v>
      </c>
      <c r="B47" s="21" t="s">
        <v>8</v>
      </c>
      <c r="C47" s="25">
        <f>[1]CADHKD!$B18</f>
        <v>4.53E-2</v>
      </c>
      <c r="D47" s="25">
        <f>[1]CADHKD!$F18</f>
        <v>2.9999999999999997E-4</v>
      </c>
      <c r="E47" s="25">
        <f>[1]CADHKD!$E18</f>
        <v>5.9999999999999995E-4</v>
      </c>
      <c r="F47" s="25">
        <f>[1]CADHKD!$D18</f>
        <v>1.1999999999999999E-3</v>
      </c>
      <c r="G47" s="25">
        <f>[1]CADHKD!$C18</f>
        <v>4.1999999999999997E-3</v>
      </c>
      <c r="H47" s="8"/>
      <c r="I47" s="21" t="s">
        <v>8</v>
      </c>
      <c r="J47" s="28">
        <f>[2]G7!$D17</f>
        <v>1.3299999999999998</v>
      </c>
      <c r="K47" s="28">
        <v>0.2</v>
      </c>
      <c r="L47" s="28">
        <v>0.4</v>
      </c>
      <c r="M47" s="28">
        <v>0.2</v>
      </c>
      <c r="N47" s="28">
        <v>0.4</v>
      </c>
      <c r="O47" s="16"/>
      <c r="P47" s="21" t="s">
        <v>8</v>
      </c>
      <c r="Q47" s="20">
        <f t="shared" si="54"/>
        <v>3.6650000000000002E-2</v>
      </c>
      <c r="R47" s="20">
        <f t="shared" si="46"/>
        <v>-7.000000000000001E-4</v>
      </c>
      <c r="S47" s="20">
        <f t="shared" si="47"/>
        <v>-1.4000000000000002E-3</v>
      </c>
      <c r="T47" s="20">
        <f t="shared" si="48"/>
        <v>1.9999999999999987E-4</v>
      </c>
      <c r="U47" s="20">
        <f t="shared" si="49"/>
        <v>2.1999999999999997E-3</v>
      </c>
      <c r="V47" s="22"/>
      <c r="W47" s="21" t="s">
        <v>8</v>
      </c>
      <c r="X47" s="20">
        <f t="shared" si="55"/>
        <v>4.9949999999999994E-2</v>
      </c>
      <c r="Y47" s="20">
        <f t="shared" si="50"/>
        <v>1.2999999999999999E-3</v>
      </c>
      <c r="Z47" s="20">
        <f t="shared" si="51"/>
        <v>2.5999999999999999E-3</v>
      </c>
      <c r="AA47" s="20">
        <f t="shared" si="52"/>
        <v>2.1999999999999997E-3</v>
      </c>
      <c r="AB47" s="20">
        <f t="shared" si="53"/>
        <v>6.1999999999999998E-3</v>
      </c>
    </row>
    <row r="48" spans="1:28" x14ac:dyDescent="0.25">
      <c r="A48" s="21" t="s">
        <v>355</v>
      </c>
      <c r="B48" s="21" t="s">
        <v>9</v>
      </c>
      <c r="C48" s="25">
        <f>[1]CADHKD!$B19</f>
        <v>4.5700000000000005E-2</v>
      </c>
      <c r="D48" s="25">
        <f>[1]CADHKD!$F19</f>
        <v>2.9999999999999997E-4</v>
      </c>
      <c r="E48" s="25">
        <f>[1]CADHKD!$E19</f>
        <v>7.000000000000001E-4</v>
      </c>
      <c r="F48" s="25">
        <f>[1]CADHKD!$D19</f>
        <v>1.2999999999999999E-3</v>
      </c>
      <c r="G48" s="25">
        <f>[1]CADHKD!$C19</f>
        <v>4.6999999999999993E-3</v>
      </c>
      <c r="H48" s="8"/>
      <c r="I48" s="21" t="s">
        <v>9</v>
      </c>
      <c r="J48" s="28">
        <f>[2]G7!$D18</f>
        <v>1.23</v>
      </c>
      <c r="K48" s="28">
        <v>0.2</v>
      </c>
      <c r="L48" s="28">
        <v>0.4</v>
      </c>
      <c r="M48" s="28">
        <v>0.2</v>
      </c>
      <c r="N48" s="28">
        <v>0.4</v>
      </c>
      <c r="O48" s="16"/>
      <c r="P48" s="21" t="s">
        <v>9</v>
      </c>
      <c r="Q48" s="20">
        <f t="shared" si="54"/>
        <v>3.755E-2</v>
      </c>
      <c r="R48" s="20">
        <f t="shared" si="46"/>
        <v>-7.000000000000001E-4</v>
      </c>
      <c r="S48" s="20">
        <f t="shared" si="47"/>
        <v>-1.2999999999999999E-3</v>
      </c>
      <c r="T48" s="20">
        <f t="shared" si="48"/>
        <v>2.9999999999999992E-4</v>
      </c>
      <c r="U48" s="20">
        <f t="shared" si="49"/>
        <v>2.6999999999999993E-3</v>
      </c>
      <c r="V48" s="22"/>
      <c r="W48" s="21" t="s">
        <v>9</v>
      </c>
      <c r="X48" s="20">
        <f t="shared" si="55"/>
        <v>4.9850000000000005E-2</v>
      </c>
      <c r="Y48" s="20">
        <f t="shared" si="50"/>
        <v>1.2999999999999999E-3</v>
      </c>
      <c r="Z48" s="20">
        <f t="shared" si="51"/>
        <v>2.7000000000000001E-3</v>
      </c>
      <c r="AA48" s="20">
        <f t="shared" si="52"/>
        <v>2.3E-3</v>
      </c>
      <c r="AB48" s="20">
        <f t="shared" si="53"/>
        <v>6.6999999999999994E-3</v>
      </c>
    </row>
    <row r="49" spans="1:28" x14ac:dyDescent="0.25">
      <c r="A49" s="21" t="s">
        <v>355</v>
      </c>
      <c r="B49" s="21" t="s">
        <v>10</v>
      </c>
      <c r="C49" s="25">
        <f>[1]CADHKD!$B20</f>
        <v>4.6300000000000001E-2</v>
      </c>
      <c r="D49" s="25">
        <f>[1]CADHKD!$F20</f>
        <v>4.0000000000000002E-4</v>
      </c>
      <c r="E49" s="25">
        <f>[1]CADHKD!$E20</f>
        <v>8.0000000000000004E-4</v>
      </c>
      <c r="F49" s="25">
        <f>[1]CADHKD!$D20</f>
        <v>1.4000000000000002E-3</v>
      </c>
      <c r="G49" s="25">
        <f>[1]CADHKD!$C20</f>
        <v>5.1999999999999998E-3</v>
      </c>
      <c r="H49" s="8"/>
      <c r="I49" s="21" t="s">
        <v>10</v>
      </c>
      <c r="J49" s="28">
        <f>[2]G7!$D19</f>
        <v>1.23</v>
      </c>
      <c r="K49" s="28">
        <v>0.2</v>
      </c>
      <c r="L49" s="28">
        <v>0.4</v>
      </c>
      <c r="M49" s="28">
        <v>0.2</v>
      </c>
      <c r="N49" s="28">
        <v>0.4</v>
      </c>
      <c r="O49" s="16"/>
      <c r="P49" s="21" t="s">
        <v>10</v>
      </c>
      <c r="Q49" s="20">
        <f t="shared" si="54"/>
        <v>3.8149999999999996E-2</v>
      </c>
      <c r="R49" s="20">
        <f t="shared" si="46"/>
        <v>-6.0000000000000006E-4</v>
      </c>
      <c r="S49" s="20">
        <f t="shared" si="47"/>
        <v>-1.2000000000000001E-3</v>
      </c>
      <c r="T49" s="20">
        <f t="shared" si="48"/>
        <v>4.0000000000000018E-4</v>
      </c>
      <c r="U49" s="20">
        <f t="shared" si="49"/>
        <v>3.1999999999999997E-3</v>
      </c>
      <c r="V49" s="22"/>
      <c r="W49" s="21" t="s">
        <v>10</v>
      </c>
      <c r="X49" s="20">
        <f t="shared" si="55"/>
        <v>5.0450000000000002E-2</v>
      </c>
      <c r="Y49" s="20">
        <f t="shared" si="50"/>
        <v>1.4E-3</v>
      </c>
      <c r="Z49" s="20">
        <f t="shared" si="51"/>
        <v>2.8E-3</v>
      </c>
      <c r="AA49" s="20">
        <f t="shared" si="52"/>
        <v>2.4000000000000002E-3</v>
      </c>
      <c r="AB49" s="20">
        <f t="shared" si="53"/>
        <v>7.1999999999999998E-3</v>
      </c>
    </row>
    <row r="50" spans="1:28" x14ac:dyDescent="0.25">
      <c r="A50" s="21" t="s">
        <v>355</v>
      </c>
      <c r="B50" s="21" t="s">
        <v>11</v>
      </c>
      <c r="C50" s="25">
        <f>[1]CADHKD!$B21</f>
        <v>4.7699999999999992E-2</v>
      </c>
      <c r="D50" s="25">
        <f>[1]CADHKD!$F21</f>
        <v>-2.0000000000000001E-4</v>
      </c>
      <c r="E50" s="25">
        <f>[1]CADHKD!$E21</f>
        <v>-2.9999999999999997E-4</v>
      </c>
      <c r="F50" s="25">
        <f>[1]CADHKD!$D21</f>
        <v>1.7000000000000001E-3</v>
      </c>
      <c r="G50" s="25">
        <f>[1]CADHKD!$C21</f>
        <v>6.3E-3</v>
      </c>
      <c r="H50" s="8"/>
      <c r="I50" s="21" t="s">
        <v>11</v>
      </c>
      <c r="J50" s="28">
        <f>[2]G7!$D20</f>
        <v>1.06</v>
      </c>
      <c r="K50" s="28">
        <v>0.2</v>
      </c>
      <c r="L50" s="28">
        <v>0.4</v>
      </c>
      <c r="M50" s="28">
        <v>0.2</v>
      </c>
      <c r="N50" s="28">
        <v>0.4</v>
      </c>
      <c r="O50" s="16"/>
      <c r="P50" s="21" t="s">
        <v>11</v>
      </c>
      <c r="Q50" s="20">
        <f t="shared" si="54"/>
        <v>4.0399999999999991E-2</v>
      </c>
      <c r="R50" s="20">
        <f t="shared" si="46"/>
        <v>-1.2000000000000001E-3</v>
      </c>
      <c r="S50" s="20">
        <f t="shared" si="47"/>
        <v>-2.3E-3</v>
      </c>
      <c r="T50" s="20">
        <f t="shared" si="48"/>
        <v>7.000000000000001E-4</v>
      </c>
      <c r="U50" s="20">
        <f t="shared" si="49"/>
        <v>4.3E-3</v>
      </c>
      <c r="V50" s="22"/>
      <c r="W50" s="21" t="s">
        <v>11</v>
      </c>
      <c r="X50" s="20">
        <f t="shared" si="55"/>
        <v>5.099999999999999E-2</v>
      </c>
      <c r="Y50" s="20">
        <f t="shared" si="50"/>
        <v>8.0000000000000004E-4</v>
      </c>
      <c r="Z50" s="20">
        <f t="shared" si="51"/>
        <v>1.7000000000000001E-3</v>
      </c>
      <c r="AA50" s="20">
        <f t="shared" si="52"/>
        <v>2.7000000000000001E-3</v>
      </c>
      <c r="AB50" s="20">
        <f t="shared" si="53"/>
        <v>8.3000000000000001E-3</v>
      </c>
    </row>
    <row r="51" spans="1:28" x14ac:dyDescent="0.25">
      <c r="A51" s="21" t="s">
        <v>355</v>
      </c>
      <c r="B51" s="21" t="s">
        <v>12</v>
      </c>
      <c r="C51" s="25">
        <f>[1]CADHKD!$B22</f>
        <v>5.0300000000000004E-2</v>
      </c>
      <c r="D51" s="25">
        <f>[1]CADHKD!$F22</f>
        <v>-2.0000000000000001E-4</v>
      </c>
      <c r="E51" s="25">
        <f>[1]CADHKD!$E22</f>
        <v>-2.0000000000000001E-4</v>
      </c>
      <c r="F51" s="25">
        <f>[1]CADHKD!$D22</f>
        <v>2.0999999999999999E-3</v>
      </c>
      <c r="G51" s="25">
        <f>[1]CADHKD!$C22</f>
        <v>7.6E-3</v>
      </c>
      <c r="H51" s="8"/>
      <c r="I51" s="21" t="s">
        <v>12</v>
      </c>
      <c r="J51" s="28">
        <f>[2]G7!$D21</f>
        <v>1.03</v>
      </c>
      <c r="K51" s="28">
        <v>0.2</v>
      </c>
      <c r="L51" s="28">
        <v>0.4</v>
      </c>
      <c r="M51" s="28">
        <v>0.2</v>
      </c>
      <c r="N51" s="28">
        <v>0.4</v>
      </c>
      <c r="O51" s="16"/>
      <c r="P51" s="21" t="s">
        <v>12</v>
      </c>
      <c r="Q51" s="20">
        <f t="shared" si="54"/>
        <v>4.3150000000000001E-2</v>
      </c>
      <c r="R51" s="20">
        <f t="shared" si="46"/>
        <v>-1.2000000000000001E-3</v>
      </c>
      <c r="S51" s="20">
        <f t="shared" si="47"/>
        <v>-2.2000000000000001E-3</v>
      </c>
      <c r="T51" s="20">
        <f t="shared" si="48"/>
        <v>1.0999999999999998E-3</v>
      </c>
      <c r="U51" s="20">
        <f t="shared" si="49"/>
        <v>5.5999999999999999E-3</v>
      </c>
      <c r="V51" s="22"/>
      <c r="W51" s="21" t="s">
        <v>12</v>
      </c>
      <c r="X51" s="20">
        <f t="shared" si="55"/>
        <v>5.3450000000000004E-2</v>
      </c>
      <c r="Y51" s="20">
        <f t="shared" si="50"/>
        <v>8.0000000000000004E-4</v>
      </c>
      <c r="Z51" s="20">
        <f t="shared" si="51"/>
        <v>1.8E-3</v>
      </c>
      <c r="AA51" s="20">
        <f t="shared" si="52"/>
        <v>3.0999999999999999E-3</v>
      </c>
      <c r="AB51" s="20">
        <f t="shared" si="53"/>
        <v>9.6000000000000009E-3</v>
      </c>
    </row>
    <row r="52" spans="1:28" x14ac:dyDescent="0.25">
      <c r="A52" s="21" t="s">
        <v>355</v>
      </c>
      <c r="B52" s="21" t="s">
        <v>13</v>
      </c>
      <c r="C52" s="25">
        <f>[1]CADHKD!$B23</f>
        <v>5.1699999999999996E-2</v>
      </c>
      <c r="D52" s="25">
        <f>[1]CADHKD!$F23</f>
        <v>-2.0000000000000001E-4</v>
      </c>
      <c r="E52" s="25">
        <f>[1]CADHKD!$E23</f>
        <v>-2.0000000000000001E-4</v>
      </c>
      <c r="F52" s="25">
        <f>[1]CADHKD!$D23</f>
        <v>2.2000000000000001E-3</v>
      </c>
      <c r="G52" s="25">
        <f>[1]CADHKD!$C23</f>
        <v>8.3000000000000001E-3</v>
      </c>
      <c r="H52" s="8"/>
      <c r="I52" s="21" t="s">
        <v>13</v>
      </c>
      <c r="J52" s="28">
        <f>[2]G7!$D22</f>
        <v>1.03</v>
      </c>
      <c r="K52" s="28">
        <v>0.2</v>
      </c>
      <c r="L52" s="28">
        <v>0.4</v>
      </c>
      <c r="M52" s="28">
        <v>0.2</v>
      </c>
      <c r="N52" s="28">
        <v>0.4</v>
      </c>
      <c r="O52" s="16"/>
      <c r="P52" s="21" t="s">
        <v>13</v>
      </c>
      <c r="Q52" s="20">
        <f t="shared" si="54"/>
        <v>4.4549999999999992E-2</v>
      </c>
      <c r="R52" s="20">
        <f t="shared" si="46"/>
        <v>-1.2000000000000001E-3</v>
      </c>
      <c r="S52" s="20">
        <f t="shared" si="47"/>
        <v>-2.2000000000000001E-3</v>
      </c>
      <c r="T52" s="20">
        <f t="shared" si="48"/>
        <v>1.2000000000000001E-3</v>
      </c>
      <c r="U52" s="20">
        <f t="shared" si="49"/>
        <v>6.3E-3</v>
      </c>
      <c r="V52" s="22"/>
      <c r="W52" s="21" t="s">
        <v>13</v>
      </c>
      <c r="X52" s="20">
        <f t="shared" si="55"/>
        <v>5.4849999999999996E-2</v>
      </c>
      <c r="Y52" s="20">
        <f t="shared" si="50"/>
        <v>8.0000000000000004E-4</v>
      </c>
      <c r="Z52" s="20">
        <f t="shared" si="51"/>
        <v>1.8E-3</v>
      </c>
      <c r="AA52" s="20">
        <f t="shared" si="52"/>
        <v>3.2000000000000002E-3</v>
      </c>
      <c r="AB52" s="20">
        <f t="shared" si="53"/>
        <v>1.03E-2</v>
      </c>
    </row>
    <row r="53" spans="1:28" x14ac:dyDescent="0.25">
      <c r="A53" s="21" t="s">
        <v>355</v>
      </c>
      <c r="B53" s="21" t="s">
        <v>14</v>
      </c>
      <c r="C53" s="25">
        <f>[1]CADHKD!$B24</f>
        <v>5.3899999999999997E-2</v>
      </c>
      <c r="D53" s="25">
        <f>[1]CADHKD!$F24</f>
        <v>-2.9999999999999997E-4</v>
      </c>
      <c r="E53" s="25">
        <f>[1]CADHKD!$E24</f>
        <v>1E-4</v>
      </c>
      <c r="F53" s="25">
        <f>[1]CADHKD!$D24</f>
        <v>2.5000000000000001E-3</v>
      </c>
      <c r="G53" s="25">
        <f>[1]CADHKD!$C24</f>
        <v>9.3999999999999986E-3</v>
      </c>
      <c r="H53" s="16"/>
      <c r="I53" s="21" t="s">
        <v>14</v>
      </c>
      <c r="J53" s="28">
        <f>[2]G7!$D23</f>
        <v>1.19</v>
      </c>
      <c r="K53" s="28">
        <v>0.2</v>
      </c>
      <c r="L53" s="28">
        <v>0.4</v>
      </c>
      <c r="M53" s="28">
        <v>0.2</v>
      </c>
      <c r="N53" s="28">
        <v>0.4</v>
      </c>
      <c r="O53" s="16"/>
      <c r="P53" s="21" t="s">
        <v>14</v>
      </c>
      <c r="Q53" s="20">
        <f t="shared" si="54"/>
        <v>4.5949999999999998E-2</v>
      </c>
      <c r="R53" s="20">
        <f t="shared" si="46"/>
        <v>-1.2999999999999999E-3</v>
      </c>
      <c r="S53" s="20">
        <f t="shared" si="47"/>
        <v>-1.9E-3</v>
      </c>
      <c r="T53" s="20">
        <f t="shared" si="48"/>
        <v>1.5E-3</v>
      </c>
      <c r="U53" s="20">
        <f t="shared" si="49"/>
        <v>7.3999999999999986E-3</v>
      </c>
      <c r="V53" s="22"/>
      <c r="W53" s="21" t="s">
        <v>14</v>
      </c>
      <c r="X53" s="20">
        <f t="shared" si="55"/>
        <v>5.7849999999999992E-2</v>
      </c>
      <c r="Y53" s="20">
        <f t="shared" si="50"/>
        <v>7.000000000000001E-4</v>
      </c>
      <c r="Z53" s="20">
        <f t="shared" si="51"/>
        <v>2.0999999999999999E-3</v>
      </c>
      <c r="AA53" s="20">
        <f t="shared" si="52"/>
        <v>3.5000000000000001E-3</v>
      </c>
      <c r="AB53" s="20">
        <f t="shared" si="53"/>
        <v>1.1399999999999999E-2</v>
      </c>
    </row>
    <row r="54" spans="1:28" x14ac:dyDescent="0.25">
      <c r="A54" s="21" t="s">
        <v>355</v>
      </c>
      <c r="B54" s="21" t="s">
        <v>876</v>
      </c>
      <c r="C54" s="25">
        <f>[1]CADHKD!$B25</f>
        <v>5.62E-2</v>
      </c>
      <c r="D54" s="25">
        <f>[1]CADHKD!$F25</f>
        <v>-8.9999999999999998E-4</v>
      </c>
      <c r="E54" s="25">
        <f>[1]CADHKD!$E25</f>
        <v>-1.1999999999999999E-3</v>
      </c>
      <c r="F54" s="25">
        <f>[1]CADHKD!$D25</f>
        <v>2.5000000000000001E-3</v>
      </c>
      <c r="G54" s="25">
        <f>[1]CADHKD!$C25</f>
        <v>9.3999999999999986E-3</v>
      </c>
      <c r="H54" s="16"/>
      <c r="I54" s="21" t="s">
        <v>876</v>
      </c>
      <c r="J54" s="28">
        <f>[2]G7!$D24</f>
        <v>1.17</v>
      </c>
      <c r="K54" s="28">
        <v>0.2</v>
      </c>
      <c r="L54" s="28">
        <v>0.4</v>
      </c>
      <c r="M54" s="28">
        <v>0.2</v>
      </c>
      <c r="N54" s="28">
        <v>0.4</v>
      </c>
      <c r="O54" s="16"/>
      <c r="P54" s="21" t="s">
        <v>876</v>
      </c>
      <c r="Q54" s="20">
        <f t="shared" si="54"/>
        <v>4.8349999999999997E-2</v>
      </c>
      <c r="R54" s="20">
        <f t="shared" si="46"/>
        <v>-1.9E-3</v>
      </c>
      <c r="S54" s="20">
        <f t="shared" si="47"/>
        <v>-3.1999999999999997E-3</v>
      </c>
      <c r="T54" s="20">
        <f t="shared" si="48"/>
        <v>1.5E-3</v>
      </c>
      <c r="U54" s="20">
        <f t="shared" si="49"/>
        <v>7.3999999999999986E-3</v>
      </c>
      <c r="V54" s="22"/>
      <c r="W54" s="21" t="s">
        <v>876</v>
      </c>
      <c r="X54" s="20">
        <f t="shared" si="55"/>
        <v>6.0049999999999999E-2</v>
      </c>
      <c r="Y54" s="20">
        <f t="shared" si="50"/>
        <v>1.0000000000000005E-4</v>
      </c>
      <c r="Z54" s="20">
        <f t="shared" si="51"/>
        <v>8.0000000000000015E-4</v>
      </c>
      <c r="AA54" s="20">
        <f t="shared" si="52"/>
        <v>3.5000000000000001E-3</v>
      </c>
      <c r="AB54" s="20">
        <f t="shared" si="53"/>
        <v>1.1399999999999999E-2</v>
      </c>
    </row>
    <row r="55" spans="1:28" x14ac:dyDescent="0.25">
      <c r="A55" s="16"/>
      <c r="B55" s="16"/>
      <c r="C55" s="26"/>
      <c r="D55" s="26"/>
      <c r="E55" s="26"/>
      <c r="F55" s="26"/>
      <c r="G55" s="26"/>
      <c r="H55" s="16"/>
      <c r="I55" s="16"/>
      <c r="J55" s="16"/>
      <c r="K55" s="16"/>
      <c r="L55" s="16"/>
      <c r="M55" s="16"/>
      <c r="N55" s="16"/>
      <c r="O55" s="16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spans="1:28" x14ac:dyDescent="0.25">
      <c r="A56" s="16"/>
      <c r="B56" s="16"/>
      <c r="C56" s="26"/>
      <c r="D56" s="26"/>
      <c r="E56" s="26"/>
      <c r="F56" s="26"/>
      <c r="G56" s="26"/>
      <c r="H56" s="16"/>
      <c r="I56" s="16"/>
      <c r="J56" s="16"/>
      <c r="K56" s="16"/>
      <c r="L56" s="16"/>
      <c r="M56" s="16"/>
      <c r="N56" s="16"/>
      <c r="O56" s="16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spans="1:28" x14ac:dyDescent="0.25">
      <c r="A57" s="7" t="s">
        <v>70</v>
      </c>
      <c r="B57" s="7" t="s">
        <v>327</v>
      </c>
      <c r="C57" s="24" t="s">
        <v>311</v>
      </c>
      <c r="D57" s="24" t="s">
        <v>312</v>
      </c>
      <c r="E57" s="24" t="s">
        <v>313</v>
      </c>
      <c r="F57" s="24" t="s">
        <v>314</v>
      </c>
      <c r="G57" s="24" t="s">
        <v>315</v>
      </c>
      <c r="H57" s="8"/>
      <c r="I57" s="7" t="s">
        <v>328</v>
      </c>
      <c r="J57" s="7" t="s">
        <v>311</v>
      </c>
      <c r="K57" s="7" t="s">
        <v>312</v>
      </c>
      <c r="L57" s="7" t="s">
        <v>313</v>
      </c>
      <c r="M57" s="7" t="s">
        <v>314</v>
      </c>
      <c r="N57" s="7" t="s">
        <v>315</v>
      </c>
      <c r="O57" s="16"/>
      <c r="P57" s="7" t="s">
        <v>69</v>
      </c>
      <c r="Q57" s="7" t="s">
        <v>311</v>
      </c>
      <c r="R57" s="7" t="s">
        <v>312</v>
      </c>
      <c r="S57" s="7" t="s">
        <v>313</v>
      </c>
      <c r="T57" s="7" t="s">
        <v>314</v>
      </c>
      <c r="U57" s="7" t="s">
        <v>315</v>
      </c>
      <c r="V57" s="22"/>
      <c r="W57" s="7" t="s">
        <v>318</v>
      </c>
      <c r="X57" s="7" t="s">
        <v>311</v>
      </c>
      <c r="Y57" s="7" t="s">
        <v>312</v>
      </c>
      <c r="Z57" s="7" t="s">
        <v>313</v>
      </c>
      <c r="AA57" s="7" t="s">
        <v>314</v>
      </c>
      <c r="AB57" s="7" t="s">
        <v>315</v>
      </c>
    </row>
    <row r="58" spans="1:28" x14ac:dyDescent="0.25">
      <c r="A58" s="21" t="s">
        <v>336</v>
      </c>
      <c r="B58" s="21" t="s">
        <v>5</v>
      </c>
      <c r="C58" s="25">
        <f>[1]EURUSD!$B15</f>
        <v>4.1299999999999996E-2</v>
      </c>
      <c r="D58" s="25">
        <f>[1]EURUSD!$F15</f>
        <v>-1.1999999999999999E-3</v>
      </c>
      <c r="E58" s="25">
        <f>[1]EURUSD!$E15</f>
        <v>-2.3999999999999998E-3</v>
      </c>
      <c r="F58" s="25">
        <f>[1]EURUSD!$D15</f>
        <v>8.0000000000000004E-4</v>
      </c>
      <c r="G58" s="25">
        <f>[1]EURUSD!$C15</f>
        <v>3.0000000000000001E-3</v>
      </c>
      <c r="H58" s="8"/>
      <c r="I58" s="21" t="s">
        <v>5</v>
      </c>
      <c r="J58" s="28">
        <f>[2]G7!$C26</f>
        <v>1.56</v>
      </c>
      <c r="K58" s="28">
        <v>1.4</v>
      </c>
      <c r="L58" s="28">
        <v>2.2999999999999998</v>
      </c>
      <c r="M58" s="28">
        <v>1.4</v>
      </c>
      <c r="N58" s="28">
        <v>1.5</v>
      </c>
      <c r="O58" s="16"/>
      <c r="P58" s="21" t="s">
        <v>5</v>
      </c>
      <c r="Q58" s="20">
        <f>(C58-J58/200)-0.002</f>
        <v>3.1499999999999993E-2</v>
      </c>
      <c r="R58" s="20">
        <f t="shared" ref="R58:R67" si="56">D58-K58/200</f>
        <v>-8.199999999999999E-3</v>
      </c>
      <c r="S58" s="20">
        <f t="shared" ref="S58:S67" si="57">E58-L58/200</f>
        <v>-1.3899999999999999E-2</v>
      </c>
      <c r="T58" s="20">
        <f t="shared" ref="T58:T67" si="58">F58-M58/200</f>
        <v>-6.1999999999999989E-3</v>
      </c>
      <c r="U58" s="20">
        <f t="shared" ref="U58:U67" si="59">G58-N58/200</f>
        <v>-4.4999999999999997E-3</v>
      </c>
      <c r="V58" s="22"/>
      <c r="W58" s="21" t="s">
        <v>5</v>
      </c>
      <c r="X58" s="20">
        <f>(C58+J58/200)-0.002</f>
        <v>4.7099999999999996E-2</v>
      </c>
      <c r="Y58" s="20">
        <f t="shared" ref="Y58:Y67" si="60">D58+K58/200</f>
        <v>5.7999999999999996E-3</v>
      </c>
      <c r="Z58" s="20">
        <f t="shared" ref="Z58:Z67" si="61">E58+L58/200</f>
        <v>9.1000000000000004E-3</v>
      </c>
      <c r="AA58" s="20">
        <f t="shared" ref="AA58:AA67" si="62">F58+M58/200</f>
        <v>7.7999999999999996E-3</v>
      </c>
      <c r="AB58" s="20">
        <f t="shared" ref="AB58:AB67" si="63">G58+N58/200</f>
        <v>1.0499999999999999E-2</v>
      </c>
    </row>
    <row r="59" spans="1:28" x14ac:dyDescent="0.25">
      <c r="A59" s="21" t="s">
        <v>336</v>
      </c>
      <c r="B59" s="21" t="s">
        <v>6</v>
      </c>
      <c r="C59" s="25">
        <f>[1]EURUSD!$B16</f>
        <v>4.7500000000000001E-2</v>
      </c>
      <c r="D59" s="25">
        <f>[1]EURUSD!$F16</f>
        <v>-1.5E-3</v>
      </c>
      <c r="E59" s="25">
        <f>[1]EURUSD!$E16</f>
        <v>-2.7000000000000001E-3</v>
      </c>
      <c r="F59" s="25">
        <f>[1]EURUSD!$D16</f>
        <v>1.1000000000000001E-3</v>
      </c>
      <c r="G59" s="25">
        <f>[1]EURUSD!$C16</f>
        <v>3.8E-3</v>
      </c>
      <c r="H59" s="8"/>
      <c r="I59" s="21" t="s">
        <v>6</v>
      </c>
      <c r="J59" s="28">
        <f>[2]G7!$C27</f>
        <v>0.66999999999999993</v>
      </c>
      <c r="K59" s="28">
        <v>0.5</v>
      </c>
      <c r="L59" s="28">
        <v>0.8</v>
      </c>
      <c r="M59" s="28">
        <v>0.5</v>
      </c>
      <c r="N59" s="28">
        <v>0.5</v>
      </c>
      <c r="O59" s="16"/>
      <c r="P59" s="21" t="s">
        <v>6</v>
      </c>
      <c r="Q59" s="20">
        <f t="shared" ref="Q59:Q68" si="64">(C59-J59/200)-0.002</f>
        <v>4.215E-2</v>
      </c>
      <c r="R59" s="20">
        <f t="shared" si="56"/>
        <v>-4.0000000000000001E-3</v>
      </c>
      <c r="S59" s="20">
        <f t="shared" si="57"/>
        <v>-6.7000000000000002E-3</v>
      </c>
      <c r="T59" s="20">
        <f t="shared" si="58"/>
        <v>-1.4E-3</v>
      </c>
      <c r="U59" s="20">
        <f t="shared" si="59"/>
        <v>1.2999999999999999E-3</v>
      </c>
      <c r="V59" s="22"/>
      <c r="W59" s="21" t="s">
        <v>6</v>
      </c>
      <c r="X59" s="20">
        <f t="shared" ref="X59:X68" si="65">(C59+J59/200)-0.002</f>
        <v>4.8849999999999998E-2</v>
      </c>
      <c r="Y59" s="20">
        <f t="shared" si="60"/>
        <v>1E-3</v>
      </c>
      <c r="Z59" s="20">
        <f t="shared" si="61"/>
        <v>1.2999999999999999E-3</v>
      </c>
      <c r="AA59" s="20">
        <f t="shared" si="62"/>
        <v>3.5999999999999999E-3</v>
      </c>
      <c r="AB59" s="20">
        <f t="shared" si="63"/>
        <v>6.3E-3</v>
      </c>
    </row>
    <row r="60" spans="1:28" x14ac:dyDescent="0.25">
      <c r="A60" s="21" t="s">
        <v>336</v>
      </c>
      <c r="B60" s="21" t="s">
        <v>7</v>
      </c>
      <c r="C60" s="25">
        <f>[1]EURUSD!$B17</f>
        <v>5.1100000000000007E-2</v>
      </c>
      <c r="D60" s="25">
        <f>[1]EURUSD!$F17</f>
        <v>-1.6000000000000001E-3</v>
      </c>
      <c r="E60" s="25">
        <f>[1]EURUSD!$E17</f>
        <v>-3.0000000000000001E-3</v>
      </c>
      <c r="F60" s="25">
        <f>[1]EURUSD!$D17</f>
        <v>1.1999999999999999E-3</v>
      </c>
      <c r="G60" s="25">
        <f>[1]EURUSD!$C17</f>
        <v>4.4000000000000003E-3</v>
      </c>
      <c r="H60" s="8"/>
      <c r="I60" s="21" t="s">
        <v>7</v>
      </c>
      <c r="J60" s="28">
        <f>[2]G7!$C28</f>
        <v>0.51</v>
      </c>
      <c r="K60" s="28">
        <v>0.3</v>
      </c>
      <c r="L60" s="28">
        <v>0.5</v>
      </c>
      <c r="M60" s="28">
        <v>0.3</v>
      </c>
      <c r="N60" s="28">
        <v>0.4</v>
      </c>
      <c r="O60" s="16"/>
      <c r="P60" s="21" t="s">
        <v>7</v>
      </c>
      <c r="Q60" s="20">
        <f t="shared" si="64"/>
        <v>4.6550000000000008E-2</v>
      </c>
      <c r="R60" s="20">
        <f t="shared" si="56"/>
        <v>-3.1000000000000003E-3</v>
      </c>
      <c r="S60" s="20">
        <f t="shared" si="57"/>
        <v>-5.4999999999999997E-3</v>
      </c>
      <c r="T60" s="20">
        <f t="shared" si="58"/>
        <v>-3.0000000000000014E-4</v>
      </c>
      <c r="U60" s="20">
        <f t="shared" si="59"/>
        <v>2.4000000000000002E-3</v>
      </c>
      <c r="V60" s="22"/>
      <c r="W60" s="21" t="s">
        <v>7</v>
      </c>
      <c r="X60" s="20">
        <f t="shared" si="65"/>
        <v>5.1650000000000001E-2</v>
      </c>
      <c r="Y60" s="20">
        <f t="shared" si="60"/>
        <v>-1.0000000000000005E-4</v>
      </c>
      <c r="Z60" s="20">
        <f t="shared" si="61"/>
        <v>-5.0000000000000001E-4</v>
      </c>
      <c r="AA60" s="20">
        <f t="shared" si="62"/>
        <v>2.7000000000000001E-3</v>
      </c>
      <c r="AB60" s="20">
        <f t="shared" si="63"/>
        <v>6.4000000000000003E-3</v>
      </c>
    </row>
    <row r="61" spans="1:28" x14ac:dyDescent="0.25">
      <c r="A61" s="21" t="s">
        <v>336</v>
      </c>
      <c r="B61" s="21" t="s">
        <v>8</v>
      </c>
      <c r="C61" s="25">
        <f>[1]EURUSD!$B18</f>
        <v>4.9800000000000004E-2</v>
      </c>
      <c r="D61" s="25">
        <f>[1]EURUSD!$F18</f>
        <v>-1.7000000000000001E-3</v>
      </c>
      <c r="E61" s="25">
        <f>[1]EURUSD!$E18</f>
        <v>-3.2000000000000002E-3</v>
      </c>
      <c r="F61" s="25">
        <f>[1]EURUSD!$D18</f>
        <v>1.4000000000000002E-3</v>
      </c>
      <c r="G61" s="25">
        <f>[1]EURUSD!$C18</f>
        <v>5.0000000000000001E-3</v>
      </c>
      <c r="H61" s="8"/>
      <c r="I61" s="21" t="s">
        <v>8</v>
      </c>
      <c r="J61" s="28">
        <f>[2]G7!$C29</f>
        <v>0.31</v>
      </c>
      <c r="K61" s="28">
        <v>0.2</v>
      </c>
      <c r="L61" s="28">
        <v>0.3</v>
      </c>
      <c r="M61" s="28">
        <v>0.2</v>
      </c>
      <c r="N61" s="28">
        <v>0.2</v>
      </c>
      <c r="O61" s="16"/>
      <c r="P61" s="21" t="s">
        <v>8</v>
      </c>
      <c r="Q61" s="20">
        <f t="shared" si="64"/>
        <v>4.6249999999999999E-2</v>
      </c>
      <c r="R61" s="20">
        <f t="shared" si="56"/>
        <v>-2.7000000000000001E-3</v>
      </c>
      <c r="S61" s="20">
        <f t="shared" si="57"/>
        <v>-4.7000000000000002E-3</v>
      </c>
      <c r="T61" s="20">
        <f t="shared" si="58"/>
        <v>4.0000000000000018E-4</v>
      </c>
      <c r="U61" s="20">
        <f t="shared" si="59"/>
        <v>4.0000000000000001E-3</v>
      </c>
      <c r="V61" s="22"/>
      <c r="W61" s="21" t="s">
        <v>8</v>
      </c>
      <c r="X61" s="20">
        <f t="shared" si="65"/>
        <v>4.9350000000000005E-2</v>
      </c>
      <c r="Y61" s="20">
        <f t="shared" si="60"/>
        <v>-7.000000000000001E-4</v>
      </c>
      <c r="Z61" s="20">
        <f t="shared" si="61"/>
        <v>-1.7000000000000001E-3</v>
      </c>
      <c r="AA61" s="20">
        <f t="shared" si="62"/>
        <v>2.4000000000000002E-3</v>
      </c>
      <c r="AB61" s="20">
        <f t="shared" si="63"/>
        <v>6.0000000000000001E-3</v>
      </c>
    </row>
    <row r="62" spans="1:28" x14ac:dyDescent="0.25">
      <c r="A62" s="21" t="s">
        <v>336</v>
      </c>
      <c r="B62" s="21" t="s">
        <v>9</v>
      </c>
      <c r="C62" s="25">
        <f>[1]EURUSD!$B19</f>
        <v>5.2000000000000005E-2</v>
      </c>
      <c r="D62" s="25">
        <f>[1]EURUSD!$F19</f>
        <v>-1.8E-3</v>
      </c>
      <c r="E62" s="25">
        <f>[1]EURUSD!$E19</f>
        <v>-3.4000000000000002E-3</v>
      </c>
      <c r="F62" s="25">
        <f>[1]EURUSD!$D19</f>
        <v>1.6000000000000001E-3</v>
      </c>
      <c r="G62" s="25">
        <f>[1]EURUSD!$C19</f>
        <v>5.8999999999999999E-3</v>
      </c>
      <c r="H62" s="8"/>
      <c r="I62" s="21" t="s">
        <v>9</v>
      </c>
      <c r="J62" s="28">
        <f>[2]G7!$C30</f>
        <v>0.34</v>
      </c>
      <c r="K62" s="28">
        <v>0.2</v>
      </c>
      <c r="L62" s="28">
        <v>0.3</v>
      </c>
      <c r="M62" s="28">
        <v>0.2</v>
      </c>
      <c r="N62" s="28">
        <v>0.2</v>
      </c>
      <c r="O62" s="16"/>
      <c r="P62" s="21" t="s">
        <v>9</v>
      </c>
      <c r="Q62" s="20">
        <f t="shared" si="64"/>
        <v>4.8300000000000003E-2</v>
      </c>
      <c r="R62" s="20">
        <f t="shared" si="56"/>
        <v>-2.8E-3</v>
      </c>
      <c r="S62" s="20">
        <f t="shared" si="57"/>
        <v>-4.8999999999999998E-3</v>
      </c>
      <c r="T62" s="20">
        <f t="shared" si="58"/>
        <v>6.0000000000000006E-4</v>
      </c>
      <c r="U62" s="20">
        <f t="shared" si="59"/>
        <v>4.8999999999999998E-3</v>
      </c>
      <c r="V62" s="22"/>
      <c r="W62" s="21" t="s">
        <v>9</v>
      </c>
      <c r="X62" s="20">
        <f t="shared" si="65"/>
        <v>5.1700000000000003E-2</v>
      </c>
      <c r="Y62" s="20">
        <f t="shared" si="60"/>
        <v>-7.9999999999999993E-4</v>
      </c>
      <c r="Z62" s="20">
        <f t="shared" si="61"/>
        <v>-1.9000000000000002E-3</v>
      </c>
      <c r="AA62" s="20">
        <f t="shared" si="62"/>
        <v>2.5999999999999999E-3</v>
      </c>
      <c r="AB62" s="20">
        <f t="shared" si="63"/>
        <v>6.8999999999999999E-3</v>
      </c>
    </row>
    <row r="63" spans="1:28" x14ac:dyDescent="0.25">
      <c r="A63" s="21" t="s">
        <v>336</v>
      </c>
      <c r="B63" s="21" t="s">
        <v>10</v>
      </c>
      <c r="C63" s="25">
        <f>[1]EURUSD!$B20</f>
        <v>5.2600000000000001E-2</v>
      </c>
      <c r="D63" s="25">
        <f>[1]EURUSD!$F20</f>
        <v>-1.8E-3</v>
      </c>
      <c r="E63" s="25">
        <f>[1]EURUSD!$E20</f>
        <v>-3.4999999999999996E-3</v>
      </c>
      <c r="F63" s="25">
        <f>[1]EURUSD!$D20</f>
        <v>1.9E-3</v>
      </c>
      <c r="G63" s="25">
        <f>[1]EURUSD!$C20</f>
        <v>6.8000000000000005E-3</v>
      </c>
      <c r="H63" s="8"/>
      <c r="I63" s="21" t="s">
        <v>10</v>
      </c>
      <c r="J63" s="28">
        <f>[2]G7!$C31</f>
        <v>0.29000000000000004</v>
      </c>
      <c r="K63" s="28">
        <v>0.2</v>
      </c>
      <c r="L63" s="28">
        <v>0.3</v>
      </c>
      <c r="M63" s="28">
        <v>0.2</v>
      </c>
      <c r="N63" s="28">
        <v>0.2</v>
      </c>
      <c r="O63" s="16"/>
      <c r="P63" s="21" t="s">
        <v>10</v>
      </c>
      <c r="Q63" s="20">
        <f t="shared" si="64"/>
        <v>4.9149999999999999E-2</v>
      </c>
      <c r="R63" s="20">
        <f t="shared" si="56"/>
        <v>-2.8E-3</v>
      </c>
      <c r="S63" s="20">
        <f t="shared" si="57"/>
        <v>-4.9999999999999992E-3</v>
      </c>
      <c r="T63" s="20">
        <f t="shared" si="58"/>
        <v>8.9999999999999998E-4</v>
      </c>
      <c r="U63" s="20">
        <f t="shared" si="59"/>
        <v>5.8000000000000005E-3</v>
      </c>
      <c r="V63" s="22"/>
      <c r="W63" s="21" t="s">
        <v>10</v>
      </c>
      <c r="X63" s="20">
        <f t="shared" si="65"/>
        <v>5.2049999999999999E-2</v>
      </c>
      <c r="Y63" s="20">
        <f t="shared" si="60"/>
        <v>-7.9999999999999993E-4</v>
      </c>
      <c r="Z63" s="20">
        <f t="shared" si="61"/>
        <v>-1.9999999999999996E-3</v>
      </c>
      <c r="AA63" s="20">
        <f t="shared" si="62"/>
        <v>2.8999999999999998E-3</v>
      </c>
      <c r="AB63" s="20">
        <f t="shared" si="63"/>
        <v>7.8000000000000005E-3</v>
      </c>
    </row>
    <row r="64" spans="1:28" x14ac:dyDescent="0.25">
      <c r="A64" s="21" t="s">
        <v>336</v>
      </c>
      <c r="B64" s="21" t="s">
        <v>11</v>
      </c>
      <c r="C64" s="25">
        <f>[1]EURUSD!$B21</f>
        <v>5.57E-2</v>
      </c>
      <c r="D64" s="25">
        <f>[1]EURUSD!$F21</f>
        <v>-1.7000000000000001E-3</v>
      </c>
      <c r="E64" s="25">
        <f>[1]EURUSD!$E21</f>
        <v>-3.3E-3</v>
      </c>
      <c r="F64" s="25">
        <f>[1]EURUSD!$D21</f>
        <v>2.3E-3</v>
      </c>
      <c r="G64" s="25">
        <f>[1]EURUSD!$C21</f>
        <v>8.5000000000000006E-3</v>
      </c>
      <c r="H64" s="8"/>
      <c r="I64" s="21" t="s">
        <v>11</v>
      </c>
      <c r="J64" s="28">
        <f>[2]G7!$C32</f>
        <v>0.29000000000000004</v>
      </c>
      <c r="K64" s="28">
        <v>0.2</v>
      </c>
      <c r="L64" s="28">
        <v>0.2</v>
      </c>
      <c r="M64" s="28">
        <v>0.2</v>
      </c>
      <c r="N64" s="28">
        <v>0.2</v>
      </c>
      <c r="O64" s="16"/>
      <c r="P64" s="21" t="s">
        <v>11</v>
      </c>
      <c r="Q64" s="20">
        <f t="shared" si="64"/>
        <v>5.2249999999999998E-2</v>
      </c>
      <c r="R64" s="20">
        <f t="shared" si="56"/>
        <v>-2.7000000000000001E-3</v>
      </c>
      <c r="S64" s="20">
        <f t="shared" si="57"/>
        <v>-4.3E-3</v>
      </c>
      <c r="T64" s="20">
        <f t="shared" si="58"/>
        <v>1.2999999999999999E-3</v>
      </c>
      <c r="U64" s="20">
        <f t="shared" si="59"/>
        <v>7.5000000000000006E-3</v>
      </c>
      <c r="V64" s="22"/>
      <c r="W64" s="21" t="s">
        <v>11</v>
      </c>
      <c r="X64" s="20">
        <f t="shared" si="65"/>
        <v>5.5149999999999998E-2</v>
      </c>
      <c r="Y64" s="20">
        <f t="shared" si="60"/>
        <v>-7.000000000000001E-4</v>
      </c>
      <c r="Z64" s="20">
        <f t="shared" si="61"/>
        <v>-2.3E-3</v>
      </c>
      <c r="AA64" s="20">
        <f t="shared" si="62"/>
        <v>3.3E-3</v>
      </c>
      <c r="AB64" s="20">
        <f t="shared" si="63"/>
        <v>9.5000000000000015E-3</v>
      </c>
    </row>
    <row r="65" spans="1:28" x14ac:dyDescent="0.25">
      <c r="A65" s="21" t="s">
        <v>336</v>
      </c>
      <c r="B65" s="21" t="s">
        <v>12</v>
      </c>
      <c r="C65" s="25">
        <f>[1]EURUSD!$B22</f>
        <v>6.0299999999999999E-2</v>
      </c>
      <c r="D65" s="25">
        <f>[1]EURUSD!$F22</f>
        <v>-1.8E-3</v>
      </c>
      <c r="E65" s="25">
        <f>[1]EURUSD!$E22</f>
        <v>-3.4000000000000002E-3</v>
      </c>
      <c r="F65" s="25">
        <f>[1]EURUSD!$D22</f>
        <v>2.5000000000000001E-3</v>
      </c>
      <c r="G65" s="25">
        <f>[1]EURUSD!$C22</f>
        <v>9.3999999999999986E-3</v>
      </c>
      <c r="H65" s="8"/>
      <c r="I65" s="21" t="s">
        <v>12</v>
      </c>
      <c r="J65" s="28">
        <f>[2]G7!$C33</f>
        <v>0.28000000000000003</v>
      </c>
      <c r="K65" s="28">
        <v>0.2</v>
      </c>
      <c r="L65" s="28">
        <v>0.3</v>
      </c>
      <c r="M65" s="28">
        <v>0.2</v>
      </c>
      <c r="N65" s="28">
        <v>0.2</v>
      </c>
      <c r="O65" s="16"/>
      <c r="P65" s="21" t="s">
        <v>12</v>
      </c>
      <c r="Q65" s="20">
        <f t="shared" si="64"/>
        <v>5.6899999999999999E-2</v>
      </c>
      <c r="R65" s="20">
        <f t="shared" si="56"/>
        <v>-2.8E-3</v>
      </c>
      <c r="S65" s="20">
        <f t="shared" si="57"/>
        <v>-4.8999999999999998E-3</v>
      </c>
      <c r="T65" s="20">
        <f t="shared" si="58"/>
        <v>1.5E-3</v>
      </c>
      <c r="U65" s="20">
        <f t="shared" si="59"/>
        <v>8.3999999999999977E-3</v>
      </c>
      <c r="V65" s="22"/>
      <c r="W65" s="21" t="s">
        <v>12</v>
      </c>
      <c r="X65" s="20">
        <f t="shared" si="65"/>
        <v>5.9699999999999996E-2</v>
      </c>
      <c r="Y65" s="20">
        <f t="shared" si="60"/>
        <v>-7.9999999999999993E-4</v>
      </c>
      <c r="Z65" s="20">
        <f t="shared" si="61"/>
        <v>-1.9000000000000002E-3</v>
      </c>
      <c r="AA65" s="20">
        <f t="shared" si="62"/>
        <v>3.5000000000000001E-3</v>
      </c>
      <c r="AB65" s="20">
        <f t="shared" si="63"/>
        <v>1.04E-2</v>
      </c>
    </row>
    <row r="66" spans="1:28" x14ac:dyDescent="0.25">
      <c r="A66" s="21" t="s">
        <v>336</v>
      </c>
      <c r="B66" s="21" t="s">
        <v>13</v>
      </c>
      <c r="C66" s="25">
        <f>[1]EURUSD!$B23</f>
        <v>6.25E-2</v>
      </c>
      <c r="D66" s="25">
        <f>[1]EURUSD!$F23</f>
        <v>-1.9E-3</v>
      </c>
      <c r="E66" s="25">
        <f>[1]EURUSD!$E23</f>
        <v>-3.4999999999999996E-3</v>
      </c>
      <c r="F66" s="25">
        <f>[1]EURUSD!$D23</f>
        <v>2.8999999999999998E-3</v>
      </c>
      <c r="G66" s="25">
        <f>[1]EURUSD!$C23</f>
        <v>1.09E-2</v>
      </c>
      <c r="H66" s="8"/>
      <c r="I66" s="21" t="s">
        <v>13</v>
      </c>
      <c r="J66" s="28">
        <f>[2]G7!$C34</f>
        <v>0.29000000000000004</v>
      </c>
      <c r="K66" s="28">
        <v>0.2</v>
      </c>
      <c r="L66" s="28">
        <v>0.2</v>
      </c>
      <c r="M66" s="28">
        <v>0.2</v>
      </c>
      <c r="N66" s="28">
        <v>0.2</v>
      </c>
      <c r="O66" s="16"/>
      <c r="P66" s="21" t="s">
        <v>13</v>
      </c>
      <c r="Q66" s="20">
        <f t="shared" si="64"/>
        <v>5.9049999999999998E-2</v>
      </c>
      <c r="R66" s="20">
        <f t="shared" si="56"/>
        <v>-2.8999999999999998E-3</v>
      </c>
      <c r="S66" s="20">
        <f t="shared" si="57"/>
        <v>-4.4999999999999997E-3</v>
      </c>
      <c r="T66" s="20">
        <f t="shared" si="58"/>
        <v>1.8999999999999998E-3</v>
      </c>
      <c r="U66" s="20">
        <f t="shared" si="59"/>
        <v>9.8999999999999991E-3</v>
      </c>
      <c r="V66" s="22"/>
      <c r="W66" s="21" t="s">
        <v>13</v>
      </c>
      <c r="X66" s="20">
        <f t="shared" si="65"/>
        <v>6.1950000000000005E-2</v>
      </c>
      <c r="Y66" s="20">
        <f t="shared" si="60"/>
        <v>-8.9999999999999998E-4</v>
      </c>
      <c r="Z66" s="20">
        <f t="shared" si="61"/>
        <v>-2.4999999999999996E-3</v>
      </c>
      <c r="AA66" s="20">
        <f t="shared" si="62"/>
        <v>3.8999999999999998E-3</v>
      </c>
      <c r="AB66" s="20">
        <f t="shared" si="63"/>
        <v>1.1900000000000001E-2</v>
      </c>
    </row>
    <row r="67" spans="1:28" x14ac:dyDescent="0.25">
      <c r="A67" s="21" t="s">
        <v>336</v>
      </c>
      <c r="B67" s="21" t="s">
        <v>14</v>
      </c>
      <c r="C67" s="25">
        <f>[1]EURUSD!$B24</f>
        <v>6.7599999999999993E-2</v>
      </c>
      <c r="D67" s="25">
        <f>[1]EURUSD!$F24</f>
        <v>-2E-3</v>
      </c>
      <c r="E67" s="25">
        <f>[1]EURUSD!$E24</f>
        <v>-3.4999999999999996E-3</v>
      </c>
      <c r="F67" s="25">
        <f>[1]EURUSD!$D24</f>
        <v>3.7000000000000002E-3</v>
      </c>
      <c r="G67" s="25">
        <f>[1]EURUSD!$C24</f>
        <v>1.34E-2</v>
      </c>
      <c r="H67" s="16"/>
      <c r="I67" s="21" t="s">
        <v>14</v>
      </c>
      <c r="J67" s="28">
        <f>[2]G7!$C35</f>
        <v>0.36</v>
      </c>
      <c r="K67" s="28">
        <v>0.2</v>
      </c>
      <c r="L67" s="28">
        <v>0.3</v>
      </c>
      <c r="M67" s="28">
        <v>0.2</v>
      </c>
      <c r="N67" s="28">
        <v>0.2</v>
      </c>
      <c r="O67" s="16"/>
      <c r="P67" s="21" t="s">
        <v>14</v>
      </c>
      <c r="Q67" s="20">
        <f t="shared" si="64"/>
        <v>6.3799999999999996E-2</v>
      </c>
      <c r="R67" s="20">
        <f t="shared" si="56"/>
        <v>-3.0000000000000001E-3</v>
      </c>
      <c r="S67" s="20">
        <f t="shared" si="57"/>
        <v>-4.9999999999999992E-3</v>
      </c>
      <c r="T67" s="20">
        <f t="shared" si="58"/>
        <v>2.7000000000000001E-3</v>
      </c>
      <c r="U67" s="20">
        <f t="shared" si="59"/>
        <v>1.2400000000000001E-2</v>
      </c>
      <c r="V67" s="22"/>
      <c r="W67" s="21" t="s">
        <v>14</v>
      </c>
      <c r="X67" s="20">
        <f t="shared" si="65"/>
        <v>6.7399999999999988E-2</v>
      </c>
      <c r="Y67" s="20">
        <f t="shared" si="60"/>
        <v>-1E-3</v>
      </c>
      <c r="Z67" s="20">
        <f t="shared" si="61"/>
        <v>-1.9999999999999996E-3</v>
      </c>
      <c r="AA67" s="20">
        <f t="shared" si="62"/>
        <v>4.7000000000000002E-3</v>
      </c>
      <c r="AB67" s="20">
        <f t="shared" si="63"/>
        <v>1.44E-2</v>
      </c>
    </row>
    <row r="68" spans="1:28" x14ac:dyDescent="0.25">
      <c r="A68" s="21" t="s">
        <v>336</v>
      </c>
      <c r="B68" s="21" t="s">
        <v>876</v>
      </c>
      <c r="C68" s="25">
        <f>[1]EURUSD!$B25</f>
        <v>7.0699999999999999E-2</v>
      </c>
      <c r="D68" s="25">
        <f>[1]EURUSD!$F25</f>
        <v>-1.7000000000000001E-3</v>
      </c>
      <c r="E68" s="25">
        <f>[1]EURUSD!$E25</f>
        <v>-3.0000000000000001E-3</v>
      </c>
      <c r="F68" s="25">
        <f>[1]EURUSD!$D25</f>
        <v>3.3E-3</v>
      </c>
      <c r="G68" s="25">
        <f>[1]EURUSD!$C25</f>
        <v>1.1899999999999999E-2</v>
      </c>
      <c r="H68" s="16"/>
      <c r="I68" s="21" t="s">
        <v>876</v>
      </c>
      <c r="J68" s="28">
        <f>[2]G7!$C36</f>
        <v>0.44</v>
      </c>
      <c r="K68" s="28">
        <v>0.2</v>
      </c>
      <c r="L68" s="28">
        <v>0.3</v>
      </c>
      <c r="M68" s="28">
        <v>0.2</v>
      </c>
      <c r="N68" s="28">
        <v>0.2</v>
      </c>
      <c r="O68" s="16"/>
      <c r="P68" s="21" t="s">
        <v>876</v>
      </c>
      <c r="Q68" s="20">
        <f t="shared" si="64"/>
        <v>6.6500000000000004E-2</v>
      </c>
      <c r="R68" s="20">
        <f t="shared" ref="R68" si="66">D68-K68/200</f>
        <v>-2.7000000000000001E-3</v>
      </c>
      <c r="S68" s="20">
        <f t="shared" ref="S68" si="67">E68-L68/200</f>
        <v>-4.5000000000000005E-3</v>
      </c>
      <c r="T68" s="20">
        <f t="shared" ref="T68" si="68">F68-M68/200</f>
        <v>2.3E-3</v>
      </c>
      <c r="U68" s="20">
        <f t="shared" ref="U68" si="69">G68-N68/200</f>
        <v>1.09E-2</v>
      </c>
      <c r="V68" s="22"/>
      <c r="W68" s="21" t="s">
        <v>876</v>
      </c>
      <c r="X68" s="20">
        <f t="shared" si="65"/>
        <v>7.0899999999999991E-2</v>
      </c>
      <c r="Y68" s="20">
        <f t="shared" ref="Y68" si="70">D68+K68/200</f>
        <v>-7.000000000000001E-4</v>
      </c>
      <c r="Z68" s="20">
        <f t="shared" ref="Z68" si="71">E68+L68/200</f>
        <v>-1.5E-3</v>
      </c>
      <c r="AA68" s="20">
        <f t="shared" ref="AA68" si="72">F68+M68/200</f>
        <v>4.3E-3</v>
      </c>
      <c r="AB68" s="20">
        <f t="shared" ref="AB68" si="73">G68+N68/200</f>
        <v>1.2899999999999998E-2</v>
      </c>
    </row>
    <row r="69" spans="1:28" x14ac:dyDescent="0.25">
      <c r="A69" s="16"/>
      <c r="B69" s="16"/>
      <c r="C69" s="26"/>
      <c r="D69" s="26"/>
      <c r="E69" s="26"/>
      <c r="F69" s="26"/>
      <c r="G69" s="26"/>
      <c r="H69" s="16"/>
      <c r="I69" s="16"/>
      <c r="J69" s="16"/>
      <c r="K69" s="16"/>
      <c r="L69" s="16"/>
      <c r="M69" s="16"/>
      <c r="N69" s="16"/>
      <c r="O69" s="16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spans="1:28" x14ac:dyDescent="0.25">
      <c r="A70" s="16"/>
      <c r="B70" s="16"/>
      <c r="C70" s="26"/>
      <c r="D70" s="26"/>
      <c r="E70" s="26"/>
      <c r="F70" s="26"/>
      <c r="G70" s="26"/>
      <c r="H70" s="16"/>
      <c r="I70" s="16"/>
      <c r="J70" s="16"/>
      <c r="K70" s="16"/>
      <c r="L70" s="16"/>
      <c r="M70" s="16"/>
      <c r="N70" s="16"/>
      <c r="O70" s="16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spans="1:28" x14ac:dyDescent="0.25">
      <c r="A71" s="7" t="s">
        <v>70</v>
      </c>
      <c r="B71" s="7" t="s">
        <v>351</v>
      </c>
      <c r="C71" s="24" t="s">
        <v>347</v>
      </c>
      <c r="D71" s="24" t="s">
        <v>348</v>
      </c>
      <c r="E71" s="24" t="s">
        <v>343</v>
      </c>
      <c r="F71" s="24" t="s">
        <v>344</v>
      </c>
      <c r="G71" s="24" t="s">
        <v>345</v>
      </c>
      <c r="H71" s="8"/>
      <c r="I71" s="7" t="s">
        <v>346</v>
      </c>
      <c r="J71" s="7" t="s">
        <v>347</v>
      </c>
      <c r="K71" s="7" t="s">
        <v>348</v>
      </c>
      <c r="L71" s="7" t="s">
        <v>343</v>
      </c>
      <c r="M71" s="7" t="s">
        <v>344</v>
      </c>
      <c r="N71" s="7" t="s">
        <v>345</v>
      </c>
      <c r="O71" s="16"/>
      <c r="P71" s="7" t="s">
        <v>349</v>
      </c>
      <c r="Q71" s="7" t="s">
        <v>347</v>
      </c>
      <c r="R71" s="7" t="s">
        <v>348</v>
      </c>
      <c r="S71" s="7" t="s">
        <v>343</v>
      </c>
      <c r="T71" s="7" t="s">
        <v>344</v>
      </c>
      <c r="U71" s="7" t="s">
        <v>345</v>
      </c>
      <c r="V71" s="22"/>
      <c r="W71" s="7" t="s">
        <v>350</v>
      </c>
      <c r="X71" s="7" t="s">
        <v>347</v>
      </c>
      <c r="Y71" s="7" t="s">
        <v>348</v>
      </c>
      <c r="Z71" s="7" t="s">
        <v>343</v>
      </c>
      <c r="AA71" s="7" t="s">
        <v>344</v>
      </c>
      <c r="AB71" s="7" t="s">
        <v>345</v>
      </c>
    </row>
    <row r="72" spans="1:28" x14ac:dyDescent="0.25">
      <c r="A72" s="21" t="s">
        <v>353</v>
      </c>
      <c r="B72" s="21" t="s">
        <v>5</v>
      </c>
      <c r="C72" s="25">
        <f>[1]EURHKD!$B15</f>
        <v>4.1900000000000007E-2</v>
      </c>
      <c r="D72" s="25">
        <f>[1]EURHKD!$F15</f>
        <v>-1.4000000000000002E-3</v>
      </c>
      <c r="E72" s="25">
        <f>[1]EURHKD!$E15</f>
        <v>-2.5999999999999999E-3</v>
      </c>
      <c r="F72" s="25">
        <f>[1]EURHKD!$D15</f>
        <v>8.9999999999999998E-4</v>
      </c>
      <c r="G72" s="25">
        <f>[1]EURHKD!$C15</f>
        <v>3.4000000000000002E-3</v>
      </c>
      <c r="H72" s="8"/>
      <c r="I72" s="21" t="s">
        <v>5</v>
      </c>
      <c r="J72" s="28">
        <f>[2]G7!$D26</f>
        <v>2.94</v>
      </c>
      <c r="K72" s="28">
        <v>1.4</v>
      </c>
      <c r="L72" s="28">
        <v>2.2999999999999998</v>
      </c>
      <c r="M72" s="28">
        <v>1.4</v>
      </c>
      <c r="N72" s="28">
        <v>1.5</v>
      </c>
      <c r="O72" s="16"/>
      <c r="P72" s="21" t="s">
        <v>5</v>
      </c>
      <c r="Q72" s="20">
        <f>(C72-J72/200)-0.002</f>
        <v>2.5200000000000007E-2</v>
      </c>
      <c r="R72" s="20">
        <f t="shared" ref="R72:R82" si="74">D72-K72/200</f>
        <v>-8.3999999999999995E-3</v>
      </c>
      <c r="S72" s="20">
        <f t="shared" ref="S72:S82" si="75">E72-L72/200</f>
        <v>-1.41E-2</v>
      </c>
      <c r="T72" s="20">
        <f t="shared" ref="T72:T82" si="76">F72-M72/200</f>
        <v>-6.0999999999999995E-3</v>
      </c>
      <c r="U72" s="20">
        <f t="shared" ref="U72:U82" si="77">G72-N72/200</f>
        <v>-4.0999999999999995E-3</v>
      </c>
      <c r="V72" s="22"/>
      <c r="W72" s="21" t="s">
        <v>5</v>
      </c>
      <c r="X72" s="20">
        <f>(C72+J72/200)-0.002</f>
        <v>5.4600000000000003E-2</v>
      </c>
      <c r="Y72" s="20">
        <f t="shared" ref="Y72:Y82" si="78">D72+K72/200</f>
        <v>5.5999999999999991E-3</v>
      </c>
      <c r="Z72" s="20">
        <f t="shared" ref="Z72:Z82" si="79">E72+L72/200</f>
        <v>8.8999999999999999E-3</v>
      </c>
      <c r="AA72" s="20">
        <f t="shared" ref="AA72:AA82" si="80">F72+M72/200</f>
        <v>7.899999999999999E-3</v>
      </c>
      <c r="AB72" s="20">
        <f t="shared" ref="AB72:AB82" si="81">G72+N72/200</f>
        <v>1.09E-2</v>
      </c>
    </row>
    <row r="73" spans="1:28" x14ac:dyDescent="0.25">
      <c r="A73" s="21" t="s">
        <v>353</v>
      </c>
      <c r="B73" s="21" t="s">
        <v>6</v>
      </c>
      <c r="C73" s="25">
        <f>[1]EURHKD!$B16</f>
        <v>4.8000000000000001E-2</v>
      </c>
      <c r="D73" s="25">
        <f>[1]EURHKD!$F16</f>
        <v>-1.6000000000000001E-3</v>
      </c>
      <c r="E73" s="25">
        <f>[1]EURHKD!$E16</f>
        <v>-3.0999999999999999E-3</v>
      </c>
      <c r="F73" s="25">
        <f>[1]EURHKD!$D16</f>
        <v>1.1000000000000001E-3</v>
      </c>
      <c r="G73" s="25">
        <f>[1]EURHKD!$C16</f>
        <v>4.0999999999999995E-3</v>
      </c>
      <c r="H73" s="8"/>
      <c r="I73" s="21" t="s">
        <v>6</v>
      </c>
      <c r="J73" s="28">
        <f>[2]G7!$D27</f>
        <v>0.8899999999999999</v>
      </c>
      <c r="K73" s="28">
        <v>0.5</v>
      </c>
      <c r="L73" s="28">
        <v>0.8</v>
      </c>
      <c r="M73" s="28">
        <v>0.5</v>
      </c>
      <c r="N73" s="28">
        <v>0.5</v>
      </c>
      <c r="O73" s="16"/>
      <c r="P73" s="21" t="s">
        <v>6</v>
      </c>
      <c r="Q73" s="20">
        <f t="shared" ref="Q73:Q82" si="82">(C73-J73/200)-0.002</f>
        <v>4.1550000000000004E-2</v>
      </c>
      <c r="R73" s="20">
        <f t="shared" si="74"/>
        <v>-4.1000000000000003E-3</v>
      </c>
      <c r="S73" s="20">
        <f t="shared" si="75"/>
        <v>-7.1000000000000004E-3</v>
      </c>
      <c r="T73" s="20">
        <f t="shared" si="76"/>
        <v>-1.4E-3</v>
      </c>
      <c r="U73" s="20">
        <f t="shared" si="77"/>
        <v>1.5999999999999994E-3</v>
      </c>
      <c r="V73" s="22"/>
      <c r="W73" s="21" t="s">
        <v>6</v>
      </c>
      <c r="X73" s="20">
        <f t="shared" ref="X73:X82" si="83">(C73+J73/200)-0.002</f>
        <v>5.0449999999999995E-2</v>
      </c>
      <c r="Y73" s="20">
        <f t="shared" si="78"/>
        <v>8.9999999999999998E-4</v>
      </c>
      <c r="Z73" s="20">
        <f t="shared" si="79"/>
        <v>9.0000000000000019E-4</v>
      </c>
      <c r="AA73" s="20">
        <f t="shared" si="80"/>
        <v>3.5999999999999999E-3</v>
      </c>
      <c r="AB73" s="20">
        <f t="shared" si="81"/>
        <v>6.6E-3</v>
      </c>
    </row>
    <row r="74" spans="1:28" x14ac:dyDescent="0.25">
      <c r="A74" s="21" t="s">
        <v>353</v>
      </c>
      <c r="B74" s="21" t="s">
        <v>7</v>
      </c>
      <c r="C74" s="25">
        <f>[1]EURHKD!$B17</f>
        <v>5.1399999999999994E-2</v>
      </c>
      <c r="D74" s="25">
        <f>[1]EURHKD!$F17</f>
        <v>-1.8E-3</v>
      </c>
      <c r="E74" s="25">
        <f>[1]EURHKD!$E17</f>
        <v>-3.5999999999999999E-3</v>
      </c>
      <c r="F74" s="25">
        <f>[1]EURHKD!$D17</f>
        <v>1.4000000000000002E-3</v>
      </c>
      <c r="G74" s="25">
        <f>[1]EURHKD!$C17</f>
        <v>5.0000000000000001E-3</v>
      </c>
      <c r="H74" s="8"/>
      <c r="I74" s="21" t="s">
        <v>7</v>
      </c>
      <c r="J74" s="28">
        <f>[2]G7!$D28</f>
        <v>0.81</v>
      </c>
      <c r="K74" s="28">
        <v>0.3</v>
      </c>
      <c r="L74" s="28">
        <v>0.5</v>
      </c>
      <c r="M74" s="28">
        <v>0.3</v>
      </c>
      <c r="N74" s="28">
        <v>0.4</v>
      </c>
      <c r="O74" s="16"/>
      <c r="P74" s="21" t="s">
        <v>7</v>
      </c>
      <c r="Q74" s="20">
        <f t="shared" si="82"/>
        <v>4.5349999999999994E-2</v>
      </c>
      <c r="R74" s="20">
        <f t="shared" si="74"/>
        <v>-3.3E-3</v>
      </c>
      <c r="S74" s="20">
        <f t="shared" si="75"/>
        <v>-6.0999999999999995E-3</v>
      </c>
      <c r="T74" s="20">
        <f t="shared" si="76"/>
        <v>-9.9999999999999829E-5</v>
      </c>
      <c r="U74" s="20">
        <f t="shared" si="77"/>
        <v>3.0000000000000001E-3</v>
      </c>
      <c r="V74" s="22"/>
      <c r="W74" s="21" t="s">
        <v>7</v>
      </c>
      <c r="X74" s="20">
        <f t="shared" si="83"/>
        <v>5.3449999999999991E-2</v>
      </c>
      <c r="Y74" s="20">
        <f t="shared" si="78"/>
        <v>-2.9999999999999992E-4</v>
      </c>
      <c r="Z74" s="20">
        <f t="shared" si="79"/>
        <v>-1.0999999999999998E-3</v>
      </c>
      <c r="AA74" s="20">
        <f t="shared" si="80"/>
        <v>2.9000000000000002E-3</v>
      </c>
      <c r="AB74" s="20">
        <f t="shared" si="81"/>
        <v>7.0000000000000001E-3</v>
      </c>
    </row>
    <row r="75" spans="1:28" x14ac:dyDescent="0.25">
      <c r="A75" s="21" t="s">
        <v>353</v>
      </c>
      <c r="B75" s="21" t="s">
        <v>8</v>
      </c>
      <c r="C75" s="25">
        <f>[1]EURHKD!$B18</f>
        <v>0.05</v>
      </c>
      <c r="D75" s="25">
        <f>[1]EURHKD!$F18</f>
        <v>-1.8E-3</v>
      </c>
      <c r="E75" s="25">
        <f>[1]EURHKD!$E18</f>
        <v>-3.5999999999999999E-3</v>
      </c>
      <c r="F75" s="25">
        <f>[1]EURHKD!$D18</f>
        <v>1.4000000000000002E-3</v>
      </c>
      <c r="G75" s="25">
        <f>[1]EURHKD!$C18</f>
        <v>5.1000000000000004E-3</v>
      </c>
      <c r="H75" s="8"/>
      <c r="I75" s="21" t="s">
        <v>8</v>
      </c>
      <c r="J75" s="28">
        <f>[2]G7!$D29</f>
        <v>0.59000000000000008</v>
      </c>
      <c r="K75" s="28">
        <v>0.2</v>
      </c>
      <c r="L75" s="28">
        <v>0.3</v>
      </c>
      <c r="M75" s="28">
        <v>0.2</v>
      </c>
      <c r="N75" s="28">
        <v>0.2</v>
      </c>
      <c r="O75" s="16"/>
      <c r="P75" s="21" t="s">
        <v>8</v>
      </c>
      <c r="Q75" s="20">
        <f t="shared" si="82"/>
        <v>4.505E-2</v>
      </c>
      <c r="R75" s="20">
        <f t="shared" si="74"/>
        <v>-2.8E-3</v>
      </c>
      <c r="S75" s="20">
        <f t="shared" si="75"/>
        <v>-5.1000000000000004E-3</v>
      </c>
      <c r="T75" s="20">
        <f t="shared" si="76"/>
        <v>4.0000000000000018E-4</v>
      </c>
      <c r="U75" s="20">
        <f t="shared" si="77"/>
        <v>4.1000000000000003E-3</v>
      </c>
      <c r="V75" s="22"/>
      <c r="W75" s="21" t="s">
        <v>8</v>
      </c>
      <c r="X75" s="20">
        <f t="shared" si="83"/>
        <v>5.0950000000000002E-2</v>
      </c>
      <c r="Y75" s="20">
        <f t="shared" si="78"/>
        <v>-7.9999999999999993E-4</v>
      </c>
      <c r="Z75" s="20">
        <f t="shared" si="79"/>
        <v>-2.0999999999999999E-3</v>
      </c>
      <c r="AA75" s="20">
        <f t="shared" si="80"/>
        <v>2.4000000000000002E-3</v>
      </c>
      <c r="AB75" s="20">
        <f t="shared" si="81"/>
        <v>6.1000000000000004E-3</v>
      </c>
    </row>
    <row r="76" spans="1:28" x14ac:dyDescent="0.25">
      <c r="A76" s="21" t="s">
        <v>353</v>
      </c>
      <c r="B76" s="21" t="s">
        <v>9</v>
      </c>
      <c r="C76" s="25">
        <f>[1]EURHKD!$B19</f>
        <v>5.2499999999999998E-2</v>
      </c>
      <c r="D76" s="25">
        <f>[1]EURHKD!$F19</f>
        <v>-2E-3</v>
      </c>
      <c r="E76" s="25">
        <f>[1]EURHKD!$E19</f>
        <v>-3.9000000000000003E-3</v>
      </c>
      <c r="F76" s="25">
        <f>[1]EURHKD!$D19</f>
        <v>1.7000000000000001E-3</v>
      </c>
      <c r="G76" s="25">
        <f>[1]EURHKD!$C19</f>
        <v>6.3E-3</v>
      </c>
      <c r="H76" s="8"/>
      <c r="I76" s="21" t="s">
        <v>9</v>
      </c>
      <c r="J76" s="28">
        <f>[2]G7!$D30</f>
        <v>0.58000000000000007</v>
      </c>
      <c r="K76" s="28">
        <v>0.2</v>
      </c>
      <c r="L76" s="28">
        <v>0.3</v>
      </c>
      <c r="M76" s="28">
        <v>0.2</v>
      </c>
      <c r="N76" s="28">
        <v>0.2</v>
      </c>
      <c r="O76" s="16"/>
      <c r="P76" s="21" t="s">
        <v>9</v>
      </c>
      <c r="Q76" s="20">
        <f t="shared" si="82"/>
        <v>4.7599999999999996E-2</v>
      </c>
      <c r="R76" s="20">
        <f t="shared" si="74"/>
        <v>-3.0000000000000001E-3</v>
      </c>
      <c r="S76" s="20">
        <f t="shared" si="75"/>
        <v>-5.4000000000000003E-3</v>
      </c>
      <c r="T76" s="20">
        <f t="shared" si="76"/>
        <v>7.000000000000001E-4</v>
      </c>
      <c r="U76" s="20">
        <f t="shared" si="77"/>
        <v>5.3E-3</v>
      </c>
      <c r="V76" s="22"/>
      <c r="W76" s="21" t="s">
        <v>9</v>
      </c>
      <c r="X76" s="20">
        <f t="shared" si="83"/>
        <v>5.3399999999999996E-2</v>
      </c>
      <c r="Y76" s="20">
        <f t="shared" si="78"/>
        <v>-1E-3</v>
      </c>
      <c r="Z76" s="20">
        <f t="shared" si="79"/>
        <v>-2.4000000000000002E-3</v>
      </c>
      <c r="AA76" s="20">
        <f t="shared" si="80"/>
        <v>2.7000000000000001E-3</v>
      </c>
      <c r="AB76" s="20">
        <f t="shared" si="81"/>
        <v>7.3000000000000001E-3</v>
      </c>
    </row>
    <row r="77" spans="1:28" x14ac:dyDescent="0.25">
      <c r="A77" s="21" t="s">
        <v>353</v>
      </c>
      <c r="B77" s="21" t="s">
        <v>10</v>
      </c>
      <c r="C77" s="25">
        <f>[1]EURHKD!$B20</f>
        <v>5.2699999999999997E-2</v>
      </c>
      <c r="D77" s="25">
        <f>[1]EURHKD!$F20</f>
        <v>-2.0999999999999999E-3</v>
      </c>
      <c r="E77" s="25">
        <f>[1]EURHKD!$E20</f>
        <v>-4.0000000000000001E-3</v>
      </c>
      <c r="F77" s="25">
        <f>[1]EURHKD!$D20</f>
        <v>1.9E-3</v>
      </c>
      <c r="G77" s="25">
        <f>[1]EURHKD!$C20</f>
        <v>6.9999999999999993E-3</v>
      </c>
      <c r="H77" s="8"/>
      <c r="I77" s="21" t="s">
        <v>10</v>
      </c>
      <c r="J77" s="28">
        <f>[2]G7!$D31</f>
        <v>0.59000000000000008</v>
      </c>
      <c r="K77" s="28">
        <v>0.2</v>
      </c>
      <c r="L77" s="28">
        <v>0.3</v>
      </c>
      <c r="M77" s="28">
        <v>0.2</v>
      </c>
      <c r="N77" s="28">
        <v>0.2</v>
      </c>
      <c r="O77" s="16"/>
      <c r="P77" s="21" t="s">
        <v>10</v>
      </c>
      <c r="Q77" s="20">
        <f t="shared" si="82"/>
        <v>4.7749999999999994E-2</v>
      </c>
      <c r="R77" s="20">
        <f t="shared" si="74"/>
        <v>-3.0999999999999999E-3</v>
      </c>
      <c r="S77" s="20">
        <f t="shared" si="75"/>
        <v>-5.4999999999999997E-3</v>
      </c>
      <c r="T77" s="20">
        <f t="shared" si="76"/>
        <v>8.9999999999999998E-4</v>
      </c>
      <c r="U77" s="20">
        <f t="shared" si="77"/>
        <v>5.9999999999999993E-3</v>
      </c>
      <c r="V77" s="22"/>
      <c r="W77" s="21" t="s">
        <v>10</v>
      </c>
      <c r="X77" s="20">
        <f t="shared" si="83"/>
        <v>5.3649999999999996E-2</v>
      </c>
      <c r="Y77" s="20">
        <f t="shared" si="78"/>
        <v>-1.0999999999999998E-3</v>
      </c>
      <c r="Z77" s="20">
        <f t="shared" si="79"/>
        <v>-2.5000000000000001E-3</v>
      </c>
      <c r="AA77" s="20">
        <f t="shared" si="80"/>
        <v>2.8999999999999998E-3</v>
      </c>
      <c r="AB77" s="20">
        <f t="shared" si="81"/>
        <v>8.0000000000000002E-3</v>
      </c>
    </row>
    <row r="78" spans="1:28" x14ac:dyDescent="0.25">
      <c r="A78" s="21" t="s">
        <v>353</v>
      </c>
      <c r="B78" s="21" t="s">
        <v>11</v>
      </c>
      <c r="C78" s="25">
        <f>[1]EURHKD!$B21</f>
        <v>5.5800000000000002E-2</v>
      </c>
      <c r="D78" s="25">
        <f>[1]EURHKD!$F21</f>
        <v>-2.0999999999999999E-3</v>
      </c>
      <c r="E78" s="25">
        <f>[1]EURHKD!$E21</f>
        <v>-3.9000000000000003E-3</v>
      </c>
      <c r="F78" s="25">
        <f>[1]EURHKD!$D21</f>
        <v>2.3E-3</v>
      </c>
      <c r="G78" s="25">
        <f>[1]EURHKD!$C21</f>
        <v>8.6999999999999994E-3</v>
      </c>
      <c r="H78" s="8"/>
      <c r="I78" s="21" t="s">
        <v>11</v>
      </c>
      <c r="J78" s="28">
        <f>[2]G7!$D32</f>
        <v>0.59000000000000008</v>
      </c>
      <c r="K78" s="28">
        <v>0.2</v>
      </c>
      <c r="L78" s="28">
        <v>0.2</v>
      </c>
      <c r="M78" s="28">
        <v>0.2</v>
      </c>
      <c r="N78" s="28">
        <v>0.2</v>
      </c>
      <c r="O78" s="16"/>
      <c r="P78" s="21" t="s">
        <v>11</v>
      </c>
      <c r="Q78" s="20">
        <f t="shared" si="82"/>
        <v>5.0849999999999999E-2</v>
      </c>
      <c r="R78" s="20">
        <f t="shared" si="74"/>
        <v>-3.0999999999999999E-3</v>
      </c>
      <c r="S78" s="20">
        <f t="shared" si="75"/>
        <v>-4.8999999999999998E-3</v>
      </c>
      <c r="T78" s="20">
        <f t="shared" si="76"/>
        <v>1.2999999999999999E-3</v>
      </c>
      <c r="U78" s="20">
        <f t="shared" si="77"/>
        <v>7.6999999999999994E-3</v>
      </c>
      <c r="V78" s="22"/>
      <c r="W78" s="21" t="s">
        <v>11</v>
      </c>
      <c r="X78" s="20">
        <f t="shared" si="83"/>
        <v>5.6750000000000002E-2</v>
      </c>
      <c r="Y78" s="20">
        <f t="shared" si="78"/>
        <v>-1.0999999999999998E-3</v>
      </c>
      <c r="Z78" s="20">
        <f t="shared" si="79"/>
        <v>-2.9000000000000002E-3</v>
      </c>
      <c r="AA78" s="20">
        <f t="shared" si="80"/>
        <v>3.3E-3</v>
      </c>
      <c r="AB78" s="20">
        <f t="shared" si="81"/>
        <v>9.7000000000000003E-3</v>
      </c>
    </row>
    <row r="79" spans="1:28" x14ac:dyDescent="0.25">
      <c r="A79" s="21" t="s">
        <v>353</v>
      </c>
      <c r="B79" s="21" t="s">
        <v>12</v>
      </c>
      <c r="C79" s="25">
        <f>[1]EURHKD!$B22</f>
        <v>6.0899999999999996E-2</v>
      </c>
      <c r="D79" s="25">
        <f>[1]EURHKD!$F22</f>
        <v>-2.3999999999999998E-3</v>
      </c>
      <c r="E79" s="25">
        <f>[1]EURHKD!$E22</f>
        <v>-4.4000000000000003E-3</v>
      </c>
      <c r="F79" s="25">
        <f>[1]EURHKD!$D22</f>
        <v>2.7000000000000001E-3</v>
      </c>
      <c r="G79" s="25">
        <f>[1]EURHKD!$C22</f>
        <v>1.0500000000000001E-2</v>
      </c>
      <c r="H79" s="8"/>
      <c r="I79" s="21" t="s">
        <v>12</v>
      </c>
      <c r="J79" s="28">
        <f>[2]G7!$D33</f>
        <v>0.59000000000000008</v>
      </c>
      <c r="K79" s="28">
        <v>0.2</v>
      </c>
      <c r="L79" s="28">
        <v>0.3</v>
      </c>
      <c r="M79" s="28">
        <v>0.2</v>
      </c>
      <c r="N79" s="28">
        <v>0.2</v>
      </c>
      <c r="O79" s="16"/>
      <c r="P79" s="21" t="s">
        <v>12</v>
      </c>
      <c r="Q79" s="20">
        <f t="shared" si="82"/>
        <v>5.5949999999999993E-2</v>
      </c>
      <c r="R79" s="20">
        <f t="shared" si="74"/>
        <v>-3.3999999999999998E-3</v>
      </c>
      <c r="S79" s="20">
        <f t="shared" si="75"/>
        <v>-5.9000000000000007E-3</v>
      </c>
      <c r="T79" s="20">
        <f t="shared" si="76"/>
        <v>1.7000000000000001E-3</v>
      </c>
      <c r="U79" s="20">
        <f t="shared" si="77"/>
        <v>9.5000000000000015E-3</v>
      </c>
      <c r="V79" s="22"/>
      <c r="W79" s="21" t="s">
        <v>12</v>
      </c>
      <c r="X79" s="20">
        <f t="shared" si="83"/>
        <v>6.1849999999999988E-2</v>
      </c>
      <c r="Y79" s="20">
        <f t="shared" si="78"/>
        <v>-1.3999999999999998E-3</v>
      </c>
      <c r="Z79" s="20">
        <f t="shared" si="79"/>
        <v>-2.9000000000000002E-3</v>
      </c>
      <c r="AA79" s="20">
        <f t="shared" si="80"/>
        <v>3.7000000000000002E-3</v>
      </c>
      <c r="AB79" s="20">
        <f t="shared" si="81"/>
        <v>1.15E-2</v>
      </c>
    </row>
    <row r="80" spans="1:28" x14ac:dyDescent="0.25">
      <c r="A80" s="21" t="s">
        <v>353</v>
      </c>
      <c r="B80" s="21" t="s">
        <v>13</v>
      </c>
      <c r="C80" s="25">
        <f>[1]EURHKD!$B23</f>
        <v>6.2699999999999992E-2</v>
      </c>
      <c r="D80" s="25">
        <f>[1]EURHKD!$F23</f>
        <v>-2.5000000000000001E-3</v>
      </c>
      <c r="E80" s="25">
        <f>[1]EURHKD!$E23</f>
        <v>-4.5000000000000005E-3</v>
      </c>
      <c r="F80" s="25">
        <f>[1]EURHKD!$D23</f>
        <v>2.8000000000000004E-3</v>
      </c>
      <c r="G80" s="25">
        <f>[1]EURHKD!$C23</f>
        <v>1.1200000000000002E-2</v>
      </c>
      <c r="H80" s="8"/>
      <c r="I80" s="21" t="s">
        <v>13</v>
      </c>
      <c r="J80" s="28">
        <f>[2]G7!$D34</f>
        <v>0.60000000000000009</v>
      </c>
      <c r="K80" s="28">
        <v>0.2</v>
      </c>
      <c r="L80" s="28">
        <v>0.2</v>
      </c>
      <c r="M80" s="28">
        <v>0.2</v>
      </c>
      <c r="N80" s="28">
        <v>0.2</v>
      </c>
      <c r="O80" s="16"/>
      <c r="P80" s="21" t="s">
        <v>13</v>
      </c>
      <c r="Q80" s="20">
        <f t="shared" si="82"/>
        <v>5.7699999999999987E-2</v>
      </c>
      <c r="R80" s="20">
        <f t="shared" si="74"/>
        <v>-3.5000000000000001E-3</v>
      </c>
      <c r="S80" s="20">
        <f t="shared" si="75"/>
        <v>-5.5000000000000005E-3</v>
      </c>
      <c r="T80" s="20">
        <f t="shared" si="76"/>
        <v>1.8000000000000004E-3</v>
      </c>
      <c r="U80" s="20">
        <f t="shared" si="77"/>
        <v>1.0200000000000001E-2</v>
      </c>
      <c r="V80" s="22"/>
      <c r="W80" s="21" t="s">
        <v>13</v>
      </c>
      <c r="X80" s="20">
        <f t="shared" si="83"/>
        <v>6.3699999999999993E-2</v>
      </c>
      <c r="Y80" s="20">
        <f t="shared" si="78"/>
        <v>-1.5E-3</v>
      </c>
      <c r="Z80" s="20">
        <f t="shared" si="79"/>
        <v>-3.5000000000000005E-3</v>
      </c>
      <c r="AA80" s="20">
        <f t="shared" si="80"/>
        <v>3.8000000000000004E-3</v>
      </c>
      <c r="AB80" s="20">
        <f t="shared" si="81"/>
        <v>1.2200000000000003E-2</v>
      </c>
    </row>
    <row r="81" spans="1:32" x14ac:dyDescent="0.25">
      <c r="A81" s="21" t="s">
        <v>353</v>
      </c>
      <c r="B81" s="21" t="s">
        <v>14</v>
      </c>
      <c r="C81" s="25">
        <f>[1]EURHKD!$B24</f>
        <v>6.7599999999999993E-2</v>
      </c>
      <c r="D81" s="25">
        <f>[1]EURHKD!$F24</f>
        <v>-3.0999999999999999E-3</v>
      </c>
      <c r="E81" s="25">
        <f>[1]EURHKD!$E24</f>
        <v>-5.1999999999999998E-3</v>
      </c>
      <c r="F81" s="25">
        <f>[1]EURHKD!$D24</f>
        <v>3.4999999999999996E-3</v>
      </c>
      <c r="G81" s="25">
        <f>[1]EURHKD!$C24</f>
        <v>1.3600000000000001E-2</v>
      </c>
      <c r="H81" s="16"/>
      <c r="I81" s="21" t="s">
        <v>14</v>
      </c>
      <c r="J81" s="28">
        <f>[2]G7!$D35</f>
        <v>1.1300000000000001</v>
      </c>
      <c r="K81" s="28">
        <v>0.2</v>
      </c>
      <c r="L81" s="28">
        <v>0.3</v>
      </c>
      <c r="M81" s="28">
        <v>0.2</v>
      </c>
      <c r="N81" s="28">
        <v>0.2</v>
      </c>
      <c r="O81" s="16"/>
      <c r="P81" s="21" t="s">
        <v>14</v>
      </c>
      <c r="Q81" s="20">
        <f t="shared" si="82"/>
        <v>5.9949999999999989E-2</v>
      </c>
      <c r="R81" s="20">
        <f t="shared" si="74"/>
        <v>-4.0999999999999995E-3</v>
      </c>
      <c r="S81" s="20">
        <f t="shared" si="75"/>
        <v>-6.6999999999999994E-3</v>
      </c>
      <c r="T81" s="20">
        <f t="shared" si="76"/>
        <v>2.4999999999999996E-3</v>
      </c>
      <c r="U81" s="20">
        <f t="shared" si="77"/>
        <v>1.26E-2</v>
      </c>
      <c r="V81" s="22"/>
      <c r="W81" s="21" t="s">
        <v>14</v>
      </c>
      <c r="X81" s="20">
        <f t="shared" si="83"/>
        <v>7.1249999999999994E-2</v>
      </c>
      <c r="Y81" s="20">
        <f t="shared" si="78"/>
        <v>-2.0999999999999999E-3</v>
      </c>
      <c r="Z81" s="20">
        <f t="shared" si="79"/>
        <v>-3.6999999999999997E-3</v>
      </c>
      <c r="AA81" s="20">
        <f t="shared" si="80"/>
        <v>4.4999999999999997E-3</v>
      </c>
      <c r="AB81" s="20">
        <f t="shared" si="81"/>
        <v>1.4600000000000002E-2</v>
      </c>
    </row>
    <row r="82" spans="1:32" x14ac:dyDescent="0.25">
      <c r="A82" s="21" t="s">
        <v>353</v>
      </c>
      <c r="B82" s="21" t="s">
        <v>876</v>
      </c>
      <c r="C82" s="25">
        <f>[1]EURHKD!$B25</f>
        <v>7.0599999999999996E-2</v>
      </c>
      <c r="D82" s="25">
        <f>[1]EURHKD!$F25</f>
        <v>-2.8999999999999998E-3</v>
      </c>
      <c r="E82" s="25">
        <f>[1]EURHKD!$E25</f>
        <v>-4.7999999999999996E-3</v>
      </c>
      <c r="F82" s="25">
        <f>[1]EURHKD!$D25</f>
        <v>3.0999999999999999E-3</v>
      </c>
      <c r="G82" s="25">
        <f>[1]EURHKD!$C25</f>
        <v>1.1899999999999999E-2</v>
      </c>
      <c r="H82" s="16"/>
      <c r="I82" s="21" t="s">
        <v>876</v>
      </c>
      <c r="J82" s="28">
        <f>[2]G7!$D36</f>
        <v>1.52</v>
      </c>
      <c r="K82" s="28">
        <v>0.2</v>
      </c>
      <c r="L82" s="28">
        <v>0.3</v>
      </c>
      <c r="M82" s="28">
        <v>0.2</v>
      </c>
      <c r="N82" s="28">
        <v>0.2</v>
      </c>
      <c r="O82" s="16"/>
      <c r="P82" s="21" t="s">
        <v>876</v>
      </c>
      <c r="Q82" s="20">
        <f t="shared" si="82"/>
        <v>6.0999999999999999E-2</v>
      </c>
      <c r="R82" s="20">
        <f t="shared" si="74"/>
        <v>-3.8999999999999998E-3</v>
      </c>
      <c r="S82" s="20">
        <f t="shared" si="75"/>
        <v>-6.3E-3</v>
      </c>
      <c r="T82" s="20">
        <f t="shared" si="76"/>
        <v>2.0999999999999999E-3</v>
      </c>
      <c r="U82" s="20">
        <f t="shared" si="77"/>
        <v>1.09E-2</v>
      </c>
      <c r="V82" s="22"/>
      <c r="W82" s="21" t="s">
        <v>876</v>
      </c>
      <c r="X82" s="20">
        <f t="shared" si="83"/>
        <v>7.619999999999999E-2</v>
      </c>
      <c r="Y82" s="20">
        <f t="shared" si="78"/>
        <v>-1.8999999999999998E-3</v>
      </c>
      <c r="Z82" s="20">
        <f t="shared" si="79"/>
        <v>-3.2999999999999995E-3</v>
      </c>
      <c r="AA82" s="20">
        <f t="shared" si="80"/>
        <v>4.0999999999999995E-3</v>
      </c>
      <c r="AB82" s="20">
        <f t="shared" si="81"/>
        <v>1.2899999999999998E-2</v>
      </c>
    </row>
    <row r="83" spans="1:32" x14ac:dyDescent="0.25">
      <c r="A83" s="21"/>
      <c r="B83" s="21"/>
      <c r="C83" s="25"/>
      <c r="D83" s="25"/>
      <c r="E83" s="25"/>
      <c r="F83" s="25"/>
      <c r="G83" s="25"/>
      <c r="H83" s="16"/>
      <c r="I83" s="21"/>
      <c r="J83" s="28"/>
      <c r="K83" s="28"/>
      <c r="L83" s="28"/>
      <c r="M83" s="28"/>
      <c r="N83" s="28"/>
      <c r="O83" s="16"/>
      <c r="P83" s="21"/>
      <c r="Q83" s="20"/>
      <c r="R83" s="20"/>
      <c r="S83" s="20"/>
      <c r="T83" s="20"/>
      <c r="U83" s="20"/>
      <c r="V83" s="22"/>
      <c r="W83" s="21"/>
      <c r="X83" s="20"/>
      <c r="Y83" s="20"/>
      <c r="Z83" s="20"/>
      <c r="AA83" s="20"/>
      <c r="AB83" s="20"/>
    </row>
    <row r="84" spans="1:32" x14ac:dyDescent="0.25">
      <c r="A84" s="16"/>
      <c r="B84" s="16"/>
      <c r="C84" s="26"/>
      <c r="D84" s="26"/>
      <c r="E84" s="26"/>
      <c r="F84" s="26"/>
      <c r="G84" s="26"/>
      <c r="H84" s="16"/>
      <c r="I84" s="16"/>
      <c r="J84" s="16"/>
      <c r="K84" s="16"/>
      <c r="L84" s="16"/>
      <c r="M84" s="16"/>
      <c r="N84" s="16"/>
      <c r="O84" s="16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spans="1:32" x14ac:dyDescent="0.25">
      <c r="A85" s="7" t="s">
        <v>70</v>
      </c>
      <c r="B85" s="7" t="s">
        <v>327</v>
      </c>
      <c r="C85" s="24" t="s">
        <v>311</v>
      </c>
      <c r="D85" s="24" t="s">
        <v>312</v>
      </c>
      <c r="E85" s="24" t="s">
        <v>313</v>
      </c>
      <c r="F85" s="24" t="s">
        <v>314</v>
      </c>
      <c r="G85" s="24" t="s">
        <v>315</v>
      </c>
      <c r="H85" s="8"/>
      <c r="I85" s="7" t="s">
        <v>328</v>
      </c>
      <c r="J85" s="7" t="s">
        <v>311</v>
      </c>
      <c r="K85" s="7" t="s">
        <v>312</v>
      </c>
      <c r="L85" s="7" t="s">
        <v>313</v>
      </c>
      <c r="M85" s="7" t="s">
        <v>314</v>
      </c>
      <c r="N85" s="7" t="s">
        <v>315</v>
      </c>
      <c r="O85" s="16"/>
      <c r="P85" s="7" t="s">
        <v>69</v>
      </c>
      <c r="Q85" s="7" t="s">
        <v>311</v>
      </c>
      <c r="R85" s="7" t="s">
        <v>312</v>
      </c>
      <c r="S85" s="7" t="s">
        <v>313</v>
      </c>
      <c r="T85" s="7" t="s">
        <v>314</v>
      </c>
      <c r="U85" s="7" t="s">
        <v>315</v>
      </c>
      <c r="V85" s="22"/>
      <c r="W85" s="7" t="s">
        <v>318</v>
      </c>
      <c r="X85" s="7" t="s">
        <v>311</v>
      </c>
      <c r="Y85" s="7" t="s">
        <v>312</v>
      </c>
      <c r="Z85" s="7" t="s">
        <v>313</v>
      </c>
      <c r="AA85" s="7" t="s">
        <v>314</v>
      </c>
      <c r="AB85" s="7" t="s">
        <v>315</v>
      </c>
    </row>
    <row r="86" spans="1:32" x14ac:dyDescent="0.25">
      <c r="A86" s="21" t="s">
        <v>337</v>
      </c>
      <c r="B86" s="21" t="s">
        <v>5</v>
      </c>
      <c r="C86" s="25">
        <f>[1]GBPUSD!$B15</f>
        <v>4.3400000000000001E-2</v>
      </c>
      <c r="D86" s="25">
        <f>[1]GBPUSD!$F15</f>
        <v>-2.8999999999999998E-3</v>
      </c>
      <c r="E86" s="25">
        <f>[1]GBPUSD!$E15</f>
        <v>-5.6999999999999993E-3</v>
      </c>
      <c r="F86" s="25">
        <f>[1]GBPUSD!$D15</f>
        <v>8.9999999999999998E-4</v>
      </c>
      <c r="G86" s="25">
        <f>[1]GBPUSD!$C15</f>
        <v>3.3E-3</v>
      </c>
      <c r="H86" s="8"/>
      <c r="I86" s="21" t="s">
        <v>5</v>
      </c>
      <c r="J86" s="28">
        <f>[2]G7!$C38</f>
        <v>1.03</v>
      </c>
      <c r="K86" s="28">
        <v>3.2</v>
      </c>
      <c r="L86" s="28">
        <v>6.4</v>
      </c>
      <c r="M86" s="28">
        <v>2.4</v>
      </c>
      <c r="N86" s="28">
        <v>4.8</v>
      </c>
      <c r="O86" s="16"/>
      <c r="P86" s="21" t="s">
        <v>5</v>
      </c>
      <c r="Q86" s="20">
        <f>(C86-J86/200)-0.002</f>
        <v>3.6249999999999998E-2</v>
      </c>
      <c r="R86" s="20">
        <f t="shared" ref="R86:R95" si="84">D86-K86/200</f>
        <v>-1.89E-2</v>
      </c>
      <c r="S86" s="20">
        <f t="shared" ref="S86:S95" si="85">E86-L86/200</f>
        <v>-3.7699999999999997E-2</v>
      </c>
      <c r="T86" s="20">
        <f t="shared" ref="T86:T95" si="86">F86-M86/200</f>
        <v>-1.11E-2</v>
      </c>
      <c r="U86" s="20">
        <f t="shared" ref="U86:U95" si="87">G86-N86/200</f>
        <v>-2.07E-2</v>
      </c>
      <c r="V86" s="22"/>
      <c r="W86" s="21" t="s">
        <v>5</v>
      </c>
      <c r="X86" s="20">
        <f>(C86+J86/200)-0.002</f>
        <v>4.6550000000000001E-2</v>
      </c>
      <c r="Y86" s="20">
        <f t="shared" ref="Y86:Y95" si="88">D86+K86/200</f>
        <v>1.3100000000000001E-2</v>
      </c>
      <c r="Z86" s="20">
        <f t="shared" ref="Z86:Z95" si="89">E86+L86/200</f>
        <v>2.63E-2</v>
      </c>
      <c r="AA86" s="20">
        <f t="shared" ref="AA86:AA95" si="90">F86+M86/200</f>
        <v>1.29E-2</v>
      </c>
      <c r="AB86" s="20">
        <f t="shared" ref="AB86:AB95" si="91">G86+N86/200</f>
        <v>2.7300000000000001E-2</v>
      </c>
    </row>
    <row r="87" spans="1:32" x14ac:dyDescent="0.25">
      <c r="A87" s="21" t="s">
        <v>337</v>
      </c>
      <c r="B87" s="21" t="s">
        <v>6</v>
      </c>
      <c r="C87" s="25">
        <f>[1]GBPUSD!$B16</f>
        <v>4.7699999999999992E-2</v>
      </c>
      <c r="D87" s="25">
        <f>[1]GBPUSD!$F16</f>
        <v>-3.2000000000000002E-3</v>
      </c>
      <c r="E87" s="25">
        <f>[1]GBPUSD!$E16</f>
        <v>-6.0000000000000001E-3</v>
      </c>
      <c r="F87" s="25">
        <f>[1]GBPUSD!$D16</f>
        <v>1.1000000000000001E-3</v>
      </c>
      <c r="G87" s="25">
        <f>[1]GBPUSD!$C16</f>
        <v>3.5999999999999999E-3</v>
      </c>
      <c r="H87" s="8"/>
      <c r="I87" s="21" t="s">
        <v>6</v>
      </c>
      <c r="J87" s="28">
        <f>[2]G7!$C39</f>
        <v>0.71</v>
      </c>
      <c r="K87" s="28">
        <v>1.5</v>
      </c>
      <c r="L87" s="28">
        <v>3</v>
      </c>
      <c r="M87" s="28">
        <v>1.2</v>
      </c>
      <c r="N87" s="28">
        <v>2.4</v>
      </c>
      <c r="O87" s="16"/>
      <c r="P87" s="21" t="s">
        <v>6</v>
      </c>
      <c r="Q87" s="20">
        <f t="shared" ref="Q87:Q96" si="92">(C87-J87/200)-0.002</f>
        <v>4.2149999999999993E-2</v>
      </c>
      <c r="R87" s="20">
        <f t="shared" si="84"/>
        <v>-1.0699999999999999E-2</v>
      </c>
      <c r="S87" s="20">
        <f t="shared" si="85"/>
        <v>-2.0999999999999998E-2</v>
      </c>
      <c r="T87" s="20">
        <f t="shared" si="86"/>
        <v>-4.8999999999999998E-3</v>
      </c>
      <c r="U87" s="20">
        <f t="shared" si="87"/>
        <v>-8.4000000000000012E-3</v>
      </c>
      <c r="V87" s="22"/>
      <c r="W87" s="21" t="s">
        <v>6</v>
      </c>
      <c r="X87" s="20">
        <f t="shared" ref="X87:X96" si="93">(C87+J87/200)-0.002</f>
        <v>4.9249999999999988E-2</v>
      </c>
      <c r="Y87" s="20">
        <f t="shared" si="88"/>
        <v>4.3E-3</v>
      </c>
      <c r="Z87" s="20">
        <f t="shared" si="89"/>
        <v>8.9999999999999993E-3</v>
      </c>
      <c r="AA87" s="20">
        <f t="shared" si="90"/>
        <v>7.1000000000000004E-3</v>
      </c>
      <c r="AB87" s="20">
        <f t="shared" si="91"/>
        <v>1.5599999999999999E-2</v>
      </c>
    </row>
    <row r="88" spans="1:32" x14ac:dyDescent="0.25">
      <c r="A88" s="21" t="s">
        <v>337</v>
      </c>
      <c r="B88" s="21" t="s">
        <v>7</v>
      </c>
      <c r="C88" s="25">
        <f>[1]GBPUSD!$B17</f>
        <v>5.5300000000000002E-2</v>
      </c>
      <c r="D88" s="25">
        <f>[1]GBPUSD!$F17</f>
        <v>-3.9000000000000003E-3</v>
      </c>
      <c r="E88" s="25">
        <f>[1]GBPUSD!$E17</f>
        <v>-7.1999999999999998E-3</v>
      </c>
      <c r="F88" s="25">
        <f>[1]GBPUSD!$D17</f>
        <v>1.2999999999999999E-3</v>
      </c>
      <c r="G88" s="25">
        <f>[1]GBPUSD!$C17</f>
        <v>4.4000000000000003E-3</v>
      </c>
      <c r="H88" s="8"/>
      <c r="I88" s="21" t="s">
        <v>7</v>
      </c>
      <c r="J88" s="28">
        <f>[2]G7!$C40</f>
        <v>0.55000000000000004</v>
      </c>
      <c r="K88" s="28">
        <v>1.2</v>
      </c>
      <c r="L88" s="28">
        <v>2.4</v>
      </c>
      <c r="M88" s="28">
        <v>1</v>
      </c>
      <c r="N88" s="28">
        <v>2</v>
      </c>
      <c r="O88" s="16"/>
      <c r="P88" s="21" t="s">
        <v>7</v>
      </c>
      <c r="Q88" s="20">
        <f t="shared" si="92"/>
        <v>5.0549999999999998E-2</v>
      </c>
      <c r="R88" s="20">
        <f t="shared" si="84"/>
        <v>-9.9000000000000008E-3</v>
      </c>
      <c r="S88" s="20">
        <f t="shared" si="85"/>
        <v>-1.9200000000000002E-2</v>
      </c>
      <c r="T88" s="20">
        <f t="shared" si="86"/>
        <v>-3.7000000000000002E-3</v>
      </c>
      <c r="U88" s="20">
        <f t="shared" si="87"/>
        <v>-5.5999999999999999E-3</v>
      </c>
      <c r="V88" s="22"/>
      <c r="W88" s="21" t="s">
        <v>7</v>
      </c>
      <c r="X88" s="20">
        <f t="shared" si="93"/>
        <v>5.6050000000000003E-2</v>
      </c>
      <c r="Y88" s="20">
        <f t="shared" si="88"/>
        <v>2.0999999999999999E-3</v>
      </c>
      <c r="Z88" s="20">
        <f t="shared" si="89"/>
        <v>4.8000000000000004E-3</v>
      </c>
      <c r="AA88" s="20">
        <f t="shared" si="90"/>
        <v>6.3E-3</v>
      </c>
      <c r="AB88" s="20">
        <f t="shared" si="91"/>
        <v>1.44E-2</v>
      </c>
    </row>
    <row r="89" spans="1:32" x14ac:dyDescent="0.25">
      <c r="A89" s="21" t="s">
        <v>337</v>
      </c>
      <c r="B89" s="21" t="s">
        <v>8</v>
      </c>
      <c r="C89" s="25">
        <f>[1]GBPUSD!$B18</f>
        <v>5.3499999999999999E-2</v>
      </c>
      <c r="D89" s="25">
        <f>[1]GBPUSD!$F18</f>
        <v>-4.3E-3</v>
      </c>
      <c r="E89" s="25">
        <f>[1]GBPUSD!$E18</f>
        <v>-7.9000000000000008E-3</v>
      </c>
      <c r="F89" s="25">
        <f>[1]GBPUSD!$D18</f>
        <v>1.4000000000000002E-3</v>
      </c>
      <c r="G89" s="25">
        <f>[1]GBPUSD!$C18</f>
        <v>4.7999999999999996E-3</v>
      </c>
      <c r="H89" s="8"/>
      <c r="I89" s="21" t="s">
        <v>8</v>
      </c>
      <c r="J89" s="28">
        <f>[2]G7!$C41</f>
        <v>0.38</v>
      </c>
      <c r="K89" s="28">
        <v>0.6</v>
      </c>
      <c r="L89" s="28">
        <v>1.2</v>
      </c>
      <c r="M89" s="28">
        <v>0.5</v>
      </c>
      <c r="N89" s="28">
        <v>1</v>
      </c>
      <c r="O89" s="16"/>
      <c r="P89" s="21" t="s">
        <v>8</v>
      </c>
      <c r="Q89" s="20">
        <f t="shared" si="92"/>
        <v>4.9599999999999998E-2</v>
      </c>
      <c r="R89" s="20">
        <f t="shared" si="84"/>
        <v>-7.3000000000000001E-3</v>
      </c>
      <c r="S89" s="20">
        <f t="shared" si="85"/>
        <v>-1.3900000000000001E-2</v>
      </c>
      <c r="T89" s="20">
        <f t="shared" si="86"/>
        <v>-1.0999999999999998E-3</v>
      </c>
      <c r="U89" s="20">
        <f t="shared" si="87"/>
        <v>-2.0000000000000052E-4</v>
      </c>
      <c r="V89" s="22"/>
      <c r="W89" s="21" t="s">
        <v>8</v>
      </c>
      <c r="X89" s="20">
        <f t="shared" si="93"/>
        <v>5.3399999999999996E-2</v>
      </c>
      <c r="Y89" s="20">
        <f t="shared" si="88"/>
        <v>-1.2999999999999999E-3</v>
      </c>
      <c r="Z89" s="20">
        <f t="shared" si="89"/>
        <v>-1.9000000000000006E-3</v>
      </c>
      <c r="AA89" s="20">
        <f t="shared" si="90"/>
        <v>3.9000000000000003E-3</v>
      </c>
      <c r="AB89" s="20">
        <f t="shared" si="91"/>
        <v>9.7999999999999997E-3</v>
      </c>
    </row>
    <row r="90" spans="1:32" x14ac:dyDescent="0.25">
      <c r="A90" s="21" t="s">
        <v>337</v>
      </c>
      <c r="B90" s="21" t="s">
        <v>9</v>
      </c>
      <c r="C90" s="25">
        <f>[1]GBPUSD!$B19</f>
        <v>5.8799999999999998E-2</v>
      </c>
      <c r="D90" s="25">
        <f>[1]GBPUSD!$F19</f>
        <v>-6.0999999999999995E-3</v>
      </c>
      <c r="E90" s="25">
        <f>[1]GBPUSD!$E19</f>
        <v>-1.1299999999999999E-2</v>
      </c>
      <c r="F90" s="25">
        <f>[1]GBPUSD!$D19</f>
        <v>1.6000000000000001E-3</v>
      </c>
      <c r="G90" s="25">
        <f>[1]GBPUSD!$C19</f>
        <v>5.4000000000000003E-3</v>
      </c>
      <c r="H90" s="8"/>
      <c r="I90" s="21" t="s">
        <v>9</v>
      </c>
      <c r="J90" s="28">
        <f>[2]G7!$C42</f>
        <v>0.37</v>
      </c>
      <c r="K90" s="28">
        <v>0.6</v>
      </c>
      <c r="L90" s="28">
        <v>1.2</v>
      </c>
      <c r="M90" s="28">
        <v>0.5</v>
      </c>
      <c r="N90" s="28">
        <v>1</v>
      </c>
      <c r="O90" s="16"/>
      <c r="P90" s="21" t="s">
        <v>9</v>
      </c>
      <c r="Q90" s="20">
        <f t="shared" si="92"/>
        <v>5.4949999999999999E-2</v>
      </c>
      <c r="R90" s="20">
        <f t="shared" si="84"/>
        <v>-9.1000000000000004E-3</v>
      </c>
      <c r="S90" s="20">
        <f t="shared" si="85"/>
        <v>-1.7299999999999999E-2</v>
      </c>
      <c r="T90" s="20">
        <f t="shared" si="86"/>
        <v>-8.9999999999999998E-4</v>
      </c>
      <c r="U90" s="20">
        <f t="shared" si="87"/>
        <v>4.0000000000000018E-4</v>
      </c>
      <c r="V90" s="22"/>
      <c r="W90" s="21" t="s">
        <v>9</v>
      </c>
      <c r="X90" s="20">
        <f t="shared" si="93"/>
        <v>5.8649999999999994E-2</v>
      </c>
      <c r="Y90" s="20">
        <f t="shared" si="88"/>
        <v>-3.0999999999999995E-3</v>
      </c>
      <c r="Z90" s="20">
        <f t="shared" si="89"/>
        <v>-5.2999999999999992E-3</v>
      </c>
      <c r="AA90" s="20">
        <f t="shared" si="90"/>
        <v>4.1000000000000003E-3</v>
      </c>
      <c r="AB90" s="20">
        <f t="shared" si="91"/>
        <v>1.04E-2</v>
      </c>
      <c r="AF90" s="27"/>
    </row>
    <row r="91" spans="1:32" x14ac:dyDescent="0.25">
      <c r="A91" s="21" t="s">
        <v>337</v>
      </c>
      <c r="B91" s="21" t="s">
        <v>10</v>
      </c>
      <c r="C91" s="25">
        <f>[1]GBPUSD!$B20</f>
        <v>5.96E-2</v>
      </c>
      <c r="D91" s="25">
        <f>[1]GBPUSD!$F20</f>
        <v>-6.4000000000000003E-3</v>
      </c>
      <c r="E91" s="25">
        <f>[1]GBPUSD!$E20</f>
        <v>-1.21E-2</v>
      </c>
      <c r="F91" s="25">
        <f>[1]GBPUSD!$D20</f>
        <v>1.7000000000000001E-3</v>
      </c>
      <c r="G91" s="25">
        <f>[1]GBPUSD!$C20</f>
        <v>5.8999999999999999E-3</v>
      </c>
      <c r="H91" s="8"/>
      <c r="I91" s="21" t="s">
        <v>10</v>
      </c>
      <c r="J91" s="28">
        <f>[2]G7!$C43</f>
        <v>0.38</v>
      </c>
      <c r="K91" s="28">
        <v>0.6</v>
      </c>
      <c r="L91" s="28">
        <v>1.2</v>
      </c>
      <c r="M91" s="28">
        <v>0.5</v>
      </c>
      <c r="N91" s="28">
        <v>1</v>
      </c>
      <c r="O91" s="16"/>
      <c r="P91" s="21" t="s">
        <v>10</v>
      </c>
      <c r="Q91" s="20">
        <f t="shared" si="92"/>
        <v>5.57E-2</v>
      </c>
      <c r="R91" s="20">
        <f t="shared" si="84"/>
        <v>-9.4000000000000004E-3</v>
      </c>
      <c r="S91" s="20">
        <f t="shared" si="85"/>
        <v>-1.8099999999999998E-2</v>
      </c>
      <c r="T91" s="20">
        <f t="shared" si="86"/>
        <v>-7.9999999999999993E-4</v>
      </c>
      <c r="U91" s="20">
        <f t="shared" si="87"/>
        <v>8.9999999999999976E-4</v>
      </c>
      <c r="V91" s="22"/>
      <c r="W91" s="21" t="s">
        <v>10</v>
      </c>
      <c r="X91" s="20">
        <f t="shared" si="93"/>
        <v>5.9499999999999997E-2</v>
      </c>
      <c r="Y91" s="20">
        <f t="shared" si="88"/>
        <v>-3.4000000000000002E-3</v>
      </c>
      <c r="Z91" s="20">
        <f t="shared" si="89"/>
        <v>-6.0999999999999995E-3</v>
      </c>
      <c r="AA91" s="20">
        <f t="shared" si="90"/>
        <v>4.2000000000000006E-3</v>
      </c>
      <c r="AB91" s="20">
        <f t="shared" si="91"/>
        <v>1.09E-2</v>
      </c>
    </row>
    <row r="92" spans="1:32" x14ac:dyDescent="0.25">
      <c r="A92" s="21" t="s">
        <v>337</v>
      </c>
      <c r="B92" s="21" t="s">
        <v>11</v>
      </c>
      <c r="C92" s="25">
        <f>[1]GBPUSD!$B21</f>
        <v>6.4600000000000005E-2</v>
      </c>
      <c r="D92" s="25">
        <f>[1]GBPUSD!$F21</f>
        <v>-7.7000000000000002E-3</v>
      </c>
      <c r="E92" s="25">
        <f>[1]GBPUSD!$E21</f>
        <v>-1.47E-2</v>
      </c>
      <c r="F92" s="25">
        <f>[1]GBPUSD!$D21</f>
        <v>2E-3</v>
      </c>
      <c r="G92" s="25">
        <f>[1]GBPUSD!$C21</f>
        <v>7.4999999999999997E-3</v>
      </c>
      <c r="H92" s="8"/>
      <c r="I92" s="21" t="s">
        <v>11</v>
      </c>
      <c r="J92" s="28">
        <f>[2]G7!$C44</f>
        <v>0.37</v>
      </c>
      <c r="K92" s="28">
        <v>0.6</v>
      </c>
      <c r="L92" s="28">
        <v>1.2</v>
      </c>
      <c r="M92" s="28">
        <v>0.5</v>
      </c>
      <c r="N92" s="28">
        <v>1</v>
      </c>
      <c r="O92" s="16"/>
      <c r="P92" s="21" t="s">
        <v>11</v>
      </c>
      <c r="Q92" s="20">
        <f t="shared" si="92"/>
        <v>6.0749999999999998E-2</v>
      </c>
      <c r="R92" s="20">
        <f t="shared" si="84"/>
        <v>-1.0700000000000001E-2</v>
      </c>
      <c r="S92" s="20">
        <f t="shared" si="85"/>
        <v>-2.07E-2</v>
      </c>
      <c r="T92" s="20">
        <f t="shared" si="86"/>
        <v>-5.0000000000000001E-4</v>
      </c>
      <c r="U92" s="20">
        <f t="shared" si="87"/>
        <v>2.4999999999999996E-3</v>
      </c>
      <c r="V92" s="22"/>
      <c r="W92" s="21" t="s">
        <v>11</v>
      </c>
      <c r="X92" s="20">
        <f t="shared" si="93"/>
        <v>6.4450000000000007E-2</v>
      </c>
      <c r="Y92" s="20">
        <f t="shared" si="88"/>
        <v>-4.7000000000000002E-3</v>
      </c>
      <c r="Z92" s="20">
        <f t="shared" si="89"/>
        <v>-8.6999999999999994E-3</v>
      </c>
      <c r="AA92" s="20">
        <f t="shared" si="90"/>
        <v>4.5000000000000005E-3</v>
      </c>
      <c r="AB92" s="20">
        <f t="shared" si="91"/>
        <v>1.2500000000000001E-2</v>
      </c>
    </row>
    <row r="93" spans="1:32" x14ac:dyDescent="0.25">
      <c r="A93" s="21" t="s">
        <v>337</v>
      </c>
      <c r="B93" s="21" t="s">
        <v>12</v>
      </c>
      <c r="C93" s="25">
        <f>[1]GBPUSD!$B22</f>
        <v>6.9000000000000006E-2</v>
      </c>
      <c r="D93" s="25">
        <f>[1]GBPUSD!$F22</f>
        <v>-9.0000000000000011E-3</v>
      </c>
      <c r="E93" s="25">
        <f>[1]GBPUSD!$E22</f>
        <v>-1.7399999999999999E-2</v>
      </c>
      <c r="F93" s="25">
        <f>[1]GBPUSD!$D22</f>
        <v>2.5000000000000001E-3</v>
      </c>
      <c r="G93" s="25">
        <f>[1]GBPUSD!$C22</f>
        <v>9.1999999999999998E-3</v>
      </c>
      <c r="H93" s="8"/>
      <c r="I93" s="21" t="s">
        <v>12</v>
      </c>
      <c r="J93" s="28">
        <f>[2]G7!$C45</f>
        <v>0.36</v>
      </c>
      <c r="K93" s="28">
        <v>0.6</v>
      </c>
      <c r="L93" s="28">
        <v>1.2</v>
      </c>
      <c r="M93" s="28">
        <v>0.5</v>
      </c>
      <c r="N93" s="28">
        <v>1</v>
      </c>
      <c r="O93" s="16"/>
      <c r="P93" s="21" t="s">
        <v>12</v>
      </c>
      <c r="Q93" s="20">
        <f t="shared" si="92"/>
        <v>6.5200000000000008E-2</v>
      </c>
      <c r="R93" s="20">
        <f t="shared" si="84"/>
        <v>-1.2E-2</v>
      </c>
      <c r="S93" s="20">
        <f t="shared" si="85"/>
        <v>-2.3399999999999997E-2</v>
      </c>
      <c r="T93" s="20">
        <f t="shared" si="86"/>
        <v>0</v>
      </c>
      <c r="U93" s="20">
        <f t="shared" si="87"/>
        <v>4.1999999999999997E-3</v>
      </c>
      <c r="V93" s="22"/>
      <c r="W93" s="21" t="s">
        <v>12</v>
      </c>
      <c r="X93" s="20">
        <f t="shared" si="93"/>
        <v>6.88E-2</v>
      </c>
      <c r="Y93" s="20">
        <f t="shared" si="88"/>
        <v>-6.000000000000001E-3</v>
      </c>
      <c r="Z93" s="20">
        <f t="shared" si="89"/>
        <v>-1.1399999999999999E-2</v>
      </c>
      <c r="AA93" s="20">
        <f t="shared" si="90"/>
        <v>5.0000000000000001E-3</v>
      </c>
      <c r="AB93" s="20">
        <f t="shared" si="91"/>
        <v>1.4200000000000001E-2</v>
      </c>
    </row>
    <row r="94" spans="1:32" x14ac:dyDescent="0.25">
      <c r="A94" s="21" t="s">
        <v>337</v>
      </c>
      <c r="B94" s="21" t="s">
        <v>13</v>
      </c>
      <c r="C94" s="25">
        <f>[1]GBPUSD!$B23</f>
        <v>7.2499999999999995E-2</v>
      </c>
      <c r="D94" s="25">
        <f>[1]GBPUSD!$F23</f>
        <v>-1.03E-2</v>
      </c>
      <c r="E94" s="25">
        <f>[1]GBPUSD!$E23</f>
        <v>-0.02</v>
      </c>
      <c r="F94" s="25">
        <f>[1]GBPUSD!$D23</f>
        <v>2.8999999999999998E-3</v>
      </c>
      <c r="G94" s="25">
        <f>[1]GBPUSD!$C23</f>
        <v>1.1000000000000001E-2</v>
      </c>
      <c r="H94" s="8"/>
      <c r="I94" s="21" t="s">
        <v>13</v>
      </c>
      <c r="J94" s="28">
        <f>[2]G7!$C46</f>
        <v>0.38</v>
      </c>
      <c r="K94" s="28">
        <v>0.6</v>
      </c>
      <c r="L94" s="28">
        <v>1.2</v>
      </c>
      <c r="M94" s="28">
        <v>0.5</v>
      </c>
      <c r="N94" s="28">
        <v>1</v>
      </c>
      <c r="O94" s="16"/>
      <c r="P94" s="21" t="s">
        <v>13</v>
      </c>
      <c r="Q94" s="20">
        <f t="shared" si="92"/>
        <v>6.8599999999999994E-2</v>
      </c>
      <c r="R94" s="20">
        <f t="shared" si="84"/>
        <v>-1.3299999999999999E-2</v>
      </c>
      <c r="S94" s="20">
        <f t="shared" si="85"/>
        <v>-2.6000000000000002E-2</v>
      </c>
      <c r="T94" s="20">
        <f t="shared" si="86"/>
        <v>3.9999999999999975E-4</v>
      </c>
      <c r="U94" s="20">
        <f t="shared" si="87"/>
        <v>6.000000000000001E-3</v>
      </c>
      <c r="V94" s="22"/>
      <c r="W94" s="21" t="s">
        <v>13</v>
      </c>
      <c r="X94" s="20">
        <f t="shared" si="93"/>
        <v>7.2399999999999992E-2</v>
      </c>
      <c r="Y94" s="20">
        <f t="shared" si="88"/>
        <v>-7.3000000000000001E-3</v>
      </c>
      <c r="Z94" s="20">
        <f t="shared" si="89"/>
        <v>-1.4E-2</v>
      </c>
      <c r="AA94" s="20">
        <f t="shared" si="90"/>
        <v>5.4000000000000003E-3</v>
      </c>
      <c r="AB94" s="20">
        <f t="shared" si="91"/>
        <v>1.6E-2</v>
      </c>
    </row>
    <row r="95" spans="1:32" x14ac:dyDescent="0.25">
      <c r="A95" s="21" t="s">
        <v>337</v>
      </c>
      <c r="B95" s="21" t="s">
        <v>14</v>
      </c>
      <c r="C95" s="25">
        <f>[1]GBPUSD!$B24</f>
        <v>7.6600000000000001E-2</v>
      </c>
      <c r="D95" s="25">
        <f>[1]GBPUSD!$F24</f>
        <v>-1.1599999999999999E-2</v>
      </c>
      <c r="E95" s="25">
        <f>[1]GBPUSD!$E24</f>
        <v>-2.1899999999999999E-2</v>
      </c>
      <c r="F95" s="25">
        <f>[1]GBPUSD!$D24</f>
        <v>3.4000000000000002E-3</v>
      </c>
      <c r="G95" s="25">
        <f>[1]GBPUSD!$C24</f>
        <v>1.23E-2</v>
      </c>
      <c r="H95" s="16"/>
      <c r="I95" s="21" t="s">
        <v>14</v>
      </c>
      <c r="J95" s="28">
        <f>[2]G7!$C47</f>
        <v>0.42000000000000004</v>
      </c>
      <c r="K95" s="28">
        <v>0.6</v>
      </c>
      <c r="L95" s="28">
        <v>1.2</v>
      </c>
      <c r="M95" s="28">
        <v>0.5</v>
      </c>
      <c r="N95" s="28">
        <v>1</v>
      </c>
      <c r="O95" s="16"/>
      <c r="P95" s="21" t="s">
        <v>14</v>
      </c>
      <c r="Q95" s="20">
        <f t="shared" si="92"/>
        <v>7.2499999999999995E-2</v>
      </c>
      <c r="R95" s="20">
        <f t="shared" si="84"/>
        <v>-1.4599999999999998E-2</v>
      </c>
      <c r="S95" s="20">
        <f t="shared" si="85"/>
        <v>-2.7900000000000001E-2</v>
      </c>
      <c r="T95" s="20">
        <f t="shared" si="86"/>
        <v>9.0000000000000019E-4</v>
      </c>
      <c r="U95" s="20">
        <f t="shared" si="87"/>
        <v>7.3000000000000001E-3</v>
      </c>
      <c r="V95" s="22"/>
      <c r="W95" s="21" t="s">
        <v>14</v>
      </c>
      <c r="X95" s="20">
        <f t="shared" si="93"/>
        <v>7.6700000000000004E-2</v>
      </c>
      <c r="Y95" s="20">
        <f t="shared" si="88"/>
        <v>-8.6E-3</v>
      </c>
      <c r="Z95" s="20">
        <f t="shared" si="89"/>
        <v>-1.5899999999999997E-2</v>
      </c>
      <c r="AA95" s="20">
        <f t="shared" si="90"/>
        <v>5.9000000000000007E-3</v>
      </c>
      <c r="AB95" s="20">
        <f t="shared" si="91"/>
        <v>1.7299999999999999E-2</v>
      </c>
    </row>
    <row r="96" spans="1:32" x14ac:dyDescent="0.25">
      <c r="A96" s="21" t="s">
        <v>337</v>
      </c>
      <c r="B96" s="21" t="s">
        <v>876</v>
      </c>
      <c r="C96" s="25">
        <f>[1]GBPUSD!$B25</f>
        <v>8.09E-2</v>
      </c>
      <c r="D96" s="25">
        <f>[1]GBPUSD!$F25</f>
        <v>-1.1899999999999999E-2</v>
      </c>
      <c r="E96" s="25">
        <f>[1]GBPUSD!$E25</f>
        <v>-2.2200000000000001E-2</v>
      </c>
      <c r="F96" s="25">
        <f>[1]GBPUSD!$D25</f>
        <v>3.4999999999999996E-3</v>
      </c>
      <c r="G96" s="25">
        <f>[1]GBPUSD!$C25</f>
        <v>1.2500000000000001E-2</v>
      </c>
      <c r="H96" s="16"/>
      <c r="I96" s="21" t="s">
        <v>876</v>
      </c>
      <c r="J96" s="28">
        <f>[2]G7!$C48</f>
        <v>0.52</v>
      </c>
      <c r="K96" s="28">
        <v>0.6</v>
      </c>
      <c r="L96" s="28">
        <v>1.2</v>
      </c>
      <c r="M96" s="28">
        <v>0.5</v>
      </c>
      <c r="N96" s="28">
        <v>1</v>
      </c>
      <c r="O96" s="16"/>
      <c r="P96" s="21" t="s">
        <v>876</v>
      </c>
      <c r="Q96" s="20">
        <f t="shared" si="92"/>
        <v>7.6299999999999993E-2</v>
      </c>
      <c r="R96" s="20">
        <f t="shared" ref="R96" si="94">D96-K96/200</f>
        <v>-1.49E-2</v>
      </c>
      <c r="S96" s="20">
        <f t="shared" ref="S96" si="95">E96-L96/200</f>
        <v>-2.8200000000000003E-2</v>
      </c>
      <c r="T96" s="20">
        <f t="shared" ref="T96" si="96">F96-M96/200</f>
        <v>9.9999999999999959E-4</v>
      </c>
      <c r="U96" s="20">
        <f t="shared" ref="U96" si="97">G96-N96/200</f>
        <v>7.5000000000000006E-3</v>
      </c>
      <c r="V96" s="22"/>
      <c r="W96" s="21" t="s">
        <v>876</v>
      </c>
      <c r="X96" s="20">
        <f t="shared" si="93"/>
        <v>8.1500000000000003E-2</v>
      </c>
      <c r="Y96" s="20">
        <f t="shared" ref="Y96" si="98">D96+K96/200</f>
        <v>-8.8999999999999982E-3</v>
      </c>
      <c r="Z96" s="20">
        <f t="shared" ref="Z96" si="99">E96+L96/200</f>
        <v>-1.6199999999999999E-2</v>
      </c>
      <c r="AA96" s="20">
        <f t="shared" ref="AA96" si="100">F96+M96/200</f>
        <v>6.0000000000000001E-3</v>
      </c>
      <c r="AB96" s="20">
        <f t="shared" ref="AB96" si="101">G96+N96/200</f>
        <v>1.7500000000000002E-2</v>
      </c>
    </row>
    <row r="97" spans="1:28" x14ac:dyDescent="0.25">
      <c r="A97" s="21"/>
      <c r="B97" s="21"/>
      <c r="C97" s="25"/>
      <c r="D97" s="25"/>
      <c r="E97" s="25"/>
      <c r="F97" s="25"/>
      <c r="G97" s="25"/>
      <c r="H97" s="16"/>
      <c r="I97" s="21"/>
      <c r="J97" s="28"/>
      <c r="K97" s="28"/>
      <c r="L97" s="28"/>
      <c r="M97" s="28"/>
      <c r="N97" s="28"/>
      <c r="O97" s="16"/>
      <c r="P97" s="21"/>
      <c r="Q97" s="20"/>
      <c r="R97" s="20"/>
      <c r="S97" s="20"/>
      <c r="T97" s="20"/>
      <c r="U97" s="20"/>
      <c r="V97" s="22"/>
      <c r="W97" s="21"/>
      <c r="X97" s="20"/>
      <c r="Y97" s="20"/>
      <c r="Z97" s="20"/>
      <c r="AA97" s="20"/>
      <c r="AB97" s="20"/>
    </row>
    <row r="98" spans="1:28" x14ac:dyDescent="0.25">
      <c r="A98" s="16"/>
      <c r="B98" s="16"/>
      <c r="C98" s="26"/>
      <c r="D98" s="26"/>
      <c r="E98" s="26"/>
      <c r="F98" s="26"/>
      <c r="G98" s="26"/>
      <c r="H98" s="16"/>
      <c r="I98" s="16"/>
      <c r="J98" s="16"/>
      <c r="K98" s="16"/>
      <c r="L98" s="16"/>
      <c r="M98" s="16"/>
      <c r="N98" s="16"/>
      <c r="O98" s="16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28" x14ac:dyDescent="0.25">
      <c r="A99" s="7" t="s">
        <v>70</v>
      </c>
      <c r="B99" s="7" t="s">
        <v>351</v>
      </c>
      <c r="C99" s="24" t="s">
        <v>347</v>
      </c>
      <c r="D99" s="24" t="s">
        <v>348</v>
      </c>
      <c r="E99" s="24" t="s">
        <v>343</v>
      </c>
      <c r="F99" s="24" t="s">
        <v>344</v>
      </c>
      <c r="G99" s="24" t="s">
        <v>345</v>
      </c>
      <c r="H99" s="8"/>
      <c r="I99" s="7" t="s">
        <v>346</v>
      </c>
      <c r="J99" s="7" t="s">
        <v>347</v>
      </c>
      <c r="K99" s="7" t="s">
        <v>348</v>
      </c>
      <c r="L99" s="7" t="s">
        <v>343</v>
      </c>
      <c r="M99" s="7" t="s">
        <v>344</v>
      </c>
      <c r="N99" s="7" t="s">
        <v>345</v>
      </c>
      <c r="O99" s="16"/>
      <c r="P99" s="7" t="s">
        <v>349</v>
      </c>
      <c r="Q99" s="7" t="s">
        <v>347</v>
      </c>
      <c r="R99" s="7" t="s">
        <v>348</v>
      </c>
      <c r="S99" s="7" t="s">
        <v>343</v>
      </c>
      <c r="T99" s="7" t="s">
        <v>344</v>
      </c>
      <c r="U99" s="7" t="s">
        <v>345</v>
      </c>
      <c r="V99" s="22"/>
      <c r="W99" s="7" t="s">
        <v>350</v>
      </c>
      <c r="X99" s="7" t="s">
        <v>347</v>
      </c>
      <c r="Y99" s="7" t="s">
        <v>348</v>
      </c>
      <c r="Z99" s="7" t="s">
        <v>343</v>
      </c>
      <c r="AA99" s="7" t="s">
        <v>344</v>
      </c>
      <c r="AB99" s="7" t="s">
        <v>345</v>
      </c>
    </row>
    <row r="100" spans="1:28" x14ac:dyDescent="0.25">
      <c r="A100" s="21" t="s">
        <v>354</v>
      </c>
      <c r="B100" s="21" t="s">
        <v>5</v>
      </c>
      <c r="C100" s="25">
        <f>[1]GBPHKD!$B15</f>
        <v>4.8000000000000001E-2</v>
      </c>
      <c r="D100" s="25">
        <f>[1]GBPHKD!$F15</f>
        <v>-3.3E-3</v>
      </c>
      <c r="E100" s="25">
        <f>[1]GBPHKD!$E15</f>
        <v>-6.4000000000000003E-3</v>
      </c>
      <c r="F100" s="25">
        <f>[1]GBPHKD!$D15</f>
        <v>1E-3</v>
      </c>
      <c r="G100" s="25">
        <f>[1]GBPHKD!$C15</f>
        <v>3.7000000000000002E-3</v>
      </c>
      <c r="H100" s="8"/>
      <c r="I100" s="21" t="s">
        <v>5</v>
      </c>
      <c r="J100" s="28">
        <f>[2]G7!$D38</f>
        <v>2.76</v>
      </c>
      <c r="K100" s="28">
        <v>3.2</v>
      </c>
      <c r="L100" s="28">
        <v>6.4</v>
      </c>
      <c r="M100" s="28">
        <v>2.4</v>
      </c>
      <c r="N100" s="28">
        <v>4.8</v>
      </c>
      <c r="O100" s="16"/>
      <c r="P100" s="21" t="s">
        <v>5</v>
      </c>
      <c r="Q100" s="20">
        <f>(C100-J100/200)-0.002</f>
        <v>3.2199999999999999E-2</v>
      </c>
      <c r="R100" s="20">
        <f t="shared" ref="R100:R110" si="102">D100-K100/200</f>
        <v>-1.9300000000000001E-2</v>
      </c>
      <c r="S100" s="20">
        <f t="shared" ref="S100:S110" si="103">E100-L100/200</f>
        <v>-3.8400000000000004E-2</v>
      </c>
      <c r="T100" s="20">
        <f t="shared" ref="T100:T110" si="104">F100-M100/200</f>
        <v>-1.0999999999999999E-2</v>
      </c>
      <c r="U100" s="20">
        <f t="shared" ref="U100:U110" si="105">G100-N100/200</f>
        <v>-2.0299999999999999E-2</v>
      </c>
      <c r="V100" s="22"/>
      <c r="W100" s="21" t="s">
        <v>5</v>
      </c>
      <c r="X100" s="20">
        <f>(C100+J100/200)-0.002</f>
        <v>5.9799999999999999E-2</v>
      </c>
      <c r="Y100" s="20">
        <f t="shared" ref="Y100:Y110" si="106">D100+K100/200</f>
        <v>1.2699999999999999E-2</v>
      </c>
      <c r="Z100" s="20">
        <f t="shared" ref="Z100:Z110" si="107">E100+L100/200</f>
        <v>2.5600000000000001E-2</v>
      </c>
      <c r="AA100" s="20">
        <f t="shared" ref="AA100:AA110" si="108">F100+M100/200</f>
        <v>1.3000000000000001E-2</v>
      </c>
      <c r="AB100" s="20">
        <f t="shared" ref="AB100:AB110" si="109">G100+N100/200</f>
        <v>2.7700000000000002E-2</v>
      </c>
    </row>
    <row r="101" spans="1:28" x14ac:dyDescent="0.25">
      <c r="A101" s="21" t="s">
        <v>354</v>
      </c>
      <c r="B101" s="21" t="s">
        <v>6</v>
      </c>
      <c r="C101" s="25">
        <f>[1]GBPHKD!$B16</f>
        <v>4.9400000000000006E-2</v>
      </c>
      <c r="D101" s="25">
        <f>[1]GBPHKD!$F16</f>
        <v>-3.4000000000000002E-3</v>
      </c>
      <c r="E101" s="25">
        <f>[1]GBPHKD!$E16</f>
        <v>-6.6E-3</v>
      </c>
      <c r="F101" s="25">
        <f>[1]GBPHKD!$D16</f>
        <v>1E-3</v>
      </c>
      <c r="G101" s="25">
        <f>[1]GBPHKD!$C16</f>
        <v>3.8E-3</v>
      </c>
      <c r="H101" s="8"/>
      <c r="I101" s="21" t="s">
        <v>6</v>
      </c>
      <c r="J101" s="28">
        <f>[2]G7!$D39</f>
        <v>1.3499999999999999</v>
      </c>
      <c r="K101" s="28">
        <v>1.5</v>
      </c>
      <c r="L101" s="28">
        <v>3</v>
      </c>
      <c r="M101" s="28">
        <v>1.2</v>
      </c>
      <c r="N101" s="28">
        <v>2.4</v>
      </c>
      <c r="O101" s="16"/>
      <c r="P101" s="21" t="s">
        <v>6</v>
      </c>
      <c r="Q101" s="20">
        <f t="shared" ref="Q101:Q110" si="110">(C101-J101/200)-0.002</f>
        <v>4.0650000000000006E-2</v>
      </c>
      <c r="R101" s="20">
        <f t="shared" si="102"/>
        <v>-1.09E-2</v>
      </c>
      <c r="S101" s="20">
        <f t="shared" si="103"/>
        <v>-2.1600000000000001E-2</v>
      </c>
      <c r="T101" s="20">
        <f t="shared" si="104"/>
        <v>-5.0000000000000001E-3</v>
      </c>
      <c r="U101" s="20">
        <f t="shared" si="105"/>
        <v>-8.2000000000000007E-3</v>
      </c>
      <c r="V101" s="22"/>
      <c r="W101" s="21" t="s">
        <v>6</v>
      </c>
      <c r="X101" s="20">
        <f t="shared" ref="X101:X110" si="111">(C101+J101/200)-0.002</f>
        <v>5.4150000000000004E-2</v>
      </c>
      <c r="Y101" s="20">
        <f t="shared" si="106"/>
        <v>4.0999999999999995E-3</v>
      </c>
      <c r="Z101" s="20">
        <f t="shared" si="107"/>
        <v>8.3999999999999995E-3</v>
      </c>
      <c r="AA101" s="20">
        <f t="shared" si="108"/>
        <v>7.0000000000000001E-3</v>
      </c>
      <c r="AB101" s="20">
        <f t="shared" si="109"/>
        <v>1.5800000000000002E-2</v>
      </c>
    </row>
    <row r="102" spans="1:28" x14ac:dyDescent="0.25">
      <c r="A102" s="21" t="s">
        <v>354</v>
      </c>
      <c r="B102" s="21" t="s">
        <v>7</v>
      </c>
      <c r="C102" s="25">
        <f>[1]GBPHKD!$B17</f>
        <v>5.7300000000000004E-2</v>
      </c>
      <c r="D102" s="25">
        <f>[1]GBPHKD!$F17</f>
        <v>-4.5000000000000005E-3</v>
      </c>
      <c r="E102" s="25">
        <f>[1]GBPHKD!$E17</f>
        <v>-8.6999999999999994E-3</v>
      </c>
      <c r="F102" s="25">
        <f>[1]GBPHKD!$D17</f>
        <v>1.2999999999999999E-3</v>
      </c>
      <c r="G102" s="25">
        <f>[1]GBPHKD!$C17</f>
        <v>5.0000000000000001E-3</v>
      </c>
      <c r="H102" s="8"/>
      <c r="I102" s="21" t="s">
        <v>7</v>
      </c>
      <c r="J102" s="28">
        <f>[2]G7!$D40</f>
        <v>1.24</v>
      </c>
      <c r="K102" s="28">
        <v>1.2</v>
      </c>
      <c r="L102" s="28">
        <v>2.4</v>
      </c>
      <c r="M102" s="28">
        <v>1</v>
      </c>
      <c r="N102" s="28">
        <v>2</v>
      </c>
      <c r="O102" s="16"/>
      <c r="P102" s="21" t="s">
        <v>7</v>
      </c>
      <c r="Q102" s="20">
        <f t="shared" si="110"/>
        <v>4.9100000000000005E-2</v>
      </c>
      <c r="R102" s="20">
        <f t="shared" si="102"/>
        <v>-1.0500000000000001E-2</v>
      </c>
      <c r="S102" s="20">
        <f t="shared" si="103"/>
        <v>-2.07E-2</v>
      </c>
      <c r="T102" s="20">
        <f t="shared" si="104"/>
        <v>-3.7000000000000002E-3</v>
      </c>
      <c r="U102" s="20">
        <f t="shared" si="105"/>
        <v>-5.0000000000000001E-3</v>
      </c>
      <c r="V102" s="22"/>
      <c r="W102" s="21" t="s">
        <v>7</v>
      </c>
      <c r="X102" s="20">
        <f t="shared" si="111"/>
        <v>6.1499999999999999E-2</v>
      </c>
      <c r="Y102" s="20">
        <f t="shared" si="106"/>
        <v>1.4999999999999996E-3</v>
      </c>
      <c r="Z102" s="20">
        <f t="shared" si="107"/>
        <v>3.3000000000000008E-3</v>
      </c>
      <c r="AA102" s="20">
        <f t="shared" si="108"/>
        <v>6.3E-3</v>
      </c>
      <c r="AB102" s="20">
        <f t="shared" si="109"/>
        <v>1.4999999999999999E-2</v>
      </c>
    </row>
    <row r="103" spans="1:28" x14ac:dyDescent="0.25">
      <c r="A103" s="21" t="s">
        <v>354</v>
      </c>
      <c r="B103" s="21" t="s">
        <v>8</v>
      </c>
      <c r="C103" s="25">
        <f>[1]GBPHKD!$B18</f>
        <v>5.4299999999999994E-2</v>
      </c>
      <c r="D103" s="25">
        <f>[1]GBPHKD!$F18</f>
        <v>-4.4000000000000003E-3</v>
      </c>
      <c r="E103" s="25">
        <f>[1]GBPHKD!$E18</f>
        <v>-8.5000000000000006E-3</v>
      </c>
      <c r="F103" s="25">
        <f>[1]GBPHKD!$D18</f>
        <v>1.2999999999999999E-3</v>
      </c>
      <c r="G103" s="25">
        <f>[1]GBPHKD!$C18</f>
        <v>4.7999999999999996E-3</v>
      </c>
      <c r="H103" s="8"/>
      <c r="I103" s="21" t="s">
        <v>8</v>
      </c>
      <c r="J103" s="28">
        <f>[2]G7!$D41</f>
        <v>0.92999999999999994</v>
      </c>
      <c r="K103" s="28">
        <v>0.6</v>
      </c>
      <c r="L103" s="28">
        <v>1.2</v>
      </c>
      <c r="M103" s="28">
        <v>0.5</v>
      </c>
      <c r="N103" s="28">
        <v>1</v>
      </c>
      <c r="O103" s="16"/>
      <c r="P103" s="21" t="s">
        <v>8</v>
      </c>
      <c r="Q103" s="20">
        <f t="shared" si="110"/>
        <v>4.7649999999999991E-2</v>
      </c>
      <c r="R103" s="20">
        <f t="shared" si="102"/>
        <v>-7.4000000000000003E-3</v>
      </c>
      <c r="S103" s="20">
        <f t="shared" si="103"/>
        <v>-1.4500000000000001E-2</v>
      </c>
      <c r="T103" s="20">
        <f t="shared" si="104"/>
        <v>-1.2000000000000001E-3</v>
      </c>
      <c r="U103" s="20">
        <f t="shared" si="105"/>
        <v>-2.0000000000000052E-4</v>
      </c>
      <c r="V103" s="22"/>
      <c r="W103" s="21" t="s">
        <v>8</v>
      </c>
      <c r="X103" s="20">
        <f t="shared" si="111"/>
        <v>5.6949999999999994E-2</v>
      </c>
      <c r="Y103" s="20">
        <f t="shared" si="106"/>
        <v>-1.4000000000000002E-3</v>
      </c>
      <c r="Z103" s="20">
        <f t="shared" si="107"/>
        <v>-2.5000000000000005E-3</v>
      </c>
      <c r="AA103" s="20">
        <f t="shared" si="108"/>
        <v>3.8E-3</v>
      </c>
      <c r="AB103" s="20">
        <f t="shared" si="109"/>
        <v>9.7999999999999997E-3</v>
      </c>
    </row>
    <row r="104" spans="1:28" x14ac:dyDescent="0.25">
      <c r="A104" s="21" t="s">
        <v>354</v>
      </c>
      <c r="B104" s="21" t="s">
        <v>9</v>
      </c>
      <c r="C104" s="25">
        <f>[1]GBPHKD!$B19</f>
        <v>5.9500000000000004E-2</v>
      </c>
      <c r="D104" s="25">
        <f>[1]GBPHKD!$F19</f>
        <v>-6.3E-3</v>
      </c>
      <c r="E104" s="25">
        <f>[1]GBPHKD!$E19</f>
        <v>-1.23E-2</v>
      </c>
      <c r="F104" s="25">
        <f>[1]GBPHKD!$D19</f>
        <v>1.5E-3</v>
      </c>
      <c r="G104" s="25">
        <f>[1]GBPHKD!$C19</f>
        <v>5.5000000000000005E-3</v>
      </c>
      <c r="H104" s="8"/>
      <c r="I104" s="21" t="s">
        <v>9</v>
      </c>
      <c r="J104" s="28">
        <f>[2]G7!$D42</f>
        <v>0.90999999999999992</v>
      </c>
      <c r="K104" s="28">
        <v>0.6</v>
      </c>
      <c r="L104" s="28">
        <v>1.2</v>
      </c>
      <c r="M104" s="28">
        <v>0.5</v>
      </c>
      <c r="N104" s="28">
        <v>1</v>
      </c>
      <c r="O104" s="16"/>
      <c r="P104" s="21" t="s">
        <v>9</v>
      </c>
      <c r="Q104" s="20">
        <f t="shared" si="110"/>
        <v>5.2950000000000004E-2</v>
      </c>
      <c r="R104" s="20">
        <f t="shared" si="102"/>
        <v>-9.2999999999999992E-3</v>
      </c>
      <c r="S104" s="20">
        <f t="shared" si="103"/>
        <v>-1.83E-2</v>
      </c>
      <c r="T104" s="20">
        <f t="shared" si="104"/>
        <v>-1E-3</v>
      </c>
      <c r="U104" s="20">
        <f t="shared" si="105"/>
        <v>5.0000000000000044E-4</v>
      </c>
      <c r="V104" s="22"/>
      <c r="W104" s="21" t="s">
        <v>9</v>
      </c>
      <c r="X104" s="20">
        <f t="shared" si="111"/>
        <v>6.2050000000000008E-2</v>
      </c>
      <c r="Y104" s="20">
        <f t="shared" si="106"/>
        <v>-3.3E-3</v>
      </c>
      <c r="Z104" s="20">
        <f t="shared" si="107"/>
        <v>-6.3E-3</v>
      </c>
      <c r="AA104" s="20">
        <f t="shared" si="108"/>
        <v>4.0000000000000001E-3</v>
      </c>
      <c r="AB104" s="20">
        <f t="shared" si="109"/>
        <v>1.0500000000000001E-2</v>
      </c>
    </row>
    <row r="105" spans="1:28" x14ac:dyDescent="0.25">
      <c r="A105" s="21" t="s">
        <v>354</v>
      </c>
      <c r="B105" s="21" t="s">
        <v>10</v>
      </c>
      <c r="C105" s="25">
        <f>[1]GBPHKD!$B20</f>
        <v>6.0299999999999999E-2</v>
      </c>
      <c r="D105" s="25">
        <f>[1]GBPHKD!$F20</f>
        <v>-6.7000000000000002E-3</v>
      </c>
      <c r="E105" s="25">
        <f>[1]GBPHKD!$E20</f>
        <v>-1.3000000000000001E-2</v>
      </c>
      <c r="F105" s="25">
        <f>[1]GBPHKD!$D20</f>
        <v>1.6000000000000001E-3</v>
      </c>
      <c r="G105" s="25">
        <f>[1]GBPHKD!$C20</f>
        <v>6.0000000000000001E-3</v>
      </c>
      <c r="H105" s="8"/>
      <c r="I105" s="21" t="s">
        <v>10</v>
      </c>
      <c r="J105" s="28">
        <f>[2]G7!$D43</f>
        <v>0.94</v>
      </c>
      <c r="K105" s="28">
        <v>0.6</v>
      </c>
      <c r="L105" s="28">
        <v>1.2</v>
      </c>
      <c r="M105" s="28">
        <v>0.5</v>
      </c>
      <c r="N105" s="28">
        <v>1</v>
      </c>
      <c r="O105" s="16"/>
      <c r="P105" s="21" t="s">
        <v>10</v>
      </c>
      <c r="Q105" s="20">
        <f t="shared" si="110"/>
        <v>5.3599999999999995E-2</v>
      </c>
      <c r="R105" s="20">
        <f t="shared" si="102"/>
        <v>-9.7000000000000003E-3</v>
      </c>
      <c r="S105" s="20">
        <f t="shared" si="103"/>
        <v>-1.9000000000000003E-2</v>
      </c>
      <c r="T105" s="20">
        <f t="shared" si="104"/>
        <v>-8.9999999999999998E-4</v>
      </c>
      <c r="U105" s="20">
        <f t="shared" si="105"/>
        <v>1E-3</v>
      </c>
      <c r="V105" s="22"/>
      <c r="W105" s="21" t="s">
        <v>10</v>
      </c>
      <c r="X105" s="20">
        <f t="shared" si="111"/>
        <v>6.3E-2</v>
      </c>
      <c r="Y105" s="20">
        <f t="shared" si="106"/>
        <v>-3.7000000000000002E-3</v>
      </c>
      <c r="Z105" s="20">
        <f t="shared" si="107"/>
        <v>-7.000000000000001E-3</v>
      </c>
      <c r="AA105" s="20">
        <f t="shared" si="108"/>
        <v>4.1000000000000003E-3</v>
      </c>
      <c r="AB105" s="20">
        <f t="shared" si="109"/>
        <v>1.0999999999999999E-2</v>
      </c>
    </row>
    <row r="106" spans="1:28" x14ac:dyDescent="0.25">
      <c r="A106" s="21" t="s">
        <v>354</v>
      </c>
      <c r="B106" s="21" t="s">
        <v>11</v>
      </c>
      <c r="C106" s="25">
        <f>[1]GBPHKD!$B21</f>
        <v>6.5099999999999991E-2</v>
      </c>
      <c r="D106" s="25">
        <f>[1]GBPHKD!$F21</f>
        <v>-8.199999999999999E-3</v>
      </c>
      <c r="E106" s="25">
        <f>[1]GBPHKD!$E21</f>
        <v>-1.6E-2</v>
      </c>
      <c r="F106" s="25">
        <f>[1]GBPHKD!$D21</f>
        <v>1.9E-3</v>
      </c>
      <c r="G106" s="25">
        <f>[1]GBPHKD!$C21</f>
        <v>7.6E-3</v>
      </c>
      <c r="H106" s="8"/>
      <c r="I106" s="21" t="s">
        <v>11</v>
      </c>
      <c r="J106" s="28">
        <f>[2]G7!$D44</f>
        <v>0.95</v>
      </c>
      <c r="K106" s="28">
        <v>0.6</v>
      </c>
      <c r="L106" s="28">
        <v>1.2</v>
      </c>
      <c r="M106" s="28">
        <v>0.5</v>
      </c>
      <c r="N106" s="28">
        <v>1</v>
      </c>
      <c r="O106" s="16"/>
      <c r="P106" s="21" t="s">
        <v>11</v>
      </c>
      <c r="Q106" s="20">
        <f t="shared" si="110"/>
        <v>5.8349999999999992E-2</v>
      </c>
      <c r="R106" s="20">
        <f t="shared" si="102"/>
        <v>-1.1199999999999998E-2</v>
      </c>
      <c r="S106" s="20">
        <f t="shared" si="103"/>
        <v>-2.1999999999999999E-2</v>
      </c>
      <c r="T106" s="20">
        <f t="shared" si="104"/>
        <v>-6.0000000000000006E-4</v>
      </c>
      <c r="U106" s="20">
        <f t="shared" si="105"/>
        <v>2.5999999999999999E-3</v>
      </c>
      <c r="V106" s="22"/>
      <c r="W106" s="21" t="s">
        <v>11</v>
      </c>
      <c r="X106" s="20">
        <f t="shared" si="111"/>
        <v>6.7849999999999994E-2</v>
      </c>
      <c r="Y106" s="20">
        <f t="shared" si="106"/>
        <v>-5.1999999999999989E-3</v>
      </c>
      <c r="Z106" s="20">
        <f t="shared" si="107"/>
        <v>-0.01</v>
      </c>
      <c r="AA106" s="20">
        <f t="shared" si="108"/>
        <v>4.4000000000000003E-3</v>
      </c>
      <c r="AB106" s="20">
        <f t="shared" si="109"/>
        <v>1.26E-2</v>
      </c>
    </row>
    <row r="107" spans="1:28" x14ac:dyDescent="0.25">
      <c r="A107" s="21" t="s">
        <v>354</v>
      </c>
      <c r="B107" s="21" t="s">
        <v>12</v>
      </c>
      <c r="C107" s="25">
        <f>[1]GBPHKD!$B22</f>
        <v>7.0300000000000001E-2</v>
      </c>
      <c r="D107" s="25">
        <f>[1]GBPHKD!$F22</f>
        <v>-1.04E-2</v>
      </c>
      <c r="E107" s="25">
        <f>[1]GBPHKD!$E22</f>
        <v>-2.0299999999999999E-2</v>
      </c>
      <c r="F107" s="25">
        <f>[1]GBPHKD!$D22</f>
        <v>2.5000000000000001E-3</v>
      </c>
      <c r="G107" s="25">
        <f>[1]GBPHKD!$C22</f>
        <v>1.01E-2</v>
      </c>
      <c r="H107" s="8"/>
      <c r="I107" s="21" t="s">
        <v>12</v>
      </c>
      <c r="J107" s="28">
        <f>[2]G7!$D45</f>
        <v>0.95</v>
      </c>
      <c r="K107" s="28">
        <v>0.6</v>
      </c>
      <c r="L107" s="28">
        <v>1.2</v>
      </c>
      <c r="M107" s="28">
        <v>0.5</v>
      </c>
      <c r="N107" s="28">
        <v>1</v>
      </c>
      <c r="O107" s="16"/>
      <c r="P107" s="21" t="s">
        <v>12</v>
      </c>
      <c r="Q107" s="20">
        <f t="shared" si="110"/>
        <v>6.3549999999999995E-2</v>
      </c>
      <c r="R107" s="20">
        <f t="shared" si="102"/>
        <v>-1.3399999999999999E-2</v>
      </c>
      <c r="S107" s="20">
        <f t="shared" si="103"/>
        <v>-2.6299999999999997E-2</v>
      </c>
      <c r="T107" s="20">
        <f t="shared" si="104"/>
        <v>0</v>
      </c>
      <c r="U107" s="20">
        <f t="shared" si="105"/>
        <v>5.0999999999999995E-3</v>
      </c>
      <c r="V107" s="22"/>
      <c r="W107" s="21" t="s">
        <v>12</v>
      </c>
      <c r="X107" s="20">
        <f t="shared" si="111"/>
        <v>7.3050000000000004E-2</v>
      </c>
      <c r="Y107" s="20">
        <f t="shared" si="106"/>
        <v>-7.3999999999999995E-3</v>
      </c>
      <c r="Z107" s="20">
        <f t="shared" si="107"/>
        <v>-1.4299999999999998E-2</v>
      </c>
      <c r="AA107" s="20">
        <f t="shared" si="108"/>
        <v>5.0000000000000001E-3</v>
      </c>
      <c r="AB107" s="20">
        <f t="shared" si="109"/>
        <v>1.5099999999999999E-2</v>
      </c>
    </row>
    <row r="108" spans="1:28" x14ac:dyDescent="0.25">
      <c r="A108" s="21" t="s">
        <v>354</v>
      </c>
      <c r="B108" s="21" t="s">
        <v>13</v>
      </c>
      <c r="C108" s="25">
        <f>[1]GBPHKD!$B23</f>
        <v>7.3099999999999998E-2</v>
      </c>
      <c r="D108" s="25">
        <f>[1]GBPHKD!$F23</f>
        <v>-1.15E-2</v>
      </c>
      <c r="E108" s="25">
        <f>[1]GBPHKD!$E23</f>
        <v>-2.2400000000000003E-2</v>
      </c>
      <c r="F108" s="25">
        <f>[1]GBPHKD!$D23</f>
        <v>2.8000000000000004E-3</v>
      </c>
      <c r="G108" s="25">
        <f>[1]GBPHKD!$C23</f>
        <v>1.1200000000000002E-2</v>
      </c>
      <c r="H108" s="8"/>
      <c r="I108" s="21" t="s">
        <v>13</v>
      </c>
      <c r="J108" s="28">
        <f>[2]G7!$D46</f>
        <v>0.98</v>
      </c>
      <c r="K108" s="28">
        <v>0.6</v>
      </c>
      <c r="L108" s="28">
        <v>1.2</v>
      </c>
      <c r="M108" s="28">
        <v>0.5</v>
      </c>
      <c r="N108" s="28">
        <v>1</v>
      </c>
      <c r="O108" s="16"/>
      <c r="P108" s="21" t="s">
        <v>13</v>
      </c>
      <c r="Q108" s="20">
        <f t="shared" si="110"/>
        <v>6.6199999999999995E-2</v>
      </c>
      <c r="R108" s="20">
        <f t="shared" si="102"/>
        <v>-1.4499999999999999E-2</v>
      </c>
      <c r="S108" s="20">
        <f t="shared" si="103"/>
        <v>-2.8400000000000002E-2</v>
      </c>
      <c r="T108" s="20">
        <f t="shared" si="104"/>
        <v>3.0000000000000035E-4</v>
      </c>
      <c r="U108" s="20">
        <f t="shared" si="105"/>
        <v>6.2000000000000015E-3</v>
      </c>
      <c r="V108" s="22"/>
      <c r="W108" s="21" t="s">
        <v>13</v>
      </c>
      <c r="X108" s="20">
        <f t="shared" si="111"/>
        <v>7.5999999999999998E-2</v>
      </c>
      <c r="Y108" s="20">
        <f t="shared" si="106"/>
        <v>-8.5000000000000006E-3</v>
      </c>
      <c r="Z108" s="20">
        <f t="shared" si="107"/>
        <v>-1.6400000000000005E-2</v>
      </c>
      <c r="AA108" s="20">
        <f t="shared" si="108"/>
        <v>5.3000000000000009E-3</v>
      </c>
      <c r="AB108" s="20">
        <f t="shared" si="109"/>
        <v>1.6200000000000003E-2</v>
      </c>
    </row>
    <row r="109" spans="1:28" x14ac:dyDescent="0.25">
      <c r="A109" s="21" t="s">
        <v>354</v>
      </c>
      <c r="B109" s="21" t="s">
        <v>14</v>
      </c>
      <c r="C109" s="25">
        <f>[1]GBPHKD!$B24</f>
        <v>7.7499999999999999E-2</v>
      </c>
      <c r="D109" s="25">
        <f>[1]GBPHKD!$F24</f>
        <v>-1.2699999999999999E-2</v>
      </c>
      <c r="E109" s="25">
        <f>[1]GBPHKD!$E24</f>
        <v>-2.4399999999999998E-2</v>
      </c>
      <c r="F109" s="25">
        <f>[1]GBPHKD!$D24</f>
        <v>2.8000000000000004E-3</v>
      </c>
      <c r="G109" s="25">
        <f>[1]GBPHKD!$C24</f>
        <v>1.1899999999999999E-2</v>
      </c>
      <c r="H109" s="16"/>
      <c r="I109" s="21" t="s">
        <v>14</v>
      </c>
      <c r="J109" s="28">
        <f>[2]G7!$D47</f>
        <v>2.5</v>
      </c>
      <c r="K109" s="28">
        <v>0.6</v>
      </c>
      <c r="L109" s="28">
        <v>1.2</v>
      </c>
      <c r="M109" s="28">
        <v>0.5</v>
      </c>
      <c r="N109" s="28">
        <v>1</v>
      </c>
      <c r="O109" s="16"/>
      <c r="P109" s="21" t="s">
        <v>14</v>
      </c>
      <c r="Q109" s="20">
        <f t="shared" si="110"/>
        <v>6.3E-2</v>
      </c>
      <c r="R109" s="20">
        <f t="shared" si="102"/>
        <v>-1.5699999999999999E-2</v>
      </c>
      <c r="S109" s="20">
        <f t="shared" si="103"/>
        <v>-3.0399999999999996E-2</v>
      </c>
      <c r="T109" s="20">
        <f t="shared" si="104"/>
        <v>3.0000000000000035E-4</v>
      </c>
      <c r="U109" s="20">
        <f t="shared" si="105"/>
        <v>6.899999999999999E-3</v>
      </c>
      <c r="V109" s="22"/>
      <c r="W109" s="21" t="s">
        <v>14</v>
      </c>
      <c r="X109" s="20">
        <f t="shared" si="111"/>
        <v>8.7999999999999995E-2</v>
      </c>
      <c r="Y109" s="20">
        <f t="shared" si="106"/>
        <v>-9.7000000000000003E-3</v>
      </c>
      <c r="Z109" s="20">
        <f t="shared" si="107"/>
        <v>-1.84E-2</v>
      </c>
      <c r="AA109" s="20">
        <f t="shared" si="108"/>
        <v>5.3000000000000009E-3</v>
      </c>
      <c r="AB109" s="20">
        <f t="shared" si="109"/>
        <v>1.6899999999999998E-2</v>
      </c>
    </row>
    <row r="110" spans="1:28" x14ac:dyDescent="0.25">
      <c r="A110" s="21" t="s">
        <v>354</v>
      </c>
      <c r="B110" s="21" t="s">
        <v>876</v>
      </c>
      <c r="C110" s="25">
        <f>[1]GBPHKD!$B25</f>
        <v>8.2100000000000006E-2</v>
      </c>
      <c r="D110" s="25">
        <f>[1]GBPHKD!$F25</f>
        <v>-1.3300000000000001E-2</v>
      </c>
      <c r="E110" s="25">
        <f>[1]GBPHKD!$E25</f>
        <v>-2.52E-2</v>
      </c>
      <c r="F110" s="25">
        <f>[1]GBPHKD!$D25</f>
        <v>2.5999999999999999E-3</v>
      </c>
      <c r="G110" s="25">
        <f>[1]GBPHKD!$C25</f>
        <v>1.18E-2</v>
      </c>
      <c r="H110" s="16"/>
      <c r="I110" s="21" t="s">
        <v>876</v>
      </c>
      <c r="J110" s="28">
        <f>[2]G7!$D48</f>
        <v>3.4200000000000004</v>
      </c>
      <c r="K110" s="28">
        <v>0.6</v>
      </c>
      <c r="L110" s="28">
        <v>1.2</v>
      </c>
      <c r="M110" s="28">
        <v>0.5</v>
      </c>
      <c r="N110" s="28">
        <v>1</v>
      </c>
      <c r="O110" s="16"/>
      <c r="P110" s="21" t="s">
        <v>876</v>
      </c>
      <c r="Q110" s="20">
        <f t="shared" si="110"/>
        <v>6.3E-2</v>
      </c>
      <c r="R110" s="20">
        <f t="shared" si="102"/>
        <v>-1.6300000000000002E-2</v>
      </c>
      <c r="S110" s="20">
        <f t="shared" si="103"/>
        <v>-3.1199999999999999E-2</v>
      </c>
      <c r="T110" s="20">
        <f t="shared" si="104"/>
        <v>9.9999999999999829E-5</v>
      </c>
      <c r="U110" s="20">
        <f t="shared" si="105"/>
        <v>6.7999999999999996E-3</v>
      </c>
      <c r="V110" s="22"/>
      <c r="W110" s="21" t="s">
        <v>876</v>
      </c>
      <c r="X110" s="20">
        <f t="shared" si="111"/>
        <v>9.7200000000000009E-2</v>
      </c>
      <c r="Y110" s="20">
        <f t="shared" si="106"/>
        <v>-1.03E-2</v>
      </c>
      <c r="Z110" s="20">
        <f t="shared" si="107"/>
        <v>-1.9200000000000002E-2</v>
      </c>
      <c r="AA110" s="20">
        <f t="shared" si="108"/>
        <v>5.1000000000000004E-3</v>
      </c>
      <c r="AB110" s="20">
        <f t="shared" si="109"/>
        <v>1.6799999999999999E-2</v>
      </c>
    </row>
    <row r="111" spans="1:28" x14ac:dyDescent="0.25">
      <c r="A111" s="16"/>
      <c r="B111" s="16"/>
      <c r="C111" s="26"/>
      <c r="D111" s="26"/>
      <c r="E111" s="26"/>
      <c r="F111" s="26"/>
      <c r="G111" s="26"/>
      <c r="H111" s="16"/>
      <c r="I111" s="16"/>
      <c r="J111" s="16"/>
      <c r="K111" s="16"/>
      <c r="L111" s="16"/>
      <c r="M111" s="16"/>
      <c r="N111" s="16"/>
      <c r="O111" s="16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spans="1:28" x14ac:dyDescent="0.25">
      <c r="A112" s="16"/>
      <c r="B112" s="16"/>
      <c r="C112" s="26"/>
      <c r="D112" s="26"/>
      <c r="E112" s="26"/>
      <c r="F112" s="26"/>
      <c r="G112" s="26"/>
      <c r="H112" s="16"/>
      <c r="I112" s="16"/>
      <c r="J112" s="16"/>
      <c r="K112" s="16"/>
      <c r="L112" s="16"/>
      <c r="M112" s="16"/>
      <c r="N112" s="16"/>
      <c r="O112" s="16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spans="1:32" x14ac:dyDescent="0.25">
      <c r="A113" s="7" t="s">
        <v>70</v>
      </c>
      <c r="B113" s="7" t="s">
        <v>327</v>
      </c>
      <c r="C113" s="24" t="s">
        <v>311</v>
      </c>
      <c r="D113" s="24" t="s">
        <v>312</v>
      </c>
      <c r="E113" s="24" t="s">
        <v>313</v>
      </c>
      <c r="F113" s="24" t="s">
        <v>314</v>
      </c>
      <c r="G113" s="24" t="s">
        <v>315</v>
      </c>
      <c r="H113" s="8"/>
      <c r="I113" s="7" t="s">
        <v>328</v>
      </c>
      <c r="J113" s="7" t="s">
        <v>311</v>
      </c>
      <c r="K113" s="7" t="s">
        <v>312</v>
      </c>
      <c r="L113" s="7" t="s">
        <v>313</v>
      </c>
      <c r="M113" s="7" t="s">
        <v>314</v>
      </c>
      <c r="N113" s="7" t="s">
        <v>315</v>
      </c>
      <c r="O113" s="16"/>
      <c r="P113" s="7" t="s">
        <v>69</v>
      </c>
      <c r="Q113" s="7" t="s">
        <v>311</v>
      </c>
      <c r="R113" s="7" t="s">
        <v>312</v>
      </c>
      <c r="S113" s="7" t="s">
        <v>313</v>
      </c>
      <c r="T113" s="7" t="s">
        <v>314</v>
      </c>
      <c r="U113" s="7" t="s">
        <v>315</v>
      </c>
      <c r="V113" s="22"/>
      <c r="W113" s="7" t="s">
        <v>318</v>
      </c>
      <c r="X113" s="7" t="s">
        <v>311</v>
      </c>
      <c r="Y113" s="7" t="s">
        <v>312</v>
      </c>
      <c r="Z113" s="7" t="s">
        <v>313</v>
      </c>
      <c r="AA113" s="7" t="s">
        <v>314</v>
      </c>
      <c r="AB113" s="7" t="s">
        <v>315</v>
      </c>
    </row>
    <row r="114" spans="1:32" x14ac:dyDescent="0.25">
      <c r="A114" s="21" t="s">
        <v>339</v>
      </c>
      <c r="B114" s="21" t="s">
        <v>5</v>
      </c>
      <c r="C114" s="25">
        <f>[1]USDJPY!$B15</f>
        <v>0.14940000000000001</v>
      </c>
      <c r="D114" s="25">
        <f>[1]USDJPY!$F15</f>
        <v>-4.0199999999999993E-2</v>
      </c>
      <c r="E114" s="25">
        <f>[1]USDJPY!$E15</f>
        <v>-7.9100000000000004E-2</v>
      </c>
      <c r="F114" s="25">
        <f>[1]USDJPY!$D15</f>
        <v>4.0000000000000001E-3</v>
      </c>
      <c r="G114" s="25">
        <f>[1]USDJPY!$C15</f>
        <v>1.61E-2</v>
      </c>
      <c r="H114" s="8"/>
      <c r="I114" s="21" t="s">
        <v>5</v>
      </c>
      <c r="J114" s="28">
        <f>[2]G7!$C50</f>
        <v>4.04</v>
      </c>
      <c r="K114" s="28">
        <v>1.5</v>
      </c>
      <c r="L114" s="28">
        <v>3</v>
      </c>
      <c r="M114" s="28">
        <v>1.2</v>
      </c>
      <c r="N114" s="28">
        <v>2.4</v>
      </c>
      <c r="O114" s="16"/>
      <c r="P114" s="21" t="s">
        <v>5</v>
      </c>
      <c r="Q114" s="20">
        <f>(C114-J114/200)-0.002</f>
        <v>0.12720000000000001</v>
      </c>
      <c r="R114" s="20">
        <f t="shared" ref="R114:R123" si="112">D114-K114/200</f>
        <v>-4.7699999999999992E-2</v>
      </c>
      <c r="S114" s="20">
        <f t="shared" ref="S114:S123" si="113">E114-L114/200</f>
        <v>-9.4100000000000003E-2</v>
      </c>
      <c r="T114" s="20">
        <f t="shared" ref="T114:T123" si="114">F114-M114/200</f>
        <v>-2E-3</v>
      </c>
      <c r="U114" s="20">
        <f t="shared" ref="U114:U123" si="115">G114-N114/200</f>
        <v>4.0999999999999995E-3</v>
      </c>
      <c r="V114" s="22"/>
      <c r="W114" s="21" t="s">
        <v>5</v>
      </c>
      <c r="X114" s="20">
        <f>(C114+J114/200)-0.002</f>
        <v>0.1676</v>
      </c>
      <c r="Y114" s="20">
        <f t="shared" ref="Y114:Y123" si="116">D114+K114/200</f>
        <v>-3.2699999999999993E-2</v>
      </c>
      <c r="Z114" s="20">
        <f t="shared" ref="Z114:Z123" si="117">E114+L114/200</f>
        <v>-6.4100000000000004E-2</v>
      </c>
      <c r="AA114" s="20">
        <f t="shared" ref="AA114:AA123" si="118">F114+M114/200</f>
        <v>0.01</v>
      </c>
      <c r="AB114" s="20">
        <f t="shared" ref="AB114:AB123" si="119">G114+N114/200</f>
        <v>2.81E-2</v>
      </c>
    </row>
    <row r="115" spans="1:32" x14ac:dyDescent="0.25">
      <c r="A115" s="21" t="s">
        <v>339</v>
      </c>
      <c r="B115" s="21" t="s">
        <v>6</v>
      </c>
      <c r="C115" s="25">
        <f>[1]USDJPY!$B16</f>
        <v>0.11840000000000001</v>
      </c>
      <c r="D115" s="25">
        <f>[1]USDJPY!$F16</f>
        <v>-2.75E-2</v>
      </c>
      <c r="E115" s="25">
        <f>[1]USDJPY!$E16</f>
        <v>-4.3099999999999999E-2</v>
      </c>
      <c r="F115" s="25">
        <f>[1]USDJPY!$D16</f>
        <v>3.4000000000000002E-3</v>
      </c>
      <c r="G115" s="25">
        <f>[1]USDJPY!$C16</f>
        <v>1.0700000000000001E-2</v>
      </c>
      <c r="H115" s="8"/>
      <c r="I115" s="21" t="s">
        <v>6</v>
      </c>
      <c r="J115" s="28">
        <f>[2]G7!$C51</f>
        <v>2</v>
      </c>
      <c r="K115" s="28">
        <v>0.5</v>
      </c>
      <c r="L115" s="28">
        <v>1</v>
      </c>
      <c r="M115" s="28">
        <v>0.4</v>
      </c>
      <c r="N115" s="28">
        <v>0.8</v>
      </c>
      <c r="O115" s="16"/>
      <c r="P115" s="21" t="s">
        <v>6</v>
      </c>
      <c r="Q115" s="20">
        <f t="shared" ref="Q115:Q124" si="120">(C115-J115/200)-0.002</f>
        <v>0.10640000000000001</v>
      </c>
      <c r="R115" s="20">
        <f t="shared" si="112"/>
        <v>-0.03</v>
      </c>
      <c r="S115" s="20">
        <f t="shared" si="113"/>
        <v>-4.8099999999999997E-2</v>
      </c>
      <c r="T115" s="20">
        <f t="shared" si="114"/>
        <v>1.4000000000000002E-3</v>
      </c>
      <c r="U115" s="20">
        <f t="shared" si="115"/>
        <v>6.7000000000000011E-3</v>
      </c>
      <c r="V115" s="22"/>
      <c r="W115" s="21" t="s">
        <v>6</v>
      </c>
      <c r="X115" s="20">
        <f t="shared" ref="X115:X124" si="121">(C115+J115/200)-0.002</f>
        <v>0.12640000000000001</v>
      </c>
      <c r="Y115" s="20">
        <f t="shared" si="116"/>
        <v>-2.5000000000000001E-2</v>
      </c>
      <c r="Z115" s="20">
        <f t="shared" si="117"/>
        <v>-3.8100000000000002E-2</v>
      </c>
      <c r="AA115" s="20">
        <f t="shared" si="118"/>
        <v>5.4000000000000003E-3</v>
      </c>
      <c r="AB115" s="20">
        <f t="shared" si="119"/>
        <v>1.4700000000000001E-2</v>
      </c>
    </row>
    <row r="116" spans="1:32" x14ac:dyDescent="0.25">
      <c r="A116" s="21" t="s">
        <v>339</v>
      </c>
      <c r="B116" s="21" t="s">
        <v>7</v>
      </c>
      <c r="C116" s="25">
        <f>[1]USDJPY!$B17</f>
        <v>0.1195</v>
      </c>
      <c r="D116" s="25">
        <f>[1]USDJPY!$F17</f>
        <v>-2.53E-2</v>
      </c>
      <c r="E116" s="25">
        <f>[1]USDJPY!$E17</f>
        <v>-3.9599999999999996E-2</v>
      </c>
      <c r="F116" s="25">
        <f>[1]USDJPY!$D17</f>
        <v>3.0999999999999999E-3</v>
      </c>
      <c r="G116" s="25">
        <f>[1]USDJPY!$C17</f>
        <v>9.4999999999999998E-3</v>
      </c>
      <c r="H116" s="8"/>
      <c r="I116" s="21" t="s">
        <v>7</v>
      </c>
      <c r="J116" s="28">
        <f>[2]G7!$C52</f>
        <v>1.7</v>
      </c>
      <c r="K116" s="28">
        <v>0.2</v>
      </c>
      <c r="L116" s="28">
        <v>0.4</v>
      </c>
      <c r="M116" s="28">
        <v>0.2</v>
      </c>
      <c r="N116" s="28">
        <v>0.4</v>
      </c>
      <c r="O116" s="16"/>
      <c r="P116" s="21" t="s">
        <v>7</v>
      </c>
      <c r="Q116" s="20">
        <f t="shared" si="120"/>
        <v>0.10899999999999999</v>
      </c>
      <c r="R116" s="20">
        <f t="shared" si="112"/>
        <v>-2.63E-2</v>
      </c>
      <c r="S116" s="20">
        <f t="shared" si="113"/>
        <v>-4.1599999999999998E-2</v>
      </c>
      <c r="T116" s="20">
        <f t="shared" si="114"/>
        <v>2.0999999999999999E-3</v>
      </c>
      <c r="U116" s="20">
        <f t="shared" si="115"/>
        <v>7.4999999999999997E-3</v>
      </c>
      <c r="V116" s="22"/>
      <c r="W116" s="21" t="s">
        <v>7</v>
      </c>
      <c r="X116" s="20">
        <f t="shared" si="121"/>
        <v>0.126</v>
      </c>
      <c r="Y116" s="20">
        <f t="shared" si="116"/>
        <v>-2.4299999999999999E-2</v>
      </c>
      <c r="Z116" s="20">
        <f t="shared" si="117"/>
        <v>-3.7599999999999995E-2</v>
      </c>
      <c r="AA116" s="20">
        <f t="shared" si="118"/>
        <v>4.0999999999999995E-3</v>
      </c>
      <c r="AB116" s="20">
        <f t="shared" si="119"/>
        <v>1.15E-2</v>
      </c>
    </row>
    <row r="117" spans="1:32" x14ac:dyDescent="0.25">
      <c r="A117" s="21" t="s">
        <v>339</v>
      </c>
      <c r="B117" s="21" t="s">
        <v>8</v>
      </c>
      <c r="C117" s="25">
        <f>[1]USDJPY!$B18</f>
        <v>0.10779999999999999</v>
      </c>
      <c r="D117" s="25">
        <f>[1]USDJPY!$F18</f>
        <v>-2.35E-2</v>
      </c>
      <c r="E117" s="25">
        <f>[1]USDJPY!$E18</f>
        <v>-3.6699999999999997E-2</v>
      </c>
      <c r="F117" s="25">
        <f>[1]USDJPY!$D18</f>
        <v>2.5999999999999999E-3</v>
      </c>
      <c r="G117" s="25">
        <f>[1]USDJPY!$C18</f>
        <v>8.0000000000000002E-3</v>
      </c>
      <c r="H117" s="8"/>
      <c r="I117" s="21" t="s">
        <v>8</v>
      </c>
      <c r="J117" s="28">
        <f>[2]G7!$C53</f>
        <v>0.8</v>
      </c>
      <c r="K117" s="28">
        <v>0.2</v>
      </c>
      <c r="L117" s="28">
        <v>0.4</v>
      </c>
      <c r="M117" s="28">
        <v>0.2</v>
      </c>
      <c r="N117" s="28">
        <v>0.4</v>
      </c>
      <c r="O117" s="16"/>
      <c r="P117" s="21" t="s">
        <v>8</v>
      </c>
      <c r="Q117" s="20">
        <f t="shared" si="120"/>
        <v>0.10179999999999999</v>
      </c>
      <c r="R117" s="20">
        <f t="shared" si="112"/>
        <v>-2.4500000000000001E-2</v>
      </c>
      <c r="S117" s="20">
        <f t="shared" si="113"/>
        <v>-3.8699999999999998E-2</v>
      </c>
      <c r="T117" s="20">
        <f t="shared" si="114"/>
        <v>1.5999999999999999E-3</v>
      </c>
      <c r="U117" s="20">
        <f t="shared" si="115"/>
        <v>6.0000000000000001E-3</v>
      </c>
      <c r="V117" s="22"/>
      <c r="W117" s="21" t="s">
        <v>8</v>
      </c>
      <c r="X117" s="20">
        <f t="shared" si="121"/>
        <v>0.10979999999999999</v>
      </c>
      <c r="Y117" s="20">
        <f t="shared" si="116"/>
        <v>-2.2499999999999999E-2</v>
      </c>
      <c r="Z117" s="20">
        <f t="shared" si="117"/>
        <v>-3.4699999999999995E-2</v>
      </c>
      <c r="AA117" s="20">
        <f t="shared" si="118"/>
        <v>3.5999999999999999E-3</v>
      </c>
      <c r="AB117" s="20">
        <f t="shared" si="119"/>
        <v>0.01</v>
      </c>
    </row>
    <row r="118" spans="1:32" x14ac:dyDescent="0.25">
      <c r="A118" s="21" t="s">
        <v>339</v>
      </c>
      <c r="B118" s="21" t="s">
        <v>9</v>
      </c>
      <c r="C118" s="25">
        <f>[1]USDJPY!$B19</f>
        <v>0.1008</v>
      </c>
      <c r="D118" s="25">
        <f>[1]USDJPY!$F19</f>
        <v>-2.0899999999999998E-2</v>
      </c>
      <c r="E118" s="25">
        <f>[1]USDJPY!$E19</f>
        <v>-3.3700000000000001E-2</v>
      </c>
      <c r="F118" s="25">
        <f>[1]USDJPY!$D19</f>
        <v>2.5999999999999999E-3</v>
      </c>
      <c r="G118" s="25">
        <f>[1]USDJPY!$C19</f>
        <v>8.3000000000000001E-3</v>
      </c>
      <c r="H118" s="8"/>
      <c r="I118" s="21" t="s">
        <v>9</v>
      </c>
      <c r="J118" s="28">
        <f>[2]G7!$C54</f>
        <v>0.7</v>
      </c>
      <c r="K118" s="28">
        <v>0.2</v>
      </c>
      <c r="L118" s="28">
        <v>0.4</v>
      </c>
      <c r="M118" s="28">
        <v>0.2</v>
      </c>
      <c r="N118" s="28">
        <v>0.4</v>
      </c>
      <c r="O118" s="16"/>
      <c r="P118" s="21" t="s">
        <v>9</v>
      </c>
      <c r="Q118" s="20">
        <f t="shared" si="120"/>
        <v>9.5299999999999996E-2</v>
      </c>
      <c r="R118" s="20">
        <f t="shared" si="112"/>
        <v>-2.1899999999999999E-2</v>
      </c>
      <c r="S118" s="20">
        <f t="shared" si="113"/>
        <v>-3.5700000000000003E-2</v>
      </c>
      <c r="T118" s="20">
        <f t="shared" si="114"/>
        <v>1.5999999999999999E-3</v>
      </c>
      <c r="U118" s="20">
        <f t="shared" si="115"/>
        <v>6.3E-3</v>
      </c>
      <c r="V118" s="22"/>
      <c r="W118" s="21" t="s">
        <v>9</v>
      </c>
      <c r="X118" s="20">
        <f t="shared" si="121"/>
        <v>0.1023</v>
      </c>
      <c r="Y118" s="20">
        <f t="shared" si="116"/>
        <v>-1.9899999999999998E-2</v>
      </c>
      <c r="Z118" s="20">
        <f t="shared" si="117"/>
        <v>-3.1699999999999999E-2</v>
      </c>
      <c r="AA118" s="20">
        <f t="shared" si="118"/>
        <v>3.5999999999999999E-3</v>
      </c>
      <c r="AB118" s="20">
        <f t="shared" si="119"/>
        <v>1.03E-2</v>
      </c>
      <c r="AF118" s="27"/>
    </row>
    <row r="119" spans="1:32" x14ac:dyDescent="0.25">
      <c r="A119" s="21" t="s">
        <v>339</v>
      </c>
      <c r="B119" s="21" t="s">
        <v>10</v>
      </c>
      <c r="C119" s="25">
        <f>[1]USDJPY!$B20</f>
        <v>9.7100000000000006E-2</v>
      </c>
      <c r="D119" s="25">
        <f>[1]USDJPY!$F20</f>
        <v>-1.9099999999999999E-2</v>
      </c>
      <c r="E119" s="25">
        <f>[1]USDJPY!$E20</f>
        <v>-3.1899999999999998E-2</v>
      </c>
      <c r="F119" s="25">
        <f>[1]USDJPY!$D20</f>
        <v>2.8000000000000004E-3</v>
      </c>
      <c r="G119" s="25">
        <f>[1]USDJPY!$C20</f>
        <v>8.6999999999999994E-3</v>
      </c>
      <c r="H119" s="8"/>
      <c r="I119" s="21" t="s">
        <v>10</v>
      </c>
      <c r="J119" s="28">
        <f>[2]G7!$C55</f>
        <v>0.60000000000000009</v>
      </c>
      <c r="K119" s="28">
        <v>0.2</v>
      </c>
      <c r="L119" s="28">
        <v>0.4</v>
      </c>
      <c r="M119" s="28">
        <v>0.2</v>
      </c>
      <c r="N119" s="28">
        <v>0.4</v>
      </c>
      <c r="O119" s="16"/>
      <c r="P119" s="21" t="s">
        <v>10</v>
      </c>
      <c r="Q119" s="20">
        <f t="shared" si="120"/>
        <v>9.2100000000000001E-2</v>
      </c>
      <c r="R119" s="20">
        <f t="shared" si="112"/>
        <v>-2.01E-2</v>
      </c>
      <c r="S119" s="20">
        <f t="shared" si="113"/>
        <v>-3.39E-2</v>
      </c>
      <c r="T119" s="20">
        <f t="shared" si="114"/>
        <v>1.8000000000000004E-3</v>
      </c>
      <c r="U119" s="20">
        <f t="shared" si="115"/>
        <v>6.6999999999999994E-3</v>
      </c>
      <c r="V119" s="22"/>
      <c r="W119" s="21" t="s">
        <v>10</v>
      </c>
      <c r="X119" s="20">
        <f t="shared" si="121"/>
        <v>9.8100000000000007E-2</v>
      </c>
      <c r="Y119" s="20">
        <f t="shared" si="116"/>
        <v>-1.8099999999999998E-2</v>
      </c>
      <c r="Z119" s="20">
        <f t="shared" si="117"/>
        <v>-2.9899999999999996E-2</v>
      </c>
      <c r="AA119" s="20">
        <f t="shared" si="118"/>
        <v>3.8000000000000004E-3</v>
      </c>
      <c r="AB119" s="20">
        <f t="shared" si="119"/>
        <v>1.0699999999999999E-2</v>
      </c>
    </row>
    <row r="120" spans="1:32" x14ac:dyDescent="0.25">
      <c r="A120" s="21" t="s">
        <v>339</v>
      </c>
      <c r="B120" s="21" t="s">
        <v>11</v>
      </c>
      <c r="C120" s="25">
        <f>[1]USDJPY!$B21</f>
        <v>9.2200000000000004E-2</v>
      </c>
      <c r="D120" s="25">
        <f>[1]USDJPY!$F21</f>
        <v>-1.24E-2</v>
      </c>
      <c r="E120" s="25">
        <f>[1]USDJPY!$E21</f>
        <v>-2.4500000000000001E-2</v>
      </c>
      <c r="F120" s="25">
        <f>[1]USDJPY!$D21</f>
        <v>3.4000000000000002E-3</v>
      </c>
      <c r="G120" s="25">
        <f>[1]USDJPY!$C21</f>
        <v>1.0700000000000001E-2</v>
      </c>
      <c r="H120" s="8"/>
      <c r="I120" s="21" t="s">
        <v>11</v>
      </c>
      <c r="J120" s="28">
        <f>[2]G7!$C56</f>
        <v>0.55000000000000004</v>
      </c>
      <c r="K120" s="28">
        <v>0.2</v>
      </c>
      <c r="L120" s="28">
        <v>0.4</v>
      </c>
      <c r="M120" s="28">
        <v>0.2</v>
      </c>
      <c r="N120" s="28">
        <v>0.4</v>
      </c>
      <c r="O120" s="16"/>
      <c r="P120" s="21" t="s">
        <v>11</v>
      </c>
      <c r="Q120" s="20">
        <f t="shared" si="120"/>
        <v>8.745E-2</v>
      </c>
      <c r="R120" s="20">
        <f t="shared" si="112"/>
        <v>-1.3399999999999999E-2</v>
      </c>
      <c r="S120" s="20">
        <f t="shared" si="113"/>
        <v>-2.6500000000000003E-2</v>
      </c>
      <c r="T120" s="20">
        <f t="shared" si="114"/>
        <v>2.4000000000000002E-3</v>
      </c>
      <c r="U120" s="20">
        <f t="shared" si="115"/>
        <v>8.7000000000000011E-3</v>
      </c>
      <c r="V120" s="22"/>
      <c r="W120" s="21" t="s">
        <v>11</v>
      </c>
      <c r="X120" s="20">
        <f t="shared" si="121"/>
        <v>9.2950000000000005E-2</v>
      </c>
      <c r="Y120" s="20">
        <f t="shared" si="116"/>
        <v>-1.14E-2</v>
      </c>
      <c r="Z120" s="20">
        <f t="shared" si="117"/>
        <v>-2.2499999999999999E-2</v>
      </c>
      <c r="AA120" s="20">
        <f t="shared" si="118"/>
        <v>4.4000000000000003E-3</v>
      </c>
      <c r="AB120" s="20">
        <f t="shared" si="119"/>
        <v>1.2700000000000001E-2</v>
      </c>
    </row>
    <row r="121" spans="1:32" x14ac:dyDescent="0.25">
      <c r="A121" s="21" t="s">
        <v>339</v>
      </c>
      <c r="B121" s="21" t="s">
        <v>12</v>
      </c>
      <c r="C121" s="25">
        <f>[1]USDJPY!$B22</f>
        <v>0.09</v>
      </c>
      <c r="D121" s="25">
        <f>[1]USDJPY!$F22</f>
        <v>-6.8000000000000005E-3</v>
      </c>
      <c r="E121" s="25">
        <f>[1]USDJPY!$E22</f>
        <v>-1.3899999999999999E-2</v>
      </c>
      <c r="F121" s="25">
        <f>[1]USDJPY!$D22</f>
        <v>3.4999999999999996E-3</v>
      </c>
      <c r="G121" s="25">
        <f>[1]USDJPY!$C22</f>
        <v>1.1399999999999999E-2</v>
      </c>
      <c r="H121" s="8"/>
      <c r="I121" s="21" t="s">
        <v>12</v>
      </c>
      <c r="J121" s="28">
        <f>[2]G7!$C57</f>
        <v>0.55000000000000004</v>
      </c>
      <c r="K121" s="28">
        <v>0.2</v>
      </c>
      <c r="L121" s="28">
        <v>0.4</v>
      </c>
      <c r="M121" s="28">
        <v>0.2</v>
      </c>
      <c r="N121" s="28">
        <v>0.4</v>
      </c>
      <c r="O121" s="16"/>
      <c r="P121" s="21" t="s">
        <v>12</v>
      </c>
      <c r="Q121" s="20">
        <f t="shared" si="120"/>
        <v>8.5249999999999992E-2</v>
      </c>
      <c r="R121" s="20">
        <f t="shared" si="112"/>
        <v>-7.8000000000000005E-3</v>
      </c>
      <c r="S121" s="20">
        <f t="shared" si="113"/>
        <v>-1.5899999999999997E-2</v>
      </c>
      <c r="T121" s="20">
        <f t="shared" si="114"/>
        <v>2.4999999999999996E-3</v>
      </c>
      <c r="U121" s="20">
        <f t="shared" si="115"/>
        <v>9.3999999999999986E-3</v>
      </c>
      <c r="V121" s="22"/>
      <c r="W121" s="21" t="s">
        <v>12</v>
      </c>
      <c r="X121" s="20">
        <f t="shared" si="121"/>
        <v>9.0749999999999997E-2</v>
      </c>
      <c r="Y121" s="20">
        <f t="shared" si="116"/>
        <v>-5.8000000000000005E-3</v>
      </c>
      <c r="Z121" s="20">
        <f t="shared" si="117"/>
        <v>-1.1899999999999999E-2</v>
      </c>
      <c r="AA121" s="20">
        <f t="shared" si="118"/>
        <v>4.4999999999999997E-3</v>
      </c>
      <c r="AB121" s="20">
        <f t="shared" si="119"/>
        <v>1.3399999999999999E-2</v>
      </c>
    </row>
    <row r="122" spans="1:32" x14ac:dyDescent="0.25">
      <c r="A122" s="21" t="s">
        <v>339</v>
      </c>
      <c r="B122" s="21" t="s">
        <v>13</v>
      </c>
      <c r="C122" s="25">
        <f>[1]USDJPY!$B23</f>
        <v>8.8800000000000004E-2</v>
      </c>
      <c r="D122" s="25">
        <f>[1]USDJPY!$F23</f>
        <v>-4.0999999999999995E-3</v>
      </c>
      <c r="E122" s="25">
        <f>[1]USDJPY!$E23</f>
        <v>-8.3000000000000001E-3</v>
      </c>
      <c r="F122" s="25">
        <f>[1]USDJPY!$D23</f>
        <v>3.4999999999999996E-3</v>
      </c>
      <c r="G122" s="25">
        <f>[1]USDJPY!$C23</f>
        <v>1.2199999999999999E-2</v>
      </c>
      <c r="H122" s="8"/>
      <c r="I122" s="21" t="s">
        <v>13</v>
      </c>
      <c r="J122" s="28">
        <f>[2]G7!$C58</f>
        <v>0.55000000000000004</v>
      </c>
      <c r="K122" s="28">
        <v>0.2</v>
      </c>
      <c r="L122" s="28">
        <v>0.4</v>
      </c>
      <c r="M122" s="28">
        <v>0.2</v>
      </c>
      <c r="N122" s="28">
        <v>0.4</v>
      </c>
      <c r="O122" s="16"/>
      <c r="P122" s="21" t="s">
        <v>13</v>
      </c>
      <c r="Q122" s="20">
        <f t="shared" si="120"/>
        <v>8.405E-2</v>
      </c>
      <c r="R122" s="20">
        <f t="shared" si="112"/>
        <v>-5.0999999999999995E-3</v>
      </c>
      <c r="S122" s="20">
        <f t="shared" si="113"/>
        <v>-1.03E-2</v>
      </c>
      <c r="T122" s="20">
        <f t="shared" si="114"/>
        <v>2.4999999999999996E-3</v>
      </c>
      <c r="U122" s="20">
        <f t="shared" si="115"/>
        <v>1.0199999999999999E-2</v>
      </c>
      <c r="V122" s="22"/>
      <c r="W122" s="21" t="s">
        <v>13</v>
      </c>
      <c r="X122" s="20">
        <f t="shared" si="121"/>
        <v>8.9550000000000005E-2</v>
      </c>
      <c r="Y122" s="20">
        <f t="shared" si="116"/>
        <v>-3.0999999999999995E-3</v>
      </c>
      <c r="Z122" s="20">
        <f t="shared" si="117"/>
        <v>-6.3E-3</v>
      </c>
      <c r="AA122" s="20">
        <f t="shared" si="118"/>
        <v>4.4999999999999997E-3</v>
      </c>
      <c r="AB122" s="20">
        <f t="shared" si="119"/>
        <v>1.4199999999999999E-2</v>
      </c>
    </row>
    <row r="123" spans="1:32" x14ac:dyDescent="0.25">
      <c r="A123" s="21" t="s">
        <v>339</v>
      </c>
      <c r="B123" s="21" t="s">
        <v>14</v>
      </c>
      <c r="C123" s="25">
        <f>[1]USDJPY!$B24</f>
        <v>8.6099999999999996E-2</v>
      </c>
      <c r="D123" s="25">
        <f>[1]USDJPY!$F24</f>
        <v>-7.000000000000001E-4</v>
      </c>
      <c r="E123" s="25">
        <f>[1]USDJPY!$E24</f>
        <v>-1E-4</v>
      </c>
      <c r="F123" s="25">
        <f>[1]USDJPY!$D24</f>
        <v>3.9000000000000003E-3</v>
      </c>
      <c r="G123" s="25">
        <f>[1]USDJPY!$C24</f>
        <v>1.41E-2</v>
      </c>
      <c r="H123" s="16"/>
      <c r="I123" s="21" t="s">
        <v>14</v>
      </c>
      <c r="J123" s="28">
        <f>[2]G7!$C59</f>
        <v>0.55000000000000004</v>
      </c>
      <c r="K123" s="28">
        <v>0.2</v>
      </c>
      <c r="L123" s="28">
        <v>0.4</v>
      </c>
      <c r="M123" s="28">
        <v>0.2</v>
      </c>
      <c r="N123" s="28">
        <v>0.4</v>
      </c>
      <c r="O123" s="16"/>
      <c r="P123" s="21" t="s">
        <v>14</v>
      </c>
      <c r="Q123" s="20">
        <f t="shared" si="120"/>
        <v>8.1349999999999992E-2</v>
      </c>
      <c r="R123" s="20">
        <f t="shared" si="112"/>
        <v>-1.7000000000000001E-3</v>
      </c>
      <c r="S123" s="20">
        <f t="shared" si="113"/>
        <v>-2.0999999999999999E-3</v>
      </c>
      <c r="T123" s="20">
        <f t="shared" si="114"/>
        <v>2.9000000000000002E-3</v>
      </c>
      <c r="U123" s="20">
        <f t="shared" si="115"/>
        <v>1.21E-2</v>
      </c>
      <c r="V123" s="22"/>
      <c r="W123" s="21" t="s">
        <v>14</v>
      </c>
      <c r="X123" s="20">
        <f t="shared" si="121"/>
        <v>8.6849999999999997E-2</v>
      </c>
      <c r="Y123" s="20">
        <f t="shared" si="116"/>
        <v>2.9999999999999992E-4</v>
      </c>
      <c r="Z123" s="20">
        <f t="shared" si="117"/>
        <v>1.9E-3</v>
      </c>
      <c r="AA123" s="20">
        <f t="shared" si="118"/>
        <v>4.8999999999999998E-3</v>
      </c>
      <c r="AB123" s="20">
        <f t="shared" si="119"/>
        <v>1.61E-2</v>
      </c>
    </row>
    <row r="124" spans="1:32" x14ac:dyDescent="0.25">
      <c r="A124" s="21" t="s">
        <v>335</v>
      </c>
      <c r="B124" s="21" t="s">
        <v>876</v>
      </c>
      <c r="C124" s="25">
        <f>[1]USDJPY!$B25</f>
        <v>8.4199999999999997E-2</v>
      </c>
      <c r="D124" s="25">
        <f>[1]USDJPY!$F25</f>
        <v>2.0000000000000001E-4</v>
      </c>
      <c r="E124" s="25">
        <f>[1]USDJPY!$E25</f>
        <v>2.5000000000000001E-3</v>
      </c>
      <c r="F124" s="25">
        <f>[1]USDJPY!$D25</f>
        <v>4.3E-3</v>
      </c>
      <c r="G124" s="25">
        <f>[1]USDJPY!$C25</f>
        <v>1.54E-2</v>
      </c>
      <c r="H124" s="16"/>
      <c r="I124" s="21" t="s">
        <v>876</v>
      </c>
      <c r="J124" s="28">
        <f>[2]G7!$C60</f>
        <v>0.55000000000000004</v>
      </c>
      <c r="K124" s="28">
        <v>0.2</v>
      </c>
      <c r="L124" s="28">
        <v>0.4</v>
      </c>
      <c r="M124" s="28">
        <v>0.2</v>
      </c>
      <c r="N124" s="28">
        <v>0.4</v>
      </c>
      <c r="O124" s="16"/>
      <c r="P124" s="21" t="s">
        <v>876</v>
      </c>
      <c r="Q124" s="20">
        <f t="shared" si="120"/>
        <v>7.9449999999999993E-2</v>
      </c>
      <c r="R124" s="20">
        <f t="shared" ref="R124" si="122">D124-K124/200</f>
        <v>-8.0000000000000004E-4</v>
      </c>
      <c r="S124" s="20">
        <f t="shared" ref="S124" si="123">E124-L124/200</f>
        <v>5.0000000000000001E-4</v>
      </c>
      <c r="T124" s="20">
        <f t="shared" ref="T124" si="124">F124-M124/200</f>
        <v>3.3E-3</v>
      </c>
      <c r="U124" s="20">
        <f t="shared" ref="U124" si="125">G124-N124/200</f>
        <v>1.34E-2</v>
      </c>
      <c r="V124" s="22"/>
      <c r="W124" s="21" t="s">
        <v>876</v>
      </c>
      <c r="X124" s="20">
        <f t="shared" si="121"/>
        <v>8.4949999999999998E-2</v>
      </c>
      <c r="Y124" s="20">
        <f t="shared" ref="Y124" si="126">D124+K124/200</f>
        <v>1.2000000000000001E-3</v>
      </c>
      <c r="Z124" s="20">
        <f t="shared" ref="Z124" si="127">E124+L124/200</f>
        <v>4.5000000000000005E-3</v>
      </c>
      <c r="AA124" s="20">
        <f t="shared" ref="AA124" si="128">F124+M124/200</f>
        <v>5.3E-3</v>
      </c>
      <c r="AB124" s="20">
        <f t="shared" ref="AB124" si="129">G124+N124/200</f>
        <v>1.7399999999999999E-2</v>
      </c>
    </row>
    <row r="125" spans="1:32" x14ac:dyDescent="0.25">
      <c r="A125" s="16"/>
      <c r="B125" s="16"/>
      <c r="C125" s="26"/>
      <c r="D125" s="26"/>
      <c r="E125" s="26"/>
      <c r="F125" s="26"/>
      <c r="G125" s="26"/>
      <c r="H125" s="16"/>
      <c r="I125" s="16"/>
      <c r="J125" s="16"/>
      <c r="K125" s="16"/>
      <c r="L125" s="16"/>
      <c r="M125" s="16"/>
      <c r="N125" s="16"/>
      <c r="O125" s="16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spans="1:32" x14ac:dyDescent="0.25">
      <c r="A126" s="16"/>
      <c r="B126" s="16"/>
      <c r="C126" s="26"/>
      <c r="D126" s="26"/>
      <c r="E126" s="26"/>
      <c r="F126" s="26"/>
      <c r="G126" s="26"/>
      <c r="H126" s="16"/>
      <c r="I126" s="16"/>
      <c r="J126" s="16"/>
      <c r="K126" s="16"/>
      <c r="L126" s="16"/>
      <c r="M126" s="16"/>
      <c r="N126" s="16"/>
      <c r="O126" s="16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spans="1:32" x14ac:dyDescent="0.25">
      <c r="A127" s="7" t="s">
        <v>70</v>
      </c>
      <c r="B127" s="7" t="s">
        <v>351</v>
      </c>
      <c r="C127" s="24" t="s">
        <v>347</v>
      </c>
      <c r="D127" s="24" t="s">
        <v>348</v>
      </c>
      <c r="E127" s="24" t="s">
        <v>343</v>
      </c>
      <c r="F127" s="24" t="s">
        <v>344</v>
      </c>
      <c r="G127" s="24" t="s">
        <v>345</v>
      </c>
      <c r="H127" s="8"/>
      <c r="I127" s="7" t="s">
        <v>346</v>
      </c>
      <c r="J127" s="7" t="s">
        <v>347</v>
      </c>
      <c r="K127" s="7" t="s">
        <v>348</v>
      </c>
      <c r="L127" s="7" t="s">
        <v>343</v>
      </c>
      <c r="M127" s="7" t="s">
        <v>344</v>
      </c>
      <c r="N127" s="7" t="s">
        <v>345</v>
      </c>
      <c r="O127" s="16"/>
      <c r="P127" s="7" t="s">
        <v>349</v>
      </c>
      <c r="Q127" s="7" t="s">
        <v>347</v>
      </c>
      <c r="R127" s="7" t="s">
        <v>348</v>
      </c>
      <c r="S127" s="7" t="s">
        <v>343</v>
      </c>
      <c r="T127" s="7" t="s">
        <v>344</v>
      </c>
      <c r="U127" s="7" t="s">
        <v>345</v>
      </c>
      <c r="V127" s="22"/>
      <c r="W127" s="7" t="s">
        <v>350</v>
      </c>
      <c r="X127" s="7" t="s">
        <v>347</v>
      </c>
      <c r="Y127" s="7" t="s">
        <v>348</v>
      </c>
      <c r="Z127" s="7" t="s">
        <v>343</v>
      </c>
      <c r="AA127" s="7" t="s">
        <v>344</v>
      </c>
      <c r="AB127" s="7" t="s">
        <v>345</v>
      </c>
    </row>
    <row r="128" spans="1:32" x14ac:dyDescent="0.25">
      <c r="A128" s="21" t="s">
        <v>356</v>
      </c>
      <c r="B128" s="21" t="s">
        <v>5</v>
      </c>
      <c r="C128" s="25">
        <f>[1]JPYHKD!$B15</f>
        <v>0.1474</v>
      </c>
      <c r="D128" s="25">
        <f>[1]JPYHKD!$F15</f>
        <v>-3.4099999999999998E-2</v>
      </c>
      <c r="E128" s="25">
        <f>[1]JPYHKD!$E15</f>
        <v>-6.7400000000000002E-2</v>
      </c>
      <c r="F128" s="25">
        <f>[1]JPYHKD!$D15</f>
        <v>4.1999999999999997E-3</v>
      </c>
      <c r="G128" s="25">
        <f>[1]JPYHKD!$C15</f>
        <v>1.49E-2</v>
      </c>
      <c r="H128" s="8"/>
      <c r="I128" s="21" t="s">
        <v>5</v>
      </c>
      <c r="J128" s="28">
        <f>[2]G7!$D50</f>
        <v>4</v>
      </c>
      <c r="K128" s="28">
        <v>1.5</v>
      </c>
      <c r="L128" s="28">
        <v>3</v>
      </c>
      <c r="M128" s="28">
        <v>1.2</v>
      </c>
      <c r="N128" s="28">
        <v>2.4</v>
      </c>
      <c r="O128" s="16"/>
      <c r="P128" s="21" t="s">
        <v>5</v>
      </c>
      <c r="Q128" s="20">
        <f>(C128-J128/200)-0.002</f>
        <v>0.12540000000000001</v>
      </c>
      <c r="R128" s="20">
        <f t="shared" ref="R128:R138" si="130">D128-K128/200</f>
        <v>-4.1599999999999998E-2</v>
      </c>
      <c r="S128" s="20">
        <f t="shared" ref="S128:S138" si="131">E128-L128/200</f>
        <v>-8.2400000000000001E-2</v>
      </c>
      <c r="T128" s="20">
        <f t="shared" ref="T128:T138" si="132">F128-M128/200</f>
        <v>-1.8000000000000004E-3</v>
      </c>
      <c r="U128" s="20">
        <f t="shared" ref="U128:U138" si="133">G128-N128/200</f>
        <v>2.8999999999999998E-3</v>
      </c>
      <c r="V128" s="22"/>
      <c r="W128" s="21" t="s">
        <v>5</v>
      </c>
      <c r="X128" s="20">
        <f>(C128+J128/200)-0.002</f>
        <v>0.16539999999999999</v>
      </c>
      <c r="Y128" s="20">
        <f t="shared" ref="Y128:Y138" si="134">D128+K128/200</f>
        <v>-2.6599999999999999E-2</v>
      </c>
      <c r="Z128" s="20">
        <f t="shared" ref="Z128:Z138" si="135">E128+L128/200</f>
        <v>-5.2400000000000002E-2</v>
      </c>
      <c r="AA128" s="20">
        <f t="shared" ref="AA128:AA138" si="136">F128+M128/200</f>
        <v>1.0200000000000001E-2</v>
      </c>
      <c r="AB128" s="20">
        <f t="shared" ref="AB128:AB138" si="137">G128+N128/200</f>
        <v>2.69E-2</v>
      </c>
    </row>
    <row r="129" spans="1:28" x14ac:dyDescent="0.25">
      <c r="A129" s="21" t="s">
        <v>356</v>
      </c>
      <c r="B129" s="21" t="s">
        <v>6</v>
      </c>
      <c r="C129" s="25">
        <f>[1]JPYHKD!$B16</f>
        <v>0.11689999999999999</v>
      </c>
      <c r="D129" s="25">
        <f>[1]JPYHKD!$F16</f>
        <v>-2.7099999999999999E-2</v>
      </c>
      <c r="E129" s="25">
        <f>[1]JPYHKD!$E16</f>
        <v>-5.3399999999999996E-2</v>
      </c>
      <c r="F129" s="25">
        <f>[1]JPYHKD!$D16</f>
        <v>3.3E-3</v>
      </c>
      <c r="G129" s="25">
        <f>[1]JPYHKD!$C16</f>
        <v>1.18E-2</v>
      </c>
      <c r="H129" s="8"/>
      <c r="I129" s="21" t="s">
        <v>6</v>
      </c>
      <c r="J129" s="28">
        <f>[2]G7!$D51</f>
        <v>2</v>
      </c>
      <c r="K129" s="28">
        <v>0.5</v>
      </c>
      <c r="L129" s="28">
        <v>1</v>
      </c>
      <c r="M129" s="28">
        <v>0.4</v>
      </c>
      <c r="N129" s="28">
        <v>0.8</v>
      </c>
      <c r="O129" s="16"/>
      <c r="P129" s="21" t="s">
        <v>6</v>
      </c>
      <c r="Q129" s="20">
        <f t="shared" ref="Q129:Q138" si="138">(C129-J129/200)-0.002</f>
        <v>0.10489999999999999</v>
      </c>
      <c r="R129" s="20">
        <f t="shared" si="130"/>
        <v>-2.9599999999999998E-2</v>
      </c>
      <c r="S129" s="20">
        <f t="shared" si="131"/>
        <v>-5.8399999999999994E-2</v>
      </c>
      <c r="T129" s="20">
        <f t="shared" si="132"/>
        <v>1.2999999999999999E-3</v>
      </c>
      <c r="U129" s="20">
        <f t="shared" si="133"/>
        <v>7.7999999999999996E-3</v>
      </c>
      <c r="V129" s="22"/>
      <c r="W129" s="21" t="s">
        <v>6</v>
      </c>
      <c r="X129" s="20">
        <f t="shared" ref="X129:X138" si="139">(C129+J129/200)-0.002</f>
        <v>0.12489999999999998</v>
      </c>
      <c r="Y129" s="20">
        <f t="shared" si="134"/>
        <v>-2.46E-2</v>
      </c>
      <c r="Z129" s="20">
        <f t="shared" si="135"/>
        <v>-4.8399999999999999E-2</v>
      </c>
      <c r="AA129" s="20">
        <f t="shared" si="136"/>
        <v>5.3E-3</v>
      </c>
      <c r="AB129" s="20">
        <f t="shared" si="137"/>
        <v>1.5800000000000002E-2</v>
      </c>
    </row>
    <row r="130" spans="1:28" x14ac:dyDescent="0.25">
      <c r="A130" s="21" t="s">
        <v>356</v>
      </c>
      <c r="B130" s="21" t="s">
        <v>7</v>
      </c>
      <c r="C130" s="25">
        <f>[1]JPYHKD!$B17</f>
        <v>0.1142</v>
      </c>
      <c r="D130" s="25">
        <f>[1]JPYHKD!$F17</f>
        <v>-2.5699999999999997E-2</v>
      </c>
      <c r="E130" s="25">
        <f>[1]JPYHKD!$E17</f>
        <v>-5.0599999999999999E-2</v>
      </c>
      <c r="F130" s="25">
        <f>[1]JPYHKD!$D17</f>
        <v>3.0999999999999999E-3</v>
      </c>
      <c r="G130" s="25">
        <f>[1]JPYHKD!$C17</f>
        <v>1.0800000000000001E-2</v>
      </c>
      <c r="H130" s="8"/>
      <c r="I130" s="21" t="s">
        <v>7</v>
      </c>
      <c r="J130" s="28">
        <f>[2]G7!$D52</f>
        <v>1.7</v>
      </c>
      <c r="K130" s="28">
        <v>0.2</v>
      </c>
      <c r="L130" s="28">
        <v>0.4</v>
      </c>
      <c r="M130" s="28">
        <v>0.2</v>
      </c>
      <c r="N130" s="28">
        <v>0.4</v>
      </c>
      <c r="O130" s="16"/>
      <c r="P130" s="21" t="s">
        <v>7</v>
      </c>
      <c r="Q130" s="20">
        <f t="shared" si="138"/>
        <v>0.10369999999999999</v>
      </c>
      <c r="R130" s="20">
        <f t="shared" si="130"/>
        <v>-2.6699999999999998E-2</v>
      </c>
      <c r="S130" s="20">
        <f t="shared" si="131"/>
        <v>-5.2600000000000001E-2</v>
      </c>
      <c r="T130" s="20">
        <f t="shared" si="132"/>
        <v>2.0999999999999999E-3</v>
      </c>
      <c r="U130" s="20">
        <f t="shared" si="133"/>
        <v>8.8000000000000005E-3</v>
      </c>
      <c r="V130" s="22"/>
      <c r="W130" s="21" t="s">
        <v>7</v>
      </c>
      <c r="X130" s="20">
        <f t="shared" si="139"/>
        <v>0.1207</v>
      </c>
      <c r="Y130" s="20">
        <f t="shared" si="134"/>
        <v>-2.4699999999999996E-2</v>
      </c>
      <c r="Z130" s="20">
        <f t="shared" si="135"/>
        <v>-4.8599999999999997E-2</v>
      </c>
      <c r="AA130" s="20">
        <f t="shared" si="136"/>
        <v>4.0999999999999995E-3</v>
      </c>
      <c r="AB130" s="20">
        <f t="shared" si="137"/>
        <v>1.2800000000000001E-2</v>
      </c>
    </row>
    <row r="131" spans="1:28" x14ac:dyDescent="0.25">
      <c r="A131" s="21" t="s">
        <v>356</v>
      </c>
      <c r="B131" s="21" t="s">
        <v>8</v>
      </c>
      <c r="C131" s="25">
        <f>[1]JPYHKD!$B18</f>
        <v>0.10710000000000001</v>
      </c>
      <c r="D131" s="25">
        <f>[1]JPYHKD!$F18</f>
        <v>-2.3700000000000002E-2</v>
      </c>
      <c r="E131" s="25">
        <f>[1]JPYHKD!$E18</f>
        <v>-4.6699999999999998E-2</v>
      </c>
      <c r="F131" s="25">
        <f>[1]JPYHKD!$D18</f>
        <v>2.8000000000000004E-3</v>
      </c>
      <c r="G131" s="25">
        <f>[1]JPYHKD!$C18</f>
        <v>9.7999999999999997E-3</v>
      </c>
      <c r="H131" s="8"/>
      <c r="I131" s="21" t="s">
        <v>8</v>
      </c>
      <c r="J131" s="28">
        <f>[2]G7!$D53</f>
        <v>1.3</v>
      </c>
      <c r="K131" s="28">
        <v>0.2</v>
      </c>
      <c r="L131" s="28">
        <v>0.4</v>
      </c>
      <c r="M131" s="28">
        <v>0.2</v>
      </c>
      <c r="N131" s="28">
        <v>0.4</v>
      </c>
      <c r="O131" s="16"/>
      <c r="P131" s="21" t="s">
        <v>8</v>
      </c>
      <c r="Q131" s="20">
        <f t="shared" si="138"/>
        <v>9.8600000000000007E-2</v>
      </c>
      <c r="R131" s="20">
        <f t="shared" si="130"/>
        <v>-2.4700000000000003E-2</v>
      </c>
      <c r="S131" s="20">
        <f t="shared" si="131"/>
        <v>-4.87E-2</v>
      </c>
      <c r="T131" s="20">
        <f t="shared" si="132"/>
        <v>1.8000000000000004E-3</v>
      </c>
      <c r="U131" s="20">
        <f t="shared" si="133"/>
        <v>7.7999999999999996E-3</v>
      </c>
      <c r="V131" s="22"/>
      <c r="W131" s="21" t="s">
        <v>8</v>
      </c>
      <c r="X131" s="20">
        <f t="shared" si="139"/>
        <v>0.11160000000000002</v>
      </c>
      <c r="Y131" s="20">
        <f t="shared" si="134"/>
        <v>-2.2700000000000001E-2</v>
      </c>
      <c r="Z131" s="20">
        <f t="shared" si="135"/>
        <v>-4.4699999999999997E-2</v>
      </c>
      <c r="AA131" s="20">
        <f t="shared" si="136"/>
        <v>3.8000000000000004E-3</v>
      </c>
      <c r="AB131" s="20">
        <f t="shared" si="137"/>
        <v>1.18E-2</v>
      </c>
    </row>
    <row r="132" spans="1:28" x14ac:dyDescent="0.25">
      <c r="A132" s="21" t="s">
        <v>356</v>
      </c>
      <c r="B132" s="21" t="s">
        <v>9</v>
      </c>
      <c r="C132" s="25">
        <f>[1]JPYHKD!$B19</f>
        <v>9.9700000000000011E-2</v>
      </c>
      <c r="D132" s="25">
        <f>[1]JPYHKD!$F19</f>
        <v>-2.12E-2</v>
      </c>
      <c r="E132" s="25">
        <f>[1]JPYHKD!$E19</f>
        <v>-4.1900000000000007E-2</v>
      </c>
      <c r="F132" s="25">
        <f>[1]JPYHKD!$D19</f>
        <v>2.8999999999999998E-3</v>
      </c>
      <c r="G132" s="25">
        <f>[1]JPYHKD!$C19</f>
        <v>1.01E-2</v>
      </c>
      <c r="H132" s="8"/>
      <c r="I132" s="21" t="s">
        <v>9</v>
      </c>
      <c r="J132" s="28">
        <f>[2]G7!$D54</f>
        <v>1.27</v>
      </c>
      <c r="K132" s="28">
        <v>0.2</v>
      </c>
      <c r="L132" s="28">
        <v>0.4</v>
      </c>
      <c r="M132" s="28">
        <v>0.2</v>
      </c>
      <c r="N132" s="28">
        <v>0.4</v>
      </c>
      <c r="O132" s="16"/>
      <c r="P132" s="21" t="s">
        <v>9</v>
      </c>
      <c r="Q132" s="20">
        <f t="shared" si="138"/>
        <v>9.1350000000000015E-2</v>
      </c>
      <c r="R132" s="20">
        <f t="shared" si="130"/>
        <v>-2.2200000000000001E-2</v>
      </c>
      <c r="S132" s="20">
        <f t="shared" si="131"/>
        <v>-4.3900000000000008E-2</v>
      </c>
      <c r="T132" s="20">
        <f t="shared" si="132"/>
        <v>1.8999999999999998E-3</v>
      </c>
      <c r="U132" s="20">
        <f t="shared" si="133"/>
        <v>8.0999999999999996E-3</v>
      </c>
      <c r="V132" s="22"/>
      <c r="W132" s="21" t="s">
        <v>9</v>
      </c>
      <c r="X132" s="20">
        <f t="shared" si="139"/>
        <v>0.10405</v>
      </c>
      <c r="Y132" s="20">
        <f t="shared" si="134"/>
        <v>-2.0199999999999999E-2</v>
      </c>
      <c r="Z132" s="20">
        <f t="shared" si="135"/>
        <v>-3.9900000000000005E-2</v>
      </c>
      <c r="AA132" s="20">
        <f t="shared" si="136"/>
        <v>3.8999999999999998E-3</v>
      </c>
      <c r="AB132" s="20">
        <f t="shared" si="137"/>
        <v>1.21E-2</v>
      </c>
    </row>
    <row r="133" spans="1:28" x14ac:dyDescent="0.25">
      <c r="A133" s="21" t="s">
        <v>356</v>
      </c>
      <c r="B133" s="21" t="s">
        <v>10</v>
      </c>
      <c r="C133" s="25">
        <f>[1]JPYHKD!$B20</f>
        <v>9.64E-2</v>
      </c>
      <c r="D133" s="25">
        <f>[1]JPYHKD!$F20</f>
        <v>-1.9400000000000001E-2</v>
      </c>
      <c r="E133" s="25">
        <f>[1]JPYHKD!$E20</f>
        <v>-3.8599999999999995E-2</v>
      </c>
      <c r="F133" s="25">
        <f>[1]JPYHKD!$D20</f>
        <v>3.0999999999999999E-3</v>
      </c>
      <c r="G133" s="25">
        <f>[1]JPYHKD!$C20</f>
        <v>1.06E-2</v>
      </c>
      <c r="H133" s="8"/>
      <c r="I133" s="21" t="s">
        <v>10</v>
      </c>
      <c r="J133" s="28">
        <f>[2]G7!$D55</f>
        <v>1.3</v>
      </c>
      <c r="K133" s="28">
        <v>0.2</v>
      </c>
      <c r="L133" s="28">
        <v>0.4</v>
      </c>
      <c r="M133" s="28">
        <v>0.2</v>
      </c>
      <c r="N133" s="28">
        <v>0.4</v>
      </c>
      <c r="O133" s="16"/>
      <c r="P133" s="21" t="s">
        <v>10</v>
      </c>
      <c r="Q133" s="20">
        <f t="shared" si="138"/>
        <v>8.7899999999999992E-2</v>
      </c>
      <c r="R133" s="20">
        <f t="shared" si="130"/>
        <v>-2.0400000000000001E-2</v>
      </c>
      <c r="S133" s="20">
        <f t="shared" si="131"/>
        <v>-4.0599999999999997E-2</v>
      </c>
      <c r="T133" s="20">
        <f t="shared" si="132"/>
        <v>2.0999999999999999E-3</v>
      </c>
      <c r="U133" s="20">
        <f t="shared" si="133"/>
        <v>8.6E-3</v>
      </c>
      <c r="V133" s="22"/>
      <c r="W133" s="21" t="s">
        <v>10</v>
      </c>
      <c r="X133" s="20">
        <f t="shared" si="139"/>
        <v>0.1009</v>
      </c>
      <c r="Y133" s="20">
        <f t="shared" si="134"/>
        <v>-1.84E-2</v>
      </c>
      <c r="Z133" s="20">
        <f t="shared" si="135"/>
        <v>-3.6599999999999994E-2</v>
      </c>
      <c r="AA133" s="20">
        <f t="shared" si="136"/>
        <v>4.0999999999999995E-3</v>
      </c>
      <c r="AB133" s="20">
        <f t="shared" si="137"/>
        <v>1.26E-2</v>
      </c>
    </row>
    <row r="134" spans="1:28" x14ac:dyDescent="0.25">
      <c r="A134" s="21" t="s">
        <v>356</v>
      </c>
      <c r="B134" s="21" t="s">
        <v>11</v>
      </c>
      <c r="C134" s="25">
        <f>[1]JPYHKD!$B21</f>
        <v>9.1600000000000001E-2</v>
      </c>
      <c r="D134" s="25">
        <f>[1]JPYHKD!$F21</f>
        <v>-1.2800000000000001E-2</v>
      </c>
      <c r="E134" s="25">
        <f>[1]JPYHKD!$E21</f>
        <v>-2.6000000000000002E-2</v>
      </c>
      <c r="F134" s="25">
        <f>[1]JPYHKD!$D21</f>
        <v>3.4000000000000002E-3</v>
      </c>
      <c r="G134" s="25">
        <f>[1]JPYHKD!$C21</f>
        <v>1.1899999999999999E-2</v>
      </c>
      <c r="H134" s="8"/>
      <c r="I134" s="21" t="s">
        <v>11</v>
      </c>
      <c r="J134" s="28">
        <f>[2]G7!$D56</f>
        <v>1.28</v>
      </c>
      <c r="K134" s="28">
        <v>0.2</v>
      </c>
      <c r="L134" s="28">
        <v>0.4</v>
      </c>
      <c r="M134" s="28">
        <v>0.2</v>
      </c>
      <c r="N134" s="28">
        <v>0.4</v>
      </c>
      <c r="O134" s="16"/>
      <c r="P134" s="21" t="s">
        <v>11</v>
      </c>
      <c r="Q134" s="20">
        <f t="shared" si="138"/>
        <v>8.3199999999999996E-2</v>
      </c>
      <c r="R134" s="20">
        <f t="shared" si="130"/>
        <v>-1.38E-2</v>
      </c>
      <c r="S134" s="20">
        <f t="shared" si="131"/>
        <v>-2.8000000000000004E-2</v>
      </c>
      <c r="T134" s="20">
        <f t="shared" si="132"/>
        <v>2.4000000000000002E-3</v>
      </c>
      <c r="U134" s="20">
        <f t="shared" si="133"/>
        <v>9.8999999999999991E-3</v>
      </c>
      <c r="V134" s="22"/>
      <c r="W134" s="21" t="s">
        <v>11</v>
      </c>
      <c r="X134" s="20">
        <f t="shared" si="139"/>
        <v>9.6000000000000002E-2</v>
      </c>
      <c r="Y134" s="20">
        <f t="shared" si="134"/>
        <v>-1.1800000000000001E-2</v>
      </c>
      <c r="Z134" s="20">
        <f t="shared" si="135"/>
        <v>-2.4E-2</v>
      </c>
      <c r="AA134" s="20">
        <f t="shared" si="136"/>
        <v>4.4000000000000003E-3</v>
      </c>
      <c r="AB134" s="20">
        <f t="shared" si="137"/>
        <v>1.3899999999999999E-2</v>
      </c>
    </row>
    <row r="135" spans="1:28" x14ac:dyDescent="0.25">
      <c r="A135" s="21" t="s">
        <v>356</v>
      </c>
      <c r="B135" s="21" t="s">
        <v>12</v>
      </c>
      <c r="C135" s="25">
        <f>[1]JPYHKD!$B22</f>
        <v>8.9399999999999993E-2</v>
      </c>
      <c r="D135" s="25">
        <f>[1]JPYHKD!$F22</f>
        <v>-7.3000000000000001E-3</v>
      </c>
      <c r="E135" s="25">
        <f>[1]JPYHKD!$E22</f>
        <v>-1.52E-2</v>
      </c>
      <c r="F135" s="25">
        <f>[1]JPYHKD!$D22</f>
        <v>3.5999999999999999E-3</v>
      </c>
      <c r="G135" s="25">
        <f>[1]JPYHKD!$C22</f>
        <v>1.29E-2</v>
      </c>
      <c r="H135" s="8"/>
      <c r="I135" s="21" t="s">
        <v>12</v>
      </c>
      <c r="J135" s="28">
        <f>[2]G7!$D57</f>
        <v>1.23</v>
      </c>
      <c r="K135" s="28">
        <v>0.2</v>
      </c>
      <c r="L135" s="28">
        <v>0.4</v>
      </c>
      <c r="M135" s="28">
        <v>0.2</v>
      </c>
      <c r="N135" s="28">
        <v>0.4</v>
      </c>
      <c r="O135" s="16"/>
      <c r="P135" s="21" t="s">
        <v>12</v>
      </c>
      <c r="Q135" s="20">
        <f t="shared" si="138"/>
        <v>8.1249999999999989E-2</v>
      </c>
      <c r="R135" s="20">
        <f t="shared" si="130"/>
        <v>-8.3000000000000001E-3</v>
      </c>
      <c r="S135" s="20">
        <f t="shared" si="131"/>
        <v>-1.72E-2</v>
      </c>
      <c r="T135" s="20">
        <f t="shared" si="132"/>
        <v>2.5999999999999999E-3</v>
      </c>
      <c r="U135" s="20">
        <f t="shared" si="133"/>
        <v>1.09E-2</v>
      </c>
      <c r="V135" s="22"/>
      <c r="W135" s="21" t="s">
        <v>12</v>
      </c>
      <c r="X135" s="20">
        <f t="shared" si="139"/>
        <v>9.3549999999999994E-2</v>
      </c>
      <c r="Y135" s="20">
        <f t="shared" si="134"/>
        <v>-6.3E-3</v>
      </c>
      <c r="Z135" s="20">
        <f t="shared" si="135"/>
        <v>-1.32E-2</v>
      </c>
      <c r="AA135" s="20">
        <f t="shared" si="136"/>
        <v>4.5999999999999999E-3</v>
      </c>
      <c r="AB135" s="20">
        <f t="shared" si="137"/>
        <v>1.49E-2</v>
      </c>
    </row>
    <row r="136" spans="1:28" x14ac:dyDescent="0.25">
      <c r="A136" s="21" t="s">
        <v>356</v>
      </c>
      <c r="B136" s="21" t="s">
        <v>13</v>
      </c>
      <c r="C136" s="25">
        <f>[1]JPYHKD!$B23</f>
        <v>8.8499999999999995E-2</v>
      </c>
      <c r="D136" s="25">
        <f>[1]JPYHKD!$F23</f>
        <v>-4.4000000000000003E-3</v>
      </c>
      <c r="E136" s="25">
        <f>[1]JPYHKD!$E23</f>
        <v>-9.7000000000000003E-3</v>
      </c>
      <c r="F136" s="25">
        <f>[1]JPYHKD!$D23</f>
        <v>3.5999999999999999E-3</v>
      </c>
      <c r="G136" s="25">
        <f>[1]JPYHKD!$C23</f>
        <v>1.3300000000000001E-2</v>
      </c>
      <c r="H136" s="8"/>
      <c r="I136" s="21" t="s">
        <v>13</v>
      </c>
      <c r="J136" s="28">
        <f>[2]G7!$D58</f>
        <v>1.23</v>
      </c>
      <c r="K136" s="28">
        <v>0.2</v>
      </c>
      <c r="L136" s="28">
        <v>0.4</v>
      </c>
      <c r="M136" s="28">
        <v>0.2</v>
      </c>
      <c r="N136" s="28">
        <v>0.4</v>
      </c>
      <c r="O136" s="16"/>
      <c r="P136" s="21" t="s">
        <v>13</v>
      </c>
      <c r="Q136" s="20">
        <f t="shared" si="138"/>
        <v>8.0349999999999991E-2</v>
      </c>
      <c r="R136" s="20">
        <f t="shared" si="130"/>
        <v>-5.4000000000000003E-3</v>
      </c>
      <c r="S136" s="20">
        <f t="shared" si="131"/>
        <v>-1.17E-2</v>
      </c>
      <c r="T136" s="20">
        <f t="shared" si="132"/>
        <v>2.5999999999999999E-3</v>
      </c>
      <c r="U136" s="20">
        <f t="shared" si="133"/>
        <v>1.1300000000000001E-2</v>
      </c>
      <c r="V136" s="22"/>
      <c r="W136" s="21" t="s">
        <v>13</v>
      </c>
      <c r="X136" s="20">
        <f t="shared" si="139"/>
        <v>9.2649999999999996E-2</v>
      </c>
      <c r="Y136" s="20">
        <f t="shared" si="134"/>
        <v>-3.4000000000000002E-3</v>
      </c>
      <c r="Z136" s="20">
        <f t="shared" si="135"/>
        <v>-7.7000000000000002E-3</v>
      </c>
      <c r="AA136" s="20">
        <f t="shared" si="136"/>
        <v>4.5999999999999999E-3</v>
      </c>
      <c r="AB136" s="20">
        <f t="shared" si="137"/>
        <v>1.5300000000000001E-2</v>
      </c>
    </row>
    <row r="137" spans="1:28" x14ac:dyDescent="0.25">
      <c r="A137" s="21" t="s">
        <v>356</v>
      </c>
      <c r="B137" s="21" t="s">
        <v>14</v>
      </c>
      <c r="C137" s="25">
        <f>[1]JPYHKD!$B24</f>
        <v>9.1999999999999998E-2</v>
      </c>
      <c r="D137" s="25">
        <f>[1]JPYHKD!$F24</f>
        <v>-8.9999999999999998E-4</v>
      </c>
      <c r="E137" s="25">
        <f>[1]JPYHKD!$E24</f>
        <v>-3.4000000000000002E-3</v>
      </c>
      <c r="F137" s="25">
        <f>[1]JPYHKD!$D24</f>
        <v>4.0000000000000001E-3</v>
      </c>
      <c r="G137" s="25">
        <f>[1]JPYHKD!$C24</f>
        <v>1.52E-2</v>
      </c>
      <c r="H137" s="16"/>
      <c r="I137" s="21" t="s">
        <v>14</v>
      </c>
      <c r="J137" s="28">
        <f>[2]G7!$D59</f>
        <v>1.1599999999999999</v>
      </c>
      <c r="K137" s="28">
        <v>0.2</v>
      </c>
      <c r="L137" s="28">
        <v>0.4</v>
      </c>
      <c r="M137" s="28">
        <v>0.2</v>
      </c>
      <c r="N137" s="28">
        <v>0.4</v>
      </c>
      <c r="O137" s="16"/>
      <c r="P137" s="21" t="s">
        <v>14</v>
      </c>
      <c r="Q137" s="20">
        <f t="shared" si="138"/>
        <v>8.4199999999999997E-2</v>
      </c>
      <c r="R137" s="20">
        <f t="shared" si="130"/>
        <v>-1.9E-3</v>
      </c>
      <c r="S137" s="20">
        <f t="shared" si="131"/>
        <v>-5.4000000000000003E-3</v>
      </c>
      <c r="T137" s="20">
        <f t="shared" si="132"/>
        <v>3.0000000000000001E-3</v>
      </c>
      <c r="U137" s="20">
        <f t="shared" si="133"/>
        <v>1.32E-2</v>
      </c>
      <c r="V137" s="22"/>
      <c r="W137" s="21" t="s">
        <v>14</v>
      </c>
      <c r="X137" s="20">
        <f t="shared" si="139"/>
        <v>9.5799999999999996E-2</v>
      </c>
      <c r="Y137" s="20">
        <f t="shared" si="134"/>
        <v>1.0000000000000005E-4</v>
      </c>
      <c r="Z137" s="20">
        <f t="shared" si="135"/>
        <v>-1.4000000000000002E-3</v>
      </c>
      <c r="AA137" s="20">
        <f t="shared" si="136"/>
        <v>5.0000000000000001E-3</v>
      </c>
      <c r="AB137" s="20">
        <f t="shared" si="137"/>
        <v>1.72E-2</v>
      </c>
    </row>
    <row r="138" spans="1:28" x14ac:dyDescent="0.25">
      <c r="A138" s="21" t="s">
        <v>356</v>
      </c>
      <c r="B138" s="21" t="s">
        <v>876</v>
      </c>
      <c r="C138" s="25">
        <f>[1]JPYHKD!$B25</f>
        <v>9.2100000000000015E-2</v>
      </c>
      <c r="D138" s="25">
        <f>[1]JPYHKD!$F25</f>
        <v>0</v>
      </c>
      <c r="E138" s="25">
        <f>[1]JPYHKD!$E25</f>
        <v>-2.0999999999999999E-3</v>
      </c>
      <c r="F138" s="25">
        <f>[1]JPYHKD!$D25</f>
        <v>4.4000000000000003E-3</v>
      </c>
      <c r="G138" s="25">
        <f>[1]JPYHKD!$C25</f>
        <v>1.6799999999999999E-2</v>
      </c>
      <c r="H138" s="16"/>
      <c r="I138" s="21" t="s">
        <v>876</v>
      </c>
      <c r="J138" s="28">
        <f>[2]G7!$D60</f>
        <v>1.07</v>
      </c>
      <c r="K138" s="28">
        <v>0.2</v>
      </c>
      <c r="L138" s="28">
        <v>0.4</v>
      </c>
      <c r="M138" s="28">
        <v>0.2</v>
      </c>
      <c r="N138" s="28">
        <v>0.4</v>
      </c>
      <c r="O138" s="16"/>
      <c r="P138" s="21" t="s">
        <v>876</v>
      </c>
      <c r="Q138" s="20">
        <f t="shared" si="138"/>
        <v>8.475000000000002E-2</v>
      </c>
      <c r="R138" s="20">
        <f t="shared" si="130"/>
        <v>-1E-3</v>
      </c>
      <c r="S138" s="20">
        <f t="shared" si="131"/>
        <v>-4.0999999999999995E-3</v>
      </c>
      <c r="T138" s="20">
        <f t="shared" si="132"/>
        <v>3.4000000000000002E-3</v>
      </c>
      <c r="U138" s="20">
        <f t="shared" si="133"/>
        <v>1.4799999999999999E-2</v>
      </c>
      <c r="V138" s="22"/>
      <c r="W138" s="21" t="s">
        <v>876</v>
      </c>
      <c r="X138" s="20">
        <f t="shared" si="139"/>
        <v>9.5450000000000007E-2</v>
      </c>
      <c r="Y138" s="20">
        <f t="shared" si="134"/>
        <v>1E-3</v>
      </c>
      <c r="Z138" s="20">
        <f t="shared" si="135"/>
        <v>-9.9999999999999829E-5</v>
      </c>
      <c r="AA138" s="20">
        <f t="shared" si="136"/>
        <v>5.4000000000000003E-3</v>
      </c>
      <c r="AB138" s="20">
        <f t="shared" si="137"/>
        <v>1.8799999999999997E-2</v>
      </c>
    </row>
    <row r="139" spans="1:28" x14ac:dyDescent="0.25">
      <c r="A139" s="29"/>
      <c r="B139" s="16"/>
      <c r="C139" s="26"/>
      <c r="D139" s="26"/>
      <c r="E139" s="26"/>
      <c r="F139" s="26"/>
      <c r="G139" s="26"/>
      <c r="H139" s="16"/>
      <c r="I139" s="16"/>
      <c r="J139" s="16"/>
      <c r="K139" s="16"/>
      <c r="L139" s="16"/>
      <c r="M139" s="16"/>
      <c r="N139" s="16"/>
      <c r="O139" s="16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 spans="1:28" x14ac:dyDescent="0.25">
      <c r="A140" s="16"/>
      <c r="B140" s="16"/>
      <c r="C140" s="26"/>
      <c r="D140" s="26"/>
      <c r="E140" s="26"/>
      <c r="F140" s="26"/>
      <c r="G140" s="26"/>
      <c r="H140" s="16"/>
      <c r="I140" s="16"/>
      <c r="J140" s="16"/>
      <c r="K140" s="16"/>
      <c r="L140" s="16"/>
      <c r="M140" s="16"/>
      <c r="N140" s="16"/>
      <c r="O140" s="16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 spans="1:28" x14ac:dyDescent="0.25">
      <c r="A141" s="7" t="s">
        <v>70</v>
      </c>
      <c r="B141" s="7" t="s">
        <v>327</v>
      </c>
      <c r="C141" s="24" t="s">
        <v>311</v>
      </c>
      <c r="D141" s="24" t="s">
        <v>312</v>
      </c>
      <c r="E141" s="24" t="s">
        <v>313</v>
      </c>
      <c r="F141" s="24" t="s">
        <v>314</v>
      </c>
      <c r="G141" s="24" t="s">
        <v>315</v>
      </c>
      <c r="H141" s="8"/>
      <c r="I141" s="7" t="s">
        <v>328</v>
      </c>
      <c r="J141" s="7" t="s">
        <v>319</v>
      </c>
      <c r="K141" s="7" t="s">
        <v>320</v>
      </c>
      <c r="L141" s="7" t="s">
        <v>321</v>
      </c>
      <c r="M141" s="7" t="s">
        <v>316</v>
      </c>
      <c r="N141" s="7" t="s">
        <v>317</v>
      </c>
      <c r="O141" s="16"/>
      <c r="P141" s="7" t="s">
        <v>69</v>
      </c>
      <c r="Q141" s="7" t="s">
        <v>319</v>
      </c>
      <c r="R141" s="7" t="s">
        <v>320</v>
      </c>
      <c r="S141" s="7" t="s">
        <v>321</v>
      </c>
      <c r="T141" s="7" t="s">
        <v>316</v>
      </c>
      <c r="U141" s="7" t="s">
        <v>317</v>
      </c>
      <c r="V141" s="22"/>
      <c r="W141" s="7" t="s">
        <v>318</v>
      </c>
      <c r="X141" s="7" t="s">
        <v>322</v>
      </c>
      <c r="Y141" s="7" t="s">
        <v>323</v>
      </c>
      <c r="Z141" s="7" t="s">
        <v>324</v>
      </c>
      <c r="AA141" s="7" t="s">
        <v>325</v>
      </c>
      <c r="AB141" s="7" t="s">
        <v>326</v>
      </c>
    </row>
    <row r="142" spans="1:28" x14ac:dyDescent="0.25">
      <c r="A142" s="21" t="s">
        <v>329</v>
      </c>
      <c r="B142" s="21" t="s">
        <v>5</v>
      </c>
      <c r="C142" s="25">
        <f>[1]NZDUSD!$B15</f>
        <v>8.929999999999999E-2</v>
      </c>
      <c r="D142" s="25">
        <f>[1]NZDUSD!$F15</f>
        <v>-3.4999999999999996E-3</v>
      </c>
      <c r="E142" s="25">
        <f>[1]NZDUSD!$E15</f>
        <v>-6.8000000000000005E-3</v>
      </c>
      <c r="F142" s="25">
        <f>[1]NZDUSD!$D15</f>
        <v>1.2999999999999999E-3</v>
      </c>
      <c r="G142" s="25">
        <f>[1]NZDUSD!$C15</f>
        <v>4.7999999999999996E-3</v>
      </c>
      <c r="H142" s="8"/>
      <c r="I142" s="21" t="s">
        <v>5</v>
      </c>
      <c r="J142" s="28">
        <f>[2]G7!$C62</f>
        <v>1.69</v>
      </c>
      <c r="K142" s="28">
        <v>2.4</v>
      </c>
      <c r="L142" s="28">
        <v>4.8</v>
      </c>
      <c r="M142" s="28">
        <v>1.6</v>
      </c>
      <c r="N142" s="28">
        <v>3.2</v>
      </c>
      <c r="O142" s="16"/>
      <c r="P142" s="21" t="s">
        <v>5</v>
      </c>
      <c r="Q142" s="20">
        <f>(C142-J142/200)-0.002</f>
        <v>7.884999999999999E-2</v>
      </c>
      <c r="R142" s="20">
        <f t="shared" ref="R142:R151" si="140">D142-K142/200</f>
        <v>-1.55E-2</v>
      </c>
      <c r="S142" s="20">
        <f t="shared" ref="S142:S151" si="141">E142-L142/200</f>
        <v>-3.0800000000000001E-2</v>
      </c>
      <c r="T142" s="20">
        <f t="shared" ref="T142:T151" si="142">F142-M142/200</f>
        <v>-6.7000000000000002E-3</v>
      </c>
      <c r="U142" s="20">
        <f t="shared" ref="U142:U151" si="143">G142-N142/200</f>
        <v>-1.1200000000000002E-2</v>
      </c>
      <c r="V142" s="22"/>
      <c r="W142" s="21" t="s">
        <v>5</v>
      </c>
      <c r="X142" s="20">
        <f>(C142+J142/200)-0.002</f>
        <v>9.5749999999999988E-2</v>
      </c>
      <c r="Y142" s="20">
        <f t="shared" ref="Y142:Y151" si="144">D142+K142/200</f>
        <v>8.5000000000000006E-3</v>
      </c>
      <c r="Z142" s="20">
        <f t="shared" ref="Z142:Z151" si="145">E142+L142/200</f>
        <v>1.72E-2</v>
      </c>
      <c r="AA142" s="20">
        <f t="shared" ref="AA142:AA151" si="146">F142+M142/200</f>
        <v>9.2999999999999992E-3</v>
      </c>
      <c r="AB142" s="20">
        <f t="shared" ref="AB142:AB151" si="147">G142+N142/200</f>
        <v>2.0799999999999999E-2</v>
      </c>
    </row>
    <row r="143" spans="1:28" x14ac:dyDescent="0.25">
      <c r="A143" s="21" t="s">
        <v>329</v>
      </c>
      <c r="B143" s="21" t="s">
        <v>6</v>
      </c>
      <c r="C143" s="25">
        <f>[1]NZDUSD!$B16</f>
        <v>7.8100000000000003E-2</v>
      </c>
      <c r="D143" s="25">
        <f>[1]NZDUSD!$F16</f>
        <v>-3.9000000000000003E-3</v>
      </c>
      <c r="E143" s="25">
        <f>[1]NZDUSD!$E16</f>
        <v>-8.6999999999999994E-3</v>
      </c>
      <c r="F143" s="25">
        <f>[1]NZDUSD!$D16</f>
        <v>1.5E-3</v>
      </c>
      <c r="G143" s="25">
        <f>[1]NZDUSD!$C16</f>
        <v>5.3E-3</v>
      </c>
      <c r="H143" s="8"/>
      <c r="I143" s="21" t="s">
        <v>6</v>
      </c>
      <c r="J143" s="28">
        <f>[2]G7!$C63</f>
        <v>1.1499999999999999</v>
      </c>
      <c r="K143" s="28">
        <v>0.8</v>
      </c>
      <c r="L143" s="28">
        <v>1.6</v>
      </c>
      <c r="M143" s="28">
        <v>0.6</v>
      </c>
      <c r="N143" s="28">
        <v>1.2</v>
      </c>
      <c r="O143" s="16"/>
      <c r="P143" s="21" t="s">
        <v>6</v>
      </c>
      <c r="Q143" s="20">
        <f t="shared" ref="Q143:Q152" si="148">(C143-J143/200)-0.002</f>
        <v>7.0349999999999996E-2</v>
      </c>
      <c r="R143" s="20">
        <f t="shared" si="140"/>
        <v>-7.9000000000000008E-3</v>
      </c>
      <c r="S143" s="20">
        <f t="shared" si="141"/>
        <v>-1.67E-2</v>
      </c>
      <c r="T143" s="20">
        <f t="shared" si="142"/>
        <v>-1.5E-3</v>
      </c>
      <c r="U143" s="20">
        <f t="shared" si="143"/>
        <v>-7.000000000000001E-4</v>
      </c>
      <c r="V143" s="22"/>
      <c r="W143" s="21" t="s">
        <v>6</v>
      </c>
      <c r="X143" s="20">
        <f t="shared" ref="X143:X152" si="149">(C143+J143/200)-0.002</f>
        <v>8.1850000000000006E-2</v>
      </c>
      <c r="Y143" s="20">
        <f t="shared" si="144"/>
        <v>9.9999999999999829E-5</v>
      </c>
      <c r="Z143" s="20">
        <f t="shared" si="145"/>
        <v>-6.9999999999999923E-4</v>
      </c>
      <c r="AA143" s="20">
        <f t="shared" si="146"/>
        <v>4.5000000000000005E-3</v>
      </c>
      <c r="AB143" s="20">
        <f t="shared" si="147"/>
        <v>1.1300000000000001E-2</v>
      </c>
    </row>
    <row r="144" spans="1:28" x14ac:dyDescent="0.25">
      <c r="A144" s="21" t="s">
        <v>329</v>
      </c>
      <c r="B144" s="21" t="s">
        <v>7</v>
      </c>
      <c r="C144" s="25">
        <f>[1]NZDUSD!$B17</f>
        <v>7.9000000000000001E-2</v>
      </c>
      <c r="D144" s="25">
        <f>[1]NZDUSD!$F17</f>
        <v>-4.0000000000000001E-3</v>
      </c>
      <c r="E144" s="25">
        <f>[1]NZDUSD!$E17</f>
        <v>-8.6999999999999994E-3</v>
      </c>
      <c r="F144" s="25">
        <f>[1]NZDUSD!$D17</f>
        <v>1.5E-3</v>
      </c>
      <c r="G144" s="25">
        <f>[1]NZDUSD!$C17</f>
        <v>5.4000000000000003E-3</v>
      </c>
      <c r="H144" s="8"/>
      <c r="I144" s="21" t="s">
        <v>7</v>
      </c>
      <c r="J144" s="28">
        <f>[2]G7!$C64</f>
        <v>0.79</v>
      </c>
      <c r="K144" s="28">
        <v>0.6</v>
      </c>
      <c r="L144" s="28">
        <v>1.2</v>
      </c>
      <c r="M144" s="28">
        <v>0.4</v>
      </c>
      <c r="N144" s="28">
        <v>0.8</v>
      </c>
      <c r="O144" s="16"/>
      <c r="P144" s="21" t="s">
        <v>7</v>
      </c>
      <c r="Q144" s="20">
        <f t="shared" si="148"/>
        <v>7.3050000000000004E-2</v>
      </c>
      <c r="R144" s="20">
        <f t="shared" si="140"/>
        <v>-7.0000000000000001E-3</v>
      </c>
      <c r="S144" s="20">
        <f t="shared" si="141"/>
        <v>-1.47E-2</v>
      </c>
      <c r="T144" s="20">
        <f t="shared" si="142"/>
        <v>-5.0000000000000001E-4</v>
      </c>
      <c r="U144" s="20">
        <f t="shared" si="143"/>
        <v>1.4000000000000002E-3</v>
      </c>
      <c r="V144" s="22"/>
      <c r="W144" s="21" t="s">
        <v>7</v>
      </c>
      <c r="X144" s="20">
        <f t="shared" si="149"/>
        <v>8.0949999999999994E-2</v>
      </c>
      <c r="Y144" s="20">
        <f t="shared" si="144"/>
        <v>-1E-3</v>
      </c>
      <c r="Z144" s="20">
        <f t="shared" si="145"/>
        <v>-2.6999999999999993E-3</v>
      </c>
      <c r="AA144" s="20">
        <f t="shared" si="146"/>
        <v>3.5000000000000001E-3</v>
      </c>
      <c r="AB144" s="20">
        <f t="shared" si="147"/>
        <v>9.4000000000000004E-3</v>
      </c>
    </row>
    <row r="145" spans="1:32" x14ac:dyDescent="0.25">
      <c r="A145" s="21" t="s">
        <v>329</v>
      </c>
      <c r="B145" s="21" t="s">
        <v>8</v>
      </c>
      <c r="C145" s="25">
        <f>[1]NZDUSD!$B18</f>
        <v>7.7800000000000008E-2</v>
      </c>
      <c r="D145" s="25">
        <f>[1]NZDUSD!$F18</f>
        <v>-4.0000000000000001E-3</v>
      </c>
      <c r="E145" s="25">
        <f>[1]NZDUSD!$E18</f>
        <v>-8.1000000000000013E-3</v>
      </c>
      <c r="F145" s="25">
        <f>[1]NZDUSD!$D18</f>
        <v>1.5E-3</v>
      </c>
      <c r="G145" s="25">
        <f>[1]NZDUSD!$C18</f>
        <v>5.3E-3</v>
      </c>
      <c r="H145" s="8"/>
      <c r="I145" s="21" t="s">
        <v>8</v>
      </c>
      <c r="J145" s="28">
        <f>[2]G7!$C65</f>
        <v>0.49</v>
      </c>
      <c r="K145" s="28">
        <v>0.3</v>
      </c>
      <c r="L145" s="28">
        <v>0.6</v>
      </c>
      <c r="M145" s="28">
        <v>0.2</v>
      </c>
      <c r="N145" s="28">
        <v>0.4</v>
      </c>
      <c r="O145" s="16"/>
      <c r="P145" s="21" t="s">
        <v>8</v>
      </c>
      <c r="Q145" s="20">
        <f t="shared" si="148"/>
        <v>7.3350000000000012E-2</v>
      </c>
      <c r="R145" s="20">
        <f t="shared" si="140"/>
        <v>-5.4999999999999997E-3</v>
      </c>
      <c r="S145" s="20">
        <f t="shared" si="141"/>
        <v>-1.1100000000000002E-2</v>
      </c>
      <c r="T145" s="20">
        <f t="shared" si="142"/>
        <v>5.0000000000000001E-4</v>
      </c>
      <c r="U145" s="20">
        <f t="shared" si="143"/>
        <v>3.3E-3</v>
      </c>
      <c r="V145" s="22"/>
      <c r="W145" s="21" t="s">
        <v>8</v>
      </c>
      <c r="X145" s="20">
        <f t="shared" si="149"/>
        <v>7.825E-2</v>
      </c>
      <c r="Y145" s="20">
        <f t="shared" si="144"/>
        <v>-2.5000000000000001E-3</v>
      </c>
      <c r="Z145" s="20">
        <f t="shared" si="145"/>
        <v>-5.1000000000000012E-3</v>
      </c>
      <c r="AA145" s="20">
        <f t="shared" si="146"/>
        <v>2.5000000000000001E-3</v>
      </c>
      <c r="AB145" s="20">
        <f t="shared" si="147"/>
        <v>7.3000000000000001E-3</v>
      </c>
    </row>
    <row r="146" spans="1:32" x14ac:dyDescent="0.25">
      <c r="A146" s="21" t="s">
        <v>329</v>
      </c>
      <c r="B146" s="21" t="s">
        <v>9</v>
      </c>
      <c r="C146" s="25">
        <f>[1]NZDUSD!$B19</f>
        <v>8.09E-2</v>
      </c>
      <c r="D146" s="25">
        <f>[1]NZDUSD!$F19</f>
        <v>-4.8999999999999998E-3</v>
      </c>
      <c r="E146" s="25">
        <f>[1]NZDUSD!$E19</f>
        <v>-1.01E-2</v>
      </c>
      <c r="F146" s="25">
        <f>[1]NZDUSD!$D19</f>
        <v>1.8E-3</v>
      </c>
      <c r="G146" s="25">
        <f>[1]NZDUSD!$C19</f>
        <v>6.3E-3</v>
      </c>
      <c r="H146" s="8"/>
      <c r="I146" s="21" t="s">
        <v>9</v>
      </c>
      <c r="J146" s="28">
        <f>[2]G7!$C66</f>
        <v>0.46</v>
      </c>
      <c r="K146" s="28">
        <v>0.3</v>
      </c>
      <c r="L146" s="28">
        <v>0.6</v>
      </c>
      <c r="M146" s="28">
        <v>0.2</v>
      </c>
      <c r="N146" s="28">
        <v>0.4</v>
      </c>
      <c r="O146" s="16"/>
      <c r="P146" s="21" t="s">
        <v>9</v>
      </c>
      <c r="Q146" s="20">
        <f t="shared" si="148"/>
        <v>7.6600000000000001E-2</v>
      </c>
      <c r="R146" s="20">
        <f t="shared" si="140"/>
        <v>-6.3999999999999994E-3</v>
      </c>
      <c r="S146" s="20">
        <f t="shared" si="141"/>
        <v>-1.3100000000000001E-2</v>
      </c>
      <c r="T146" s="20">
        <f t="shared" si="142"/>
        <v>7.9999999999999993E-4</v>
      </c>
      <c r="U146" s="20">
        <f t="shared" si="143"/>
        <v>4.3E-3</v>
      </c>
      <c r="V146" s="22"/>
      <c r="W146" s="21" t="s">
        <v>9</v>
      </c>
      <c r="X146" s="20">
        <f t="shared" si="149"/>
        <v>8.1199999999999994E-2</v>
      </c>
      <c r="Y146" s="20">
        <f t="shared" si="144"/>
        <v>-3.3999999999999998E-3</v>
      </c>
      <c r="Z146" s="20">
        <f t="shared" si="145"/>
        <v>-7.0999999999999995E-3</v>
      </c>
      <c r="AA146" s="20">
        <f t="shared" si="146"/>
        <v>2.8E-3</v>
      </c>
      <c r="AB146" s="20">
        <f t="shared" si="147"/>
        <v>8.3000000000000001E-3</v>
      </c>
      <c r="AF146" s="27"/>
    </row>
    <row r="147" spans="1:32" x14ac:dyDescent="0.25">
      <c r="A147" s="21" t="s">
        <v>329</v>
      </c>
      <c r="B147" s="21" t="s">
        <v>10</v>
      </c>
      <c r="C147" s="25">
        <f>[1]NZDUSD!$B20</f>
        <v>8.1199999999999994E-2</v>
      </c>
      <c r="D147" s="25">
        <f>[1]NZDUSD!$F20</f>
        <v>-5.6000000000000008E-3</v>
      </c>
      <c r="E147" s="25">
        <f>[1]NZDUSD!$E20</f>
        <v>-1.18E-2</v>
      </c>
      <c r="F147" s="25">
        <f>[1]NZDUSD!$D20</f>
        <v>2.0999999999999999E-3</v>
      </c>
      <c r="G147" s="25">
        <f>[1]NZDUSD!$C20</f>
        <v>6.8999999999999999E-3</v>
      </c>
      <c r="H147" s="8"/>
      <c r="I147" s="21" t="s">
        <v>10</v>
      </c>
      <c r="J147" s="28">
        <f>[2]G7!$C67</f>
        <v>0.46</v>
      </c>
      <c r="K147" s="28">
        <v>0.3</v>
      </c>
      <c r="L147" s="28">
        <v>0.6</v>
      </c>
      <c r="M147" s="28">
        <v>0.2</v>
      </c>
      <c r="N147" s="28">
        <v>0.4</v>
      </c>
      <c r="O147" s="16"/>
      <c r="P147" s="21" t="s">
        <v>10</v>
      </c>
      <c r="Q147" s="20">
        <f t="shared" si="148"/>
        <v>7.6899999999999996E-2</v>
      </c>
      <c r="R147" s="20">
        <f t="shared" si="140"/>
        <v>-7.1000000000000004E-3</v>
      </c>
      <c r="S147" s="20">
        <f t="shared" si="141"/>
        <v>-1.4800000000000001E-2</v>
      </c>
      <c r="T147" s="20">
        <f t="shared" si="142"/>
        <v>1.0999999999999998E-3</v>
      </c>
      <c r="U147" s="20">
        <f t="shared" si="143"/>
        <v>4.8999999999999998E-3</v>
      </c>
      <c r="V147" s="22"/>
      <c r="W147" s="21" t="s">
        <v>10</v>
      </c>
      <c r="X147" s="20">
        <f t="shared" si="149"/>
        <v>8.1499999999999989E-2</v>
      </c>
      <c r="Y147" s="20">
        <f t="shared" si="144"/>
        <v>-4.1000000000000012E-3</v>
      </c>
      <c r="Z147" s="20">
        <f t="shared" si="145"/>
        <v>-8.7999999999999988E-3</v>
      </c>
      <c r="AA147" s="20">
        <f t="shared" si="146"/>
        <v>3.0999999999999999E-3</v>
      </c>
      <c r="AB147" s="20">
        <f t="shared" si="147"/>
        <v>8.8999999999999999E-3</v>
      </c>
    </row>
    <row r="148" spans="1:32" x14ac:dyDescent="0.25">
      <c r="A148" s="21" t="s">
        <v>329</v>
      </c>
      <c r="B148" s="21" t="s">
        <v>11</v>
      </c>
      <c r="C148" s="25">
        <f>[1]NZDUSD!$B21</f>
        <v>8.2500000000000004E-2</v>
      </c>
      <c r="D148" s="25">
        <f>[1]NZDUSD!$F21</f>
        <v>-6.7000000000000002E-3</v>
      </c>
      <c r="E148" s="25">
        <f>[1]NZDUSD!$E21</f>
        <v>-1.3999999999999999E-2</v>
      </c>
      <c r="F148" s="25">
        <f>[1]NZDUSD!$D21</f>
        <v>2.2000000000000001E-3</v>
      </c>
      <c r="G148" s="25">
        <f>[1]NZDUSD!$C21</f>
        <v>7.4000000000000003E-3</v>
      </c>
      <c r="H148" s="8"/>
      <c r="I148" s="21" t="s">
        <v>11</v>
      </c>
      <c r="J148" s="28">
        <f>[2]G7!$C68</f>
        <v>0.44</v>
      </c>
      <c r="K148" s="28">
        <v>0.3</v>
      </c>
      <c r="L148" s="28">
        <v>0.6</v>
      </c>
      <c r="M148" s="28">
        <v>0.2</v>
      </c>
      <c r="N148" s="28">
        <v>0.4</v>
      </c>
      <c r="O148" s="16"/>
      <c r="P148" s="21" t="s">
        <v>11</v>
      </c>
      <c r="Q148" s="20">
        <f t="shared" si="148"/>
        <v>7.8300000000000008E-2</v>
      </c>
      <c r="R148" s="20">
        <f t="shared" si="140"/>
        <v>-8.2000000000000007E-3</v>
      </c>
      <c r="S148" s="20">
        <f t="shared" si="141"/>
        <v>-1.6999999999999998E-2</v>
      </c>
      <c r="T148" s="20">
        <f t="shared" si="142"/>
        <v>1.2000000000000001E-3</v>
      </c>
      <c r="U148" s="20">
        <f t="shared" si="143"/>
        <v>5.4000000000000003E-3</v>
      </c>
      <c r="V148" s="22"/>
      <c r="W148" s="21" t="s">
        <v>11</v>
      </c>
      <c r="X148" s="20">
        <f t="shared" si="149"/>
        <v>8.2699999999999996E-2</v>
      </c>
      <c r="Y148" s="20">
        <f t="shared" si="144"/>
        <v>-5.1999999999999998E-3</v>
      </c>
      <c r="Z148" s="20">
        <f t="shared" si="145"/>
        <v>-1.0999999999999999E-2</v>
      </c>
      <c r="AA148" s="20">
        <f t="shared" si="146"/>
        <v>3.2000000000000002E-3</v>
      </c>
      <c r="AB148" s="20">
        <f t="shared" si="147"/>
        <v>9.4000000000000004E-3</v>
      </c>
    </row>
    <row r="149" spans="1:32" x14ac:dyDescent="0.25">
      <c r="A149" s="21" t="s">
        <v>329</v>
      </c>
      <c r="B149" s="21" t="s">
        <v>12</v>
      </c>
      <c r="C149" s="25">
        <f>[1]NZDUSD!$B22</f>
        <v>8.5299999999999987E-2</v>
      </c>
      <c r="D149" s="25">
        <f>[1]NZDUSD!$F22</f>
        <v>-7.4000000000000003E-3</v>
      </c>
      <c r="E149" s="25">
        <f>[1]NZDUSD!$E22</f>
        <v>-1.55E-2</v>
      </c>
      <c r="F149" s="25">
        <f>[1]NZDUSD!$D22</f>
        <v>2.3999999999999998E-3</v>
      </c>
      <c r="G149" s="25">
        <f>[1]NZDUSD!$C22</f>
        <v>8.3000000000000001E-3</v>
      </c>
      <c r="H149" s="8"/>
      <c r="I149" s="21" t="s">
        <v>12</v>
      </c>
      <c r="J149" s="28">
        <f>[2]G7!$C69</f>
        <v>0.44</v>
      </c>
      <c r="K149" s="28">
        <v>0.3</v>
      </c>
      <c r="L149" s="28">
        <v>0.6</v>
      </c>
      <c r="M149" s="28">
        <v>0.2</v>
      </c>
      <c r="N149" s="28">
        <v>0.4</v>
      </c>
      <c r="O149" s="16"/>
      <c r="P149" s="21" t="s">
        <v>12</v>
      </c>
      <c r="Q149" s="20">
        <f t="shared" si="148"/>
        <v>8.1099999999999992E-2</v>
      </c>
      <c r="R149" s="20">
        <f t="shared" si="140"/>
        <v>-8.8999999999999999E-3</v>
      </c>
      <c r="S149" s="20">
        <f t="shared" si="141"/>
        <v>-1.8499999999999999E-2</v>
      </c>
      <c r="T149" s="20">
        <f t="shared" si="142"/>
        <v>1.3999999999999998E-3</v>
      </c>
      <c r="U149" s="20">
        <f t="shared" si="143"/>
        <v>6.3E-3</v>
      </c>
      <c r="V149" s="22"/>
      <c r="W149" s="21" t="s">
        <v>12</v>
      </c>
      <c r="X149" s="20">
        <f t="shared" si="149"/>
        <v>8.5499999999999979E-2</v>
      </c>
      <c r="Y149" s="20">
        <f t="shared" si="144"/>
        <v>-5.9000000000000007E-3</v>
      </c>
      <c r="Z149" s="20">
        <f t="shared" si="145"/>
        <v>-1.2500000000000001E-2</v>
      </c>
      <c r="AA149" s="20">
        <f t="shared" si="146"/>
        <v>3.3999999999999998E-3</v>
      </c>
      <c r="AB149" s="20">
        <f t="shared" si="147"/>
        <v>1.03E-2</v>
      </c>
    </row>
    <row r="150" spans="1:32" x14ac:dyDescent="0.25">
      <c r="A150" s="21" t="s">
        <v>329</v>
      </c>
      <c r="B150" s="21" t="s">
        <v>13</v>
      </c>
      <c r="C150" s="25">
        <f>[1]NZDUSD!$B23</f>
        <v>8.7799999999999989E-2</v>
      </c>
      <c r="D150" s="25">
        <f>[1]NZDUSD!$F23</f>
        <v>-8.1000000000000013E-3</v>
      </c>
      <c r="E150" s="25">
        <f>[1]NZDUSD!$E23</f>
        <v>-1.7100000000000001E-2</v>
      </c>
      <c r="F150" s="25">
        <f>[1]NZDUSD!$D23</f>
        <v>2.8000000000000004E-3</v>
      </c>
      <c r="G150" s="25">
        <f>[1]NZDUSD!$C23</f>
        <v>9.4999999999999998E-3</v>
      </c>
      <c r="H150" s="8"/>
      <c r="I150" s="21" t="s">
        <v>13</v>
      </c>
      <c r="J150" s="28">
        <f>[2]G7!$C70</f>
        <v>0.46</v>
      </c>
      <c r="K150" s="28">
        <v>0.3</v>
      </c>
      <c r="L150" s="28">
        <v>0.6</v>
      </c>
      <c r="M150" s="28">
        <v>0.2</v>
      </c>
      <c r="N150" s="28">
        <v>0.4</v>
      </c>
      <c r="O150" s="16"/>
      <c r="P150" s="21" t="s">
        <v>13</v>
      </c>
      <c r="Q150" s="20">
        <f t="shared" si="148"/>
        <v>8.3499999999999991E-2</v>
      </c>
      <c r="R150" s="20">
        <f t="shared" si="140"/>
        <v>-9.6000000000000009E-3</v>
      </c>
      <c r="S150" s="20">
        <f t="shared" si="141"/>
        <v>-2.01E-2</v>
      </c>
      <c r="T150" s="20">
        <f t="shared" si="142"/>
        <v>1.8000000000000004E-3</v>
      </c>
      <c r="U150" s="20">
        <f t="shared" si="143"/>
        <v>7.4999999999999997E-3</v>
      </c>
      <c r="V150" s="22"/>
      <c r="W150" s="21" t="s">
        <v>13</v>
      </c>
      <c r="X150" s="20">
        <f t="shared" si="149"/>
        <v>8.8099999999999984E-2</v>
      </c>
      <c r="Y150" s="20">
        <f t="shared" si="144"/>
        <v>-6.6000000000000017E-3</v>
      </c>
      <c r="Z150" s="20">
        <f t="shared" si="145"/>
        <v>-1.4100000000000001E-2</v>
      </c>
      <c r="AA150" s="20">
        <f t="shared" si="146"/>
        <v>3.8000000000000004E-3</v>
      </c>
      <c r="AB150" s="20">
        <f t="shared" si="147"/>
        <v>1.15E-2</v>
      </c>
    </row>
    <row r="151" spans="1:32" x14ac:dyDescent="0.25">
      <c r="A151" s="21" t="s">
        <v>329</v>
      </c>
      <c r="B151" s="21" t="s">
        <v>14</v>
      </c>
      <c r="C151" s="25">
        <f>[1]NZDUSD!$B24</f>
        <v>9.0200000000000002E-2</v>
      </c>
      <c r="D151" s="25">
        <f>[1]NZDUSD!$F24</f>
        <v>-9.3999999999999986E-3</v>
      </c>
      <c r="E151" s="25">
        <f>[1]NZDUSD!$E24</f>
        <v>-1.9400000000000001E-2</v>
      </c>
      <c r="F151" s="25">
        <f>[1]NZDUSD!$D24</f>
        <v>3.4999999999999996E-3</v>
      </c>
      <c r="G151" s="25">
        <f>[1]NZDUSD!$C24</f>
        <v>1.1699999999999999E-2</v>
      </c>
      <c r="H151" s="16"/>
      <c r="I151" s="21" t="s">
        <v>14</v>
      </c>
      <c r="J151" s="28">
        <f>[2]G7!$C71</f>
        <v>0.47000000000000003</v>
      </c>
      <c r="K151" s="28">
        <v>0.3</v>
      </c>
      <c r="L151" s="28">
        <v>0.6</v>
      </c>
      <c r="M151" s="28">
        <v>0.2</v>
      </c>
      <c r="N151" s="28">
        <v>0.4</v>
      </c>
      <c r="O151" s="16"/>
      <c r="P151" s="21" t="s">
        <v>14</v>
      </c>
      <c r="Q151" s="20">
        <f t="shared" si="148"/>
        <v>8.5849999999999996E-2</v>
      </c>
      <c r="R151" s="20">
        <f t="shared" si="140"/>
        <v>-1.0899999999999998E-2</v>
      </c>
      <c r="S151" s="20">
        <f t="shared" si="141"/>
        <v>-2.24E-2</v>
      </c>
      <c r="T151" s="20">
        <f t="shared" si="142"/>
        <v>2.4999999999999996E-3</v>
      </c>
      <c r="U151" s="20">
        <f t="shared" si="143"/>
        <v>9.6999999999999986E-3</v>
      </c>
      <c r="V151" s="22"/>
      <c r="W151" s="21" t="s">
        <v>14</v>
      </c>
      <c r="X151" s="20">
        <f t="shared" si="149"/>
        <v>9.0550000000000005E-2</v>
      </c>
      <c r="Y151" s="20">
        <f t="shared" si="144"/>
        <v>-7.899999999999999E-3</v>
      </c>
      <c r="Z151" s="20">
        <f t="shared" si="145"/>
        <v>-1.6400000000000001E-2</v>
      </c>
      <c r="AA151" s="20">
        <f t="shared" si="146"/>
        <v>4.4999999999999997E-3</v>
      </c>
      <c r="AB151" s="20">
        <f t="shared" si="147"/>
        <v>1.3699999999999999E-2</v>
      </c>
    </row>
    <row r="152" spans="1:32" x14ac:dyDescent="0.25">
      <c r="A152" s="21" t="s">
        <v>329</v>
      </c>
      <c r="B152" s="21" t="s">
        <v>876</v>
      </c>
      <c r="C152" s="25">
        <f>[1]NZDUSD!$B25</f>
        <v>9.1600000000000001E-2</v>
      </c>
      <c r="D152" s="25">
        <f>[1]NZDUSD!$F25</f>
        <v>-9.5999999999999992E-3</v>
      </c>
      <c r="E152" s="25">
        <f>[1]NZDUSD!$E25</f>
        <v>-1.9699999999999999E-2</v>
      </c>
      <c r="F152" s="25">
        <f>[1]NZDUSD!$D25</f>
        <v>3.4999999999999996E-3</v>
      </c>
      <c r="G152" s="25">
        <f>[1]NZDUSD!$C25</f>
        <v>1.18E-2</v>
      </c>
      <c r="H152" s="16"/>
      <c r="I152" s="21" t="s">
        <v>876</v>
      </c>
      <c r="J152" s="28">
        <f>[2]G7!$C72</f>
        <v>0.75</v>
      </c>
      <c r="K152" s="28">
        <v>0.3</v>
      </c>
      <c r="L152" s="28">
        <v>0.6</v>
      </c>
      <c r="M152" s="28">
        <v>0.2</v>
      </c>
      <c r="N152" s="28">
        <v>0.4</v>
      </c>
      <c r="O152" s="16"/>
      <c r="P152" s="21" t="s">
        <v>876</v>
      </c>
      <c r="Q152" s="20">
        <f t="shared" si="148"/>
        <v>8.5849999999999996E-2</v>
      </c>
      <c r="R152" s="20">
        <f t="shared" ref="R152" si="150">D152-K152/200</f>
        <v>-1.1099999999999999E-2</v>
      </c>
      <c r="S152" s="20">
        <f t="shared" ref="S152" si="151">E152-L152/200</f>
        <v>-2.2699999999999998E-2</v>
      </c>
      <c r="T152" s="20">
        <f t="shared" ref="T152" si="152">F152-M152/200</f>
        <v>2.4999999999999996E-3</v>
      </c>
      <c r="U152" s="20">
        <f t="shared" ref="U152" si="153">G152-N152/200</f>
        <v>9.7999999999999997E-3</v>
      </c>
      <c r="V152" s="22"/>
      <c r="W152" s="21" t="s">
        <v>876</v>
      </c>
      <c r="X152" s="20">
        <f t="shared" si="149"/>
        <v>9.3350000000000002E-2</v>
      </c>
      <c r="Y152" s="20">
        <f t="shared" ref="Y152" si="154">D152+K152/200</f>
        <v>-8.0999999999999996E-3</v>
      </c>
      <c r="Z152" s="20">
        <f t="shared" ref="Z152" si="155">E152+L152/200</f>
        <v>-1.67E-2</v>
      </c>
      <c r="AA152" s="20">
        <f t="shared" ref="AA152" si="156">F152+M152/200</f>
        <v>4.4999999999999997E-3</v>
      </c>
      <c r="AB152" s="20">
        <f t="shared" ref="AB152" si="157">G152+N152/200</f>
        <v>1.38E-2</v>
      </c>
    </row>
    <row r="153" spans="1:32" x14ac:dyDescent="0.25">
      <c r="A153" s="29"/>
      <c r="B153" s="16"/>
      <c r="C153" s="26"/>
      <c r="D153" s="26"/>
      <c r="E153" s="26"/>
      <c r="F153" s="26"/>
      <c r="G153" s="26"/>
      <c r="H153" s="16"/>
      <c r="I153" s="16"/>
      <c r="J153" s="16"/>
      <c r="K153" s="16"/>
      <c r="L153" s="16"/>
      <c r="M153" s="16"/>
      <c r="N153" s="16"/>
      <c r="O153" s="16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5" spans="1:32" x14ac:dyDescent="0.25">
      <c r="A155" s="7" t="s">
        <v>70</v>
      </c>
      <c r="B155" s="7" t="s">
        <v>351</v>
      </c>
      <c r="C155" s="24" t="s">
        <v>347</v>
      </c>
      <c r="D155" s="24" t="s">
        <v>348</v>
      </c>
      <c r="E155" s="24" t="s">
        <v>343</v>
      </c>
      <c r="F155" s="24" t="s">
        <v>344</v>
      </c>
      <c r="G155" s="24" t="s">
        <v>345</v>
      </c>
      <c r="H155" s="8"/>
      <c r="I155" s="7" t="s">
        <v>346</v>
      </c>
      <c r="J155" s="7" t="s">
        <v>347</v>
      </c>
      <c r="K155" s="7" t="s">
        <v>348</v>
      </c>
      <c r="L155" s="7" t="s">
        <v>343</v>
      </c>
      <c r="M155" s="7" t="s">
        <v>344</v>
      </c>
      <c r="N155" s="7" t="s">
        <v>345</v>
      </c>
      <c r="O155" s="16"/>
      <c r="P155" s="7" t="s">
        <v>349</v>
      </c>
      <c r="Q155" s="7" t="s">
        <v>347</v>
      </c>
      <c r="R155" s="7" t="s">
        <v>348</v>
      </c>
      <c r="S155" s="7" t="s">
        <v>343</v>
      </c>
      <c r="T155" s="7" t="s">
        <v>344</v>
      </c>
      <c r="U155" s="7" t="s">
        <v>345</v>
      </c>
      <c r="V155" s="22"/>
      <c r="W155" s="7" t="s">
        <v>350</v>
      </c>
      <c r="X155" s="7" t="s">
        <v>347</v>
      </c>
      <c r="Y155" s="7" t="s">
        <v>348</v>
      </c>
      <c r="Z155" s="7" t="s">
        <v>343</v>
      </c>
      <c r="AA155" s="7" t="s">
        <v>344</v>
      </c>
      <c r="AB155" s="7" t="s">
        <v>345</v>
      </c>
    </row>
    <row r="156" spans="1:32" x14ac:dyDescent="0.25">
      <c r="A156" s="21" t="s">
        <v>352</v>
      </c>
      <c r="B156" s="21" t="s">
        <v>5</v>
      </c>
      <c r="C156" s="25">
        <f>[1]NZDHKD!$B15</f>
        <v>8.3900000000000002E-2</v>
      </c>
      <c r="D156" s="25">
        <f>[1]NZDHKD!$F15</f>
        <v>-4.3E-3</v>
      </c>
      <c r="E156" s="25">
        <f>[1]NZDHKD!$E15</f>
        <v>-8.3000000000000001E-3</v>
      </c>
      <c r="F156" s="25">
        <f>[1]NZDHKD!$D15</f>
        <v>1.5E-3</v>
      </c>
      <c r="G156" s="25">
        <f>[1]NZDHKD!$C15</f>
        <v>5.6000000000000008E-3</v>
      </c>
      <c r="H156" s="8"/>
      <c r="I156" s="21" t="s">
        <v>5</v>
      </c>
      <c r="J156" s="28">
        <f>[2]G7!$D62</f>
        <v>6.97</v>
      </c>
      <c r="K156" s="28">
        <v>2.4</v>
      </c>
      <c r="L156" s="28">
        <v>4.8</v>
      </c>
      <c r="M156" s="28">
        <v>1.6</v>
      </c>
      <c r="N156" s="28">
        <v>3.2</v>
      </c>
      <c r="O156" s="16"/>
      <c r="P156" s="21" t="s">
        <v>5</v>
      </c>
      <c r="Q156" s="20">
        <f>(C156-J156/200)-0.002</f>
        <v>4.7050000000000002E-2</v>
      </c>
      <c r="R156" s="20">
        <f t="shared" ref="R156:R166" si="158">D156-K156/200</f>
        <v>-1.6300000000000002E-2</v>
      </c>
      <c r="S156" s="20">
        <f t="shared" ref="S156:S166" si="159">E156-L156/200</f>
        <v>-3.2300000000000002E-2</v>
      </c>
      <c r="T156" s="20">
        <f t="shared" ref="T156:T166" si="160">F156-M156/200</f>
        <v>-6.5000000000000006E-3</v>
      </c>
      <c r="U156" s="20">
        <f t="shared" ref="U156:U166" si="161">G156-N156/200</f>
        <v>-1.04E-2</v>
      </c>
      <c r="V156" s="22"/>
      <c r="W156" s="21" t="s">
        <v>5</v>
      </c>
      <c r="X156" s="20">
        <f>(C156+J156/200)-0.002</f>
        <v>0.11674999999999999</v>
      </c>
      <c r="Y156" s="20">
        <f t="shared" ref="Y156:Y166" si="162">D156+K156/200</f>
        <v>7.7000000000000002E-3</v>
      </c>
      <c r="Z156" s="20">
        <f t="shared" ref="Z156:Z166" si="163">E156+L156/200</f>
        <v>1.5699999999999999E-2</v>
      </c>
      <c r="AA156" s="20">
        <f t="shared" ref="AA156:AA166" si="164">F156+M156/200</f>
        <v>9.4999999999999998E-3</v>
      </c>
      <c r="AB156" s="20">
        <f t="shared" ref="AB156:AB166" si="165">G156+N156/200</f>
        <v>2.1600000000000001E-2</v>
      </c>
    </row>
    <row r="157" spans="1:32" x14ac:dyDescent="0.25">
      <c r="A157" s="21" t="s">
        <v>352</v>
      </c>
      <c r="B157" s="21" t="s">
        <v>6</v>
      </c>
      <c r="C157" s="25">
        <f>[1]NZDHKD!$B16</f>
        <v>7.6700000000000004E-2</v>
      </c>
      <c r="D157" s="25">
        <f>[1]NZDHKD!$F16</f>
        <v>-3.9000000000000003E-3</v>
      </c>
      <c r="E157" s="25">
        <f>[1]NZDHKD!$E16</f>
        <v>-7.6E-3</v>
      </c>
      <c r="F157" s="25">
        <f>[1]NZDHKD!$D16</f>
        <v>1.4000000000000002E-3</v>
      </c>
      <c r="G157" s="25">
        <f>[1]NZDHKD!$C16</f>
        <v>5.1000000000000004E-3</v>
      </c>
      <c r="H157" s="8"/>
      <c r="I157" s="21" t="s">
        <v>6</v>
      </c>
      <c r="J157" s="28">
        <f>[2]G7!$D63</f>
        <v>3.98</v>
      </c>
      <c r="K157" s="28">
        <v>0.8</v>
      </c>
      <c r="L157" s="28">
        <v>1.6</v>
      </c>
      <c r="M157" s="28">
        <v>0.6</v>
      </c>
      <c r="N157" s="28">
        <v>1.2</v>
      </c>
      <c r="O157" s="16"/>
      <c r="P157" s="21" t="s">
        <v>6</v>
      </c>
      <c r="Q157" s="20">
        <f t="shared" ref="Q157:Q166" si="166">(C157-J157/200)-0.002</f>
        <v>5.4800000000000001E-2</v>
      </c>
      <c r="R157" s="20">
        <f t="shared" si="158"/>
        <v>-7.9000000000000008E-3</v>
      </c>
      <c r="S157" s="20">
        <f t="shared" si="159"/>
        <v>-1.5599999999999999E-2</v>
      </c>
      <c r="T157" s="20">
        <f t="shared" si="160"/>
        <v>-1.5999999999999999E-3</v>
      </c>
      <c r="U157" s="20">
        <f t="shared" si="161"/>
        <v>-8.9999999999999976E-4</v>
      </c>
      <c r="V157" s="22"/>
      <c r="W157" s="21" t="s">
        <v>6</v>
      </c>
      <c r="X157" s="20">
        <f t="shared" ref="X157:X165" si="167">(C157+J157/200)-0.002</f>
        <v>9.4600000000000004E-2</v>
      </c>
      <c r="Y157" s="20">
        <f t="shared" si="162"/>
        <v>9.9999999999999829E-5</v>
      </c>
      <c r="Z157" s="20">
        <f t="shared" si="163"/>
        <v>4.0000000000000018E-4</v>
      </c>
      <c r="AA157" s="20">
        <f t="shared" si="164"/>
        <v>4.4000000000000003E-3</v>
      </c>
      <c r="AB157" s="20">
        <f t="shared" si="165"/>
        <v>1.11E-2</v>
      </c>
    </row>
    <row r="158" spans="1:32" x14ac:dyDescent="0.25">
      <c r="A158" s="21" t="s">
        <v>352</v>
      </c>
      <c r="B158" s="21" t="s">
        <v>7</v>
      </c>
      <c r="C158" s="25">
        <f>[1]NZDHKD!$B17</f>
        <v>7.8399999999999997E-2</v>
      </c>
      <c r="D158" s="25">
        <f>[1]NZDHKD!$F17</f>
        <v>-4.0999999999999995E-3</v>
      </c>
      <c r="E158" s="25">
        <f>[1]NZDHKD!$E17</f>
        <v>-7.9000000000000008E-3</v>
      </c>
      <c r="F158" s="25">
        <f>[1]NZDHKD!$D17</f>
        <v>1.4000000000000002E-3</v>
      </c>
      <c r="G158" s="25">
        <f>[1]NZDHKD!$C17</f>
        <v>5.3E-3</v>
      </c>
      <c r="H158" s="8"/>
      <c r="I158" s="21" t="s">
        <v>7</v>
      </c>
      <c r="J158" s="28">
        <f>[2]G7!$D64</f>
        <v>2.54</v>
      </c>
      <c r="K158" s="28">
        <v>0.6</v>
      </c>
      <c r="L158" s="28">
        <v>1.2</v>
      </c>
      <c r="M158" s="28">
        <v>0.4</v>
      </c>
      <c r="N158" s="28">
        <v>0.8</v>
      </c>
      <c r="O158" s="16"/>
      <c r="P158" s="21" t="s">
        <v>7</v>
      </c>
      <c r="Q158" s="20">
        <f t="shared" si="166"/>
        <v>6.3699999999999993E-2</v>
      </c>
      <c r="R158" s="20">
        <f t="shared" si="158"/>
        <v>-7.0999999999999995E-3</v>
      </c>
      <c r="S158" s="20">
        <f t="shared" si="159"/>
        <v>-1.3900000000000001E-2</v>
      </c>
      <c r="T158" s="20">
        <f t="shared" si="160"/>
        <v>-5.9999999999999984E-4</v>
      </c>
      <c r="U158" s="20">
        <f t="shared" si="161"/>
        <v>1.2999999999999999E-3</v>
      </c>
      <c r="V158" s="22"/>
      <c r="W158" s="21" t="s">
        <v>7</v>
      </c>
      <c r="X158" s="20">
        <f t="shared" si="167"/>
        <v>8.9099999999999999E-2</v>
      </c>
      <c r="Y158" s="20">
        <f t="shared" si="162"/>
        <v>-1.0999999999999994E-3</v>
      </c>
      <c r="Z158" s="20">
        <f t="shared" si="163"/>
        <v>-1.9000000000000006E-3</v>
      </c>
      <c r="AA158" s="20">
        <f t="shared" si="164"/>
        <v>3.4000000000000002E-3</v>
      </c>
      <c r="AB158" s="20">
        <f t="shared" si="165"/>
        <v>9.2999999999999992E-3</v>
      </c>
    </row>
    <row r="159" spans="1:32" x14ac:dyDescent="0.25">
      <c r="A159" s="21" t="s">
        <v>352</v>
      </c>
      <c r="B159" s="21" t="s">
        <v>8</v>
      </c>
      <c r="C159" s="25">
        <f>[1]NZDHKD!$B18</f>
        <v>7.6999999999999999E-2</v>
      </c>
      <c r="D159" s="25">
        <f>[1]NZDHKD!$F18</f>
        <v>-4.0999999999999995E-3</v>
      </c>
      <c r="E159" s="25">
        <f>[1]NZDHKD!$E18</f>
        <v>-7.8000000000000005E-3</v>
      </c>
      <c r="F159" s="25">
        <f>[1]NZDHKD!$D18</f>
        <v>1.4000000000000002E-3</v>
      </c>
      <c r="G159" s="25">
        <f>[1]NZDHKD!$C18</f>
        <v>5.1999999999999998E-3</v>
      </c>
      <c r="H159" s="8"/>
      <c r="I159" s="21" t="s">
        <v>8</v>
      </c>
      <c r="J159" s="28">
        <f>[2]G7!$D65</f>
        <v>1.3499999999999999</v>
      </c>
      <c r="K159" s="28">
        <v>0.3</v>
      </c>
      <c r="L159" s="28">
        <v>0.6</v>
      </c>
      <c r="M159" s="28">
        <v>0.2</v>
      </c>
      <c r="N159" s="28">
        <v>0.4</v>
      </c>
      <c r="O159" s="16"/>
      <c r="P159" s="21" t="s">
        <v>8</v>
      </c>
      <c r="Q159" s="20">
        <f t="shared" si="166"/>
        <v>6.8250000000000005E-2</v>
      </c>
      <c r="R159" s="20">
        <f t="shared" si="158"/>
        <v>-5.5999999999999991E-3</v>
      </c>
      <c r="S159" s="20">
        <f t="shared" si="159"/>
        <v>-1.0800000000000001E-2</v>
      </c>
      <c r="T159" s="20">
        <f t="shared" si="160"/>
        <v>4.0000000000000018E-4</v>
      </c>
      <c r="U159" s="20">
        <f t="shared" si="161"/>
        <v>3.1999999999999997E-3</v>
      </c>
      <c r="V159" s="22"/>
      <c r="W159" s="21" t="s">
        <v>8</v>
      </c>
      <c r="X159" s="20">
        <f t="shared" si="167"/>
        <v>8.1749999999999989E-2</v>
      </c>
      <c r="Y159" s="20">
        <f t="shared" si="162"/>
        <v>-2.5999999999999994E-3</v>
      </c>
      <c r="Z159" s="20">
        <f t="shared" si="163"/>
        <v>-4.8000000000000004E-3</v>
      </c>
      <c r="AA159" s="20">
        <f t="shared" si="164"/>
        <v>2.4000000000000002E-3</v>
      </c>
      <c r="AB159" s="20">
        <f t="shared" si="165"/>
        <v>7.1999999999999998E-3</v>
      </c>
    </row>
    <row r="160" spans="1:32" x14ac:dyDescent="0.25">
      <c r="A160" s="21" t="s">
        <v>352</v>
      </c>
      <c r="B160" s="21" t="s">
        <v>9</v>
      </c>
      <c r="C160" s="25">
        <f>[1]NZDHKD!$B19</f>
        <v>8.0600000000000005E-2</v>
      </c>
      <c r="D160" s="25">
        <f>[1]NZDHKD!$F19</f>
        <v>-5.1999999999999998E-3</v>
      </c>
      <c r="E160" s="25">
        <f>[1]NZDHKD!$E19</f>
        <v>-1.01E-2</v>
      </c>
      <c r="F160" s="25">
        <f>[1]NZDHKD!$D19</f>
        <v>1.7000000000000001E-3</v>
      </c>
      <c r="G160" s="25">
        <f>[1]NZDHKD!$C19</f>
        <v>6.3E-3</v>
      </c>
      <c r="H160" s="8"/>
      <c r="I160" s="21" t="s">
        <v>9</v>
      </c>
      <c r="J160" s="28">
        <f>[2]G7!$D66</f>
        <v>1.24</v>
      </c>
      <c r="K160" s="28">
        <v>0.3</v>
      </c>
      <c r="L160" s="28">
        <v>0.6</v>
      </c>
      <c r="M160" s="28">
        <v>0.2</v>
      </c>
      <c r="N160" s="28">
        <v>0.4</v>
      </c>
      <c r="O160" s="16"/>
      <c r="P160" s="21" t="s">
        <v>9</v>
      </c>
      <c r="Q160" s="20">
        <f t="shared" si="166"/>
        <v>7.2400000000000006E-2</v>
      </c>
      <c r="R160" s="20">
        <f t="shared" si="158"/>
        <v>-6.6999999999999994E-3</v>
      </c>
      <c r="S160" s="20">
        <f t="shared" si="159"/>
        <v>-1.3100000000000001E-2</v>
      </c>
      <c r="T160" s="20">
        <f t="shared" si="160"/>
        <v>7.000000000000001E-4</v>
      </c>
      <c r="U160" s="20">
        <f t="shared" si="161"/>
        <v>4.3E-3</v>
      </c>
      <c r="V160" s="22"/>
      <c r="W160" s="21" t="s">
        <v>9</v>
      </c>
      <c r="X160" s="20">
        <f t="shared" si="167"/>
        <v>8.48E-2</v>
      </c>
      <c r="Y160" s="20">
        <f t="shared" si="162"/>
        <v>-3.6999999999999997E-3</v>
      </c>
      <c r="Z160" s="20">
        <f t="shared" si="163"/>
        <v>-7.0999999999999995E-3</v>
      </c>
      <c r="AA160" s="20">
        <f t="shared" si="164"/>
        <v>2.7000000000000001E-3</v>
      </c>
      <c r="AB160" s="20">
        <f t="shared" si="165"/>
        <v>8.3000000000000001E-3</v>
      </c>
    </row>
    <row r="161" spans="1:32" x14ac:dyDescent="0.25">
      <c r="A161" s="21" t="s">
        <v>352</v>
      </c>
      <c r="B161" s="21" t="s">
        <v>10</v>
      </c>
      <c r="C161" s="25">
        <f>[1]NZDHKD!$B20</f>
        <v>8.1000000000000003E-2</v>
      </c>
      <c r="D161" s="25">
        <f>[1]NZDHKD!$F20</f>
        <v>-6.0000000000000001E-3</v>
      </c>
      <c r="E161" s="25">
        <f>[1]NZDHKD!$E20</f>
        <v>-1.15E-2</v>
      </c>
      <c r="F161" s="25">
        <f>[1]NZDHKD!$D20</f>
        <v>1.8E-3</v>
      </c>
      <c r="G161" s="25">
        <f>[1]NZDHKD!$C20</f>
        <v>6.8000000000000005E-3</v>
      </c>
      <c r="H161" s="8"/>
      <c r="I161" s="21" t="s">
        <v>10</v>
      </c>
      <c r="J161" s="28">
        <f>[2]G7!$D67</f>
        <v>1.23</v>
      </c>
      <c r="K161" s="28">
        <v>0.3</v>
      </c>
      <c r="L161" s="28">
        <v>0.6</v>
      </c>
      <c r="M161" s="28">
        <v>0.2</v>
      </c>
      <c r="N161" s="28">
        <v>0.4</v>
      </c>
      <c r="O161" s="16"/>
      <c r="P161" s="21" t="s">
        <v>10</v>
      </c>
      <c r="Q161" s="20">
        <f t="shared" si="166"/>
        <v>7.2849999999999998E-2</v>
      </c>
      <c r="R161" s="20">
        <f t="shared" si="158"/>
        <v>-7.4999999999999997E-3</v>
      </c>
      <c r="S161" s="20">
        <f t="shared" si="159"/>
        <v>-1.4499999999999999E-2</v>
      </c>
      <c r="T161" s="20">
        <f t="shared" si="160"/>
        <v>7.9999999999999993E-4</v>
      </c>
      <c r="U161" s="20">
        <f t="shared" si="161"/>
        <v>4.8000000000000004E-3</v>
      </c>
      <c r="V161" s="22"/>
      <c r="W161" s="21" t="s">
        <v>10</v>
      </c>
      <c r="X161" s="20">
        <f t="shared" si="167"/>
        <v>8.5150000000000003E-2</v>
      </c>
      <c r="Y161" s="20">
        <f t="shared" si="162"/>
        <v>-4.5000000000000005E-3</v>
      </c>
      <c r="Z161" s="20">
        <f t="shared" si="163"/>
        <v>-8.5000000000000006E-3</v>
      </c>
      <c r="AA161" s="20">
        <f t="shared" si="164"/>
        <v>2.8E-3</v>
      </c>
      <c r="AB161" s="20">
        <f t="shared" si="165"/>
        <v>8.8000000000000005E-3</v>
      </c>
    </row>
    <row r="162" spans="1:32" x14ac:dyDescent="0.25">
      <c r="A162" s="21" t="s">
        <v>352</v>
      </c>
      <c r="B162" s="21" t="s">
        <v>11</v>
      </c>
      <c r="C162" s="25">
        <f>[1]NZDHKD!$B21</f>
        <v>8.2400000000000001E-2</v>
      </c>
      <c r="D162" s="25">
        <f>[1]NZDHKD!$F21</f>
        <v>-7.1999999999999998E-3</v>
      </c>
      <c r="E162" s="25">
        <f>[1]NZDHKD!$E21</f>
        <v>-1.37E-2</v>
      </c>
      <c r="F162" s="25">
        <f>[1]NZDHKD!$D21</f>
        <v>1.9E-3</v>
      </c>
      <c r="G162" s="25">
        <f>[1]NZDHKD!$C21</f>
        <v>7.1999999999999998E-3</v>
      </c>
      <c r="H162" s="8"/>
      <c r="I162" s="21" t="s">
        <v>11</v>
      </c>
      <c r="J162" s="28">
        <f>[2]G7!$D68</f>
        <v>1.1599999999999999</v>
      </c>
      <c r="K162" s="28">
        <v>0.3</v>
      </c>
      <c r="L162" s="28">
        <v>0.6</v>
      </c>
      <c r="M162" s="28">
        <v>0.2</v>
      </c>
      <c r="N162" s="28">
        <v>0.4</v>
      </c>
      <c r="O162" s="16"/>
      <c r="P162" s="21" t="s">
        <v>11</v>
      </c>
      <c r="Q162" s="20">
        <f t="shared" si="166"/>
        <v>7.46E-2</v>
      </c>
      <c r="R162" s="20">
        <f t="shared" si="158"/>
        <v>-8.6999999999999994E-3</v>
      </c>
      <c r="S162" s="20">
        <f t="shared" si="159"/>
        <v>-1.67E-2</v>
      </c>
      <c r="T162" s="20">
        <f t="shared" si="160"/>
        <v>8.9999999999999998E-4</v>
      </c>
      <c r="U162" s="20">
        <f t="shared" si="161"/>
        <v>5.1999999999999998E-3</v>
      </c>
      <c r="V162" s="22"/>
      <c r="W162" s="21" t="s">
        <v>11</v>
      </c>
      <c r="X162" s="20">
        <f t="shared" si="167"/>
        <v>8.6199999999999999E-2</v>
      </c>
      <c r="Y162" s="20">
        <f t="shared" si="162"/>
        <v>-5.7000000000000002E-3</v>
      </c>
      <c r="Z162" s="20">
        <f t="shared" si="163"/>
        <v>-1.0700000000000001E-2</v>
      </c>
      <c r="AA162" s="20">
        <f t="shared" si="164"/>
        <v>2.8999999999999998E-3</v>
      </c>
      <c r="AB162" s="20">
        <f t="shared" si="165"/>
        <v>9.1999999999999998E-3</v>
      </c>
    </row>
    <row r="163" spans="1:32" x14ac:dyDescent="0.25">
      <c r="A163" s="21" t="s">
        <v>352</v>
      </c>
      <c r="B163" s="21" t="s">
        <v>12</v>
      </c>
      <c r="C163" s="25">
        <f>[1]NZDHKD!$B22</f>
        <v>8.5900000000000004E-2</v>
      </c>
      <c r="D163" s="25">
        <f>[1]NZDHKD!$F22</f>
        <v>-8.3999999999999995E-3</v>
      </c>
      <c r="E163" s="25">
        <f>[1]NZDHKD!$E22</f>
        <v>-1.61E-2</v>
      </c>
      <c r="F163" s="25">
        <f>[1]NZDHKD!$D22</f>
        <v>2.2000000000000001E-3</v>
      </c>
      <c r="G163" s="25">
        <f>[1]NZDHKD!$C22</f>
        <v>8.6E-3</v>
      </c>
      <c r="H163" s="8"/>
      <c r="I163" s="21" t="s">
        <v>12</v>
      </c>
      <c r="J163" s="28">
        <f>[2]G7!$D69</f>
        <v>1.1300000000000001</v>
      </c>
      <c r="K163" s="28">
        <v>0.3</v>
      </c>
      <c r="L163" s="28">
        <v>0.6</v>
      </c>
      <c r="M163" s="28">
        <v>0.2</v>
      </c>
      <c r="N163" s="28">
        <v>0.4</v>
      </c>
      <c r="O163" s="16"/>
      <c r="P163" s="21" t="s">
        <v>12</v>
      </c>
      <c r="Q163" s="20">
        <f t="shared" si="166"/>
        <v>7.825E-2</v>
      </c>
      <c r="R163" s="20">
        <f t="shared" si="158"/>
        <v>-9.8999999999999991E-3</v>
      </c>
      <c r="S163" s="20">
        <f t="shared" si="159"/>
        <v>-1.9099999999999999E-2</v>
      </c>
      <c r="T163" s="20">
        <f t="shared" si="160"/>
        <v>1.2000000000000001E-3</v>
      </c>
      <c r="U163" s="20">
        <f t="shared" si="161"/>
        <v>6.6E-3</v>
      </c>
      <c r="V163" s="22"/>
      <c r="W163" s="21" t="s">
        <v>12</v>
      </c>
      <c r="X163" s="20">
        <f t="shared" si="167"/>
        <v>8.9550000000000005E-2</v>
      </c>
      <c r="Y163" s="20">
        <f t="shared" si="162"/>
        <v>-6.8999999999999999E-3</v>
      </c>
      <c r="Z163" s="20">
        <f t="shared" si="163"/>
        <v>-1.3100000000000001E-2</v>
      </c>
      <c r="AA163" s="20">
        <f t="shared" si="164"/>
        <v>3.2000000000000002E-3</v>
      </c>
      <c r="AB163" s="20">
        <f t="shared" si="165"/>
        <v>1.06E-2</v>
      </c>
    </row>
    <row r="164" spans="1:32" x14ac:dyDescent="0.25">
      <c r="A164" s="21" t="s">
        <v>352</v>
      </c>
      <c r="B164" s="21" t="s">
        <v>13</v>
      </c>
      <c r="C164" s="25">
        <f>[1]NZDHKD!$B23</f>
        <v>8.7899999999999992E-2</v>
      </c>
      <c r="D164" s="25">
        <f>[1]NZDHKD!$F23</f>
        <v>-9.1000000000000004E-3</v>
      </c>
      <c r="E164" s="25">
        <f>[1]NZDHKD!$E23</f>
        <v>-1.7299999999999999E-2</v>
      </c>
      <c r="F164" s="25">
        <f>[1]NZDHKD!$D23</f>
        <v>2.3E-3</v>
      </c>
      <c r="G164" s="25">
        <f>[1]NZDHKD!$C23</f>
        <v>9.3999999999999986E-3</v>
      </c>
      <c r="H164" s="8"/>
      <c r="I164" s="21" t="s">
        <v>13</v>
      </c>
      <c r="J164" s="28">
        <f>[2]G7!$D70</f>
        <v>1.1399999999999999</v>
      </c>
      <c r="K164" s="28">
        <v>0.3</v>
      </c>
      <c r="L164" s="28">
        <v>0.6</v>
      </c>
      <c r="M164" s="28">
        <v>0.2</v>
      </c>
      <c r="N164" s="28">
        <v>0.4</v>
      </c>
      <c r="O164" s="16"/>
      <c r="P164" s="21" t="s">
        <v>13</v>
      </c>
      <c r="Q164" s="20">
        <f t="shared" si="166"/>
        <v>8.0199999999999994E-2</v>
      </c>
      <c r="R164" s="20">
        <f t="shared" si="158"/>
        <v>-1.06E-2</v>
      </c>
      <c r="S164" s="20">
        <f t="shared" si="159"/>
        <v>-2.0299999999999999E-2</v>
      </c>
      <c r="T164" s="20">
        <f t="shared" si="160"/>
        <v>1.2999999999999999E-3</v>
      </c>
      <c r="U164" s="20">
        <f t="shared" si="161"/>
        <v>7.3999999999999986E-3</v>
      </c>
      <c r="V164" s="22"/>
      <c r="W164" s="21" t="s">
        <v>13</v>
      </c>
      <c r="X164" s="20">
        <f t="shared" si="167"/>
        <v>9.1599999999999987E-2</v>
      </c>
      <c r="Y164" s="20">
        <f t="shared" si="162"/>
        <v>-7.6000000000000009E-3</v>
      </c>
      <c r="Z164" s="20">
        <f t="shared" si="163"/>
        <v>-1.43E-2</v>
      </c>
      <c r="AA164" s="20">
        <f t="shared" si="164"/>
        <v>3.3E-3</v>
      </c>
      <c r="AB164" s="20">
        <f t="shared" si="165"/>
        <v>1.1399999999999999E-2</v>
      </c>
    </row>
    <row r="165" spans="1:32" x14ac:dyDescent="0.25">
      <c r="A165" s="21" t="s">
        <v>352</v>
      </c>
      <c r="B165" s="21" t="s">
        <v>14</v>
      </c>
      <c r="C165" s="25">
        <f>[1]NZDHKD!$B24</f>
        <v>9.0999999999999998E-2</v>
      </c>
      <c r="D165" s="25">
        <f>[1]NZDHKD!$F24</f>
        <v>-1.06E-2</v>
      </c>
      <c r="E165" s="25">
        <f>[1]NZDHKD!$E24</f>
        <v>-0.02</v>
      </c>
      <c r="F165" s="25">
        <f>[1]NZDHKD!$D24</f>
        <v>2.5999999999999999E-3</v>
      </c>
      <c r="G165" s="25">
        <f>[1]NZDHKD!$C24</f>
        <v>1.1000000000000001E-2</v>
      </c>
      <c r="H165" s="16"/>
      <c r="I165" s="21" t="s">
        <v>14</v>
      </c>
      <c r="J165" s="28">
        <f>[2]G7!$D71</f>
        <v>1.32</v>
      </c>
      <c r="K165" s="28">
        <v>0.3</v>
      </c>
      <c r="L165" s="28">
        <v>0.6</v>
      </c>
      <c r="M165" s="28">
        <v>0.2</v>
      </c>
      <c r="N165" s="28">
        <v>0.4</v>
      </c>
      <c r="O165" s="16"/>
      <c r="P165" s="21" t="s">
        <v>14</v>
      </c>
      <c r="Q165" s="20">
        <f t="shared" si="166"/>
        <v>8.2400000000000001E-2</v>
      </c>
      <c r="R165" s="20">
        <f t="shared" si="158"/>
        <v>-1.21E-2</v>
      </c>
      <c r="S165" s="20">
        <f t="shared" si="159"/>
        <v>-2.3E-2</v>
      </c>
      <c r="T165" s="20">
        <f t="shared" si="160"/>
        <v>1.5999999999999999E-3</v>
      </c>
      <c r="U165" s="20">
        <f t="shared" si="161"/>
        <v>9.0000000000000011E-3</v>
      </c>
      <c r="V165" s="22"/>
      <c r="W165" s="21" t="s">
        <v>14</v>
      </c>
      <c r="X165" s="20">
        <f t="shared" si="167"/>
        <v>9.5599999999999991E-2</v>
      </c>
      <c r="Y165" s="20">
        <f t="shared" si="162"/>
        <v>-9.1000000000000004E-3</v>
      </c>
      <c r="Z165" s="20">
        <f t="shared" si="163"/>
        <v>-1.7000000000000001E-2</v>
      </c>
      <c r="AA165" s="20">
        <f t="shared" si="164"/>
        <v>3.5999999999999999E-3</v>
      </c>
      <c r="AB165" s="20">
        <f t="shared" si="165"/>
        <v>1.3000000000000001E-2</v>
      </c>
    </row>
    <row r="166" spans="1:32" x14ac:dyDescent="0.25">
      <c r="A166" s="21" t="s">
        <v>352</v>
      </c>
      <c r="B166" s="21" t="s">
        <v>876</v>
      </c>
      <c r="C166" s="25">
        <f>[1]NZDHKD!$B25</f>
        <v>9.2799999999999994E-2</v>
      </c>
      <c r="D166" s="25">
        <f>[1]NZDHKD!$F25</f>
        <v>-1.11E-2</v>
      </c>
      <c r="E166" s="25">
        <f>[1]NZDHKD!$E25</f>
        <v>-2.07E-2</v>
      </c>
      <c r="F166" s="25">
        <f>[1]NZDHKD!$D25</f>
        <v>2.5000000000000001E-3</v>
      </c>
      <c r="G166" s="25">
        <f>[1]NZDHKD!$C25</f>
        <v>1.09E-2</v>
      </c>
      <c r="H166" s="16"/>
      <c r="I166" s="21" t="s">
        <v>876</v>
      </c>
      <c r="J166" s="28">
        <f>[2]G7!$D72</f>
        <v>2.3800000000000003</v>
      </c>
      <c r="K166" s="28">
        <v>0.3</v>
      </c>
      <c r="L166" s="28">
        <v>0.6</v>
      </c>
      <c r="M166" s="28">
        <v>0.2</v>
      </c>
      <c r="N166" s="28">
        <v>0.4</v>
      </c>
      <c r="O166" s="16"/>
      <c r="P166" s="21" t="s">
        <v>876</v>
      </c>
      <c r="Q166" s="20">
        <f t="shared" si="166"/>
        <v>7.8899999999999998E-2</v>
      </c>
      <c r="R166" s="20">
        <f t="shared" si="158"/>
        <v>-1.26E-2</v>
      </c>
      <c r="S166" s="20">
        <f t="shared" si="159"/>
        <v>-2.3699999999999999E-2</v>
      </c>
      <c r="T166" s="20">
        <f t="shared" si="160"/>
        <v>1.5E-3</v>
      </c>
      <c r="U166" s="20">
        <f t="shared" si="161"/>
        <v>8.8999999999999999E-3</v>
      </c>
      <c r="V166" s="22"/>
      <c r="W166" s="21" t="s">
        <v>876</v>
      </c>
      <c r="X166" s="20">
        <f>(C166+J166/200)-0.002</f>
        <v>0.10269999999999999</v>
      </c>
      <c r="Y166" s="20">
        <f t="shared" si="162"/>
        <v>-9.6000000000000009E-3</v>
      </c>
      <c r="Z166" s="20">
        <f t="shared" si="163"/>
        <v>-1.77E-2</v>
      </c>
      <c r="AA166" s="20">
        <f t="shared" si="164"/>
        <v>3.5000000000000001E-3</v>
      </c>
      <c r="AB166" s="20">
        <f t="shared" si="165"/>
        <v>1.29E-2</v>
      </c>
    </row>
    <row r="169" spans="1:32" x14ac:dyDescent="0.25">
      <c r="A169" s="7" t="s">
        <v>70</v>
      </c>
      <c r="B169" s="7" t="s">
        <v>327</v>
      </c>
      <c r="C169" s="24" t="s">
        <v>311</v>
      </c>
      <c r="D169" s="24" t="s">
        <v>312</v>
      </c>
      <c r="E169" s="24" t="s">
        <v>313</v>
      </c>
      <c r="F169" s="24" t="s">
        <v>314</v>
      </c>
      <c r="G169" s="24" t="s">
        <v>315</v>
      </c>
      <c r="H169" s="8"/>
      <c r="I169" s="7" t="s">
        <v>328</v>
      </c>
      <c r="J169" s="7" t="s">
        <v>311</v>
      </c>
      <c r="K169" s="7" t="s">
        <v>312</v>
      </c>
      <c r="L169" s="7" t="s">
        <v>313</v>
      </c>
      <c r="M169" s="7" t="s">
        <v>314</v>
      </c>
      <c r="N169" s="7" t="s">
        <v>315</v>
      </c>
      <c r="O169" s="16"/>
      <c r="P169" s="7" t="s">
        <v>69</v>
      </c>
      <c r="Q169" s="7" t="s">
        <v>311</v>
      </c>
      <c r="R169" s="7" t="s">
        <v>312</v>
      </c>
      <c r="S169" s="7" t="s">
        <v>313</v>
      </c>
      <c r="T169" s="7" t="s">
        <v>314</v>
      </c>
      <c r="U169" s="7" t="s">
        <v>315</v>
      </c>
      <c r="V169" s="22"/>
      <c r="W169" s="7" t="s">
        <v>318</v>
      </c>
      <c r="X169" s="7" t="s">
        <v>311</v>
      </c>
      <c r="Y169" s="7" t="s">
        <v>312</v>
      </c>
      <c r="Z169" s="7" t="s">
        <v>313</v>
      </c>
      <c r="AA169" s="7" t="s">
        <v>314</v>
      </c>
      <c r="AB169" s="7" t="s">
        <v>315</v>
      </c>
    </row>
    <row r="170" spans="1:32" x14ac:dyDescent="0.25">
      <c r="A170" s="21" t="s">
        <v>1683</v>
      </c>
      <c r="B170" s="21" t="s">
        <v>5</v>
      </c>
      <c r="C170" s="25">
        <f>[1]USDCHF!$B15</f>
        <v>7.0099999999999996E-2</v>
      </c>
      <c r="D170" s="25">
        <f>[1]USDCHF!$F15</f>
        <v>-3.9000000000000003E-3</v>
      </c>
      <c r="E170" s="25">
        <f>[1]USDCHF!$E15</f>
        <v>-7.7000000000000002E-3</v>
      </c>
      <c r="F170" s="25">
        <f>[1]USDCHF!$D15</f>
        <v>1.4000000000000002E-3</v>
      </c>
      <c r="G170" s="25">
        <f>[1]USDCHF!$C15</f>
        <v>5.1000000000000004E-3</v>
      </c>
      <c r="H170" s="8"/>
      <c r="I170" s="21" t="s">
        <v>5</v>
      </c>
      <c r="J170" s="28">
        <f>[2]G7!$C74</f>
        <v>3.44</v>
      </c>
      <c r="K170" s="28">
        <v>1.5</v>
      </c>
      <c r="L170" s="28">
        <v>3</v>
      </c>
      <c r="M170" s="28">
        <v>1.2</v>
      </c>
      <c r="N170" s="28">
        <v>2.4</v>
      </c>
      <c r="O170" s="16"/>
      <c r="P170" s="21" t="s">
        <v>5</v>
      </c>
      <c r="Q170" s="20">
        <f>(C170-J170/200)-0.002</f>
        <v>5.0899999999999994E-2</v>
      </c>
      <c r="R170" s="20">
        <f t="shared" ref="R170:R180" si="168">D170-K170/200</f>
        <v>-1.14E-2</v>
      </c>
      <c r="S170" s="20">
        <f t="shared" ref="S170:S180" si="169">E170-L170/200</f>
        <v>-2.2699999999999998E-2</v>
      </c>
      <c r="T170" s="20">
        <f t="shared" ref="T170:T180" si="170">F170-M170/200</f>
        <v>-4.5999999999999999E-3</v>
      </c>
      <c r="U170" s="20">
        <f t="shared" ref="U170:U180" si="171">G170-N170/200</f>
        <v>-6.8999999999999999E-3</v>
      </c>
      <c r="V170" s="22"/>
      <c r="W170" s="21" t="s">
        <v>5</v>
      </c>
      <c r="X170" s="20">
        <f>(C170+J170/200)-0.002</f>
        <v>8.5299999999999987E-2</v>
      </c>
      <c r="Y170" s="20">
        <f t="shared" ref="Y170:Y180" si="172">D170+K170/200</f>
        <v>3.5999999999999995E-3</v>
      </c>
      <c r="Z170" s="20">
        <f t="shared" ref="Z170:Z180" si="173">E170+L170/200</f>
        <v>7.2999999999999992E-3</v>
      </c>
      <c r="AA170" s="20">
        <f t="shared" ref="AA170:AA180" si="174">F170+M170/200</f>
        <v>7.4000000000000003E-3</v>
      </c>
      <c r="AB170" s="20">
        <f t="shared" ref="AB170:AB180" si="175">G170+N170/200</f>
        <v>1.7100000000000001E-2</v>
      </c>
    </row>
    <row r="171" spans="1:32" x14ac:dyDescent="0.25">
      <c r="A171" s="21" t="s">
        <v>1683</v>
      </c>
      <c r="B171" s="21" t="s">
        <v>6</v>
      </c>
      <c r="C171" s="25">
        <f>[1]USDCHF!$B16</f>
        <v>6.6799999999999998E-2</v>
      </c>
      <c r="D171" s="25">
        <f>[1]USDCHF!$F16</f>
        <v>-3.7000000000000002E-3</v>
      </c>
      <c r="E171" s="25">
        <f>[1]USDCHF!$E16</f>
        <v>-6.9999999999999993E-3</v>
      </c>
      <c r="F171" s="25">
        <f>[1]USDCHF!$D16</f>
        <v>1.4000000000000002E-3</v>
      </c>
      <c r="G171" s="25">
        <f>[1]USDCHF!$C16</f>
        <v>4.8999999999999998E-3</v>
      </c>
      <c r="H171" s="8"/>
      <c r="I171" s="21" t="s">
        <v>6</v>
      </c>
      <c r="J171" s="28">
        <f>[2]G7!$C75</f>
        <v>1.55</v>
      </c>
      <c r="K171" s="28">
        <v>0.5</v>
      </c>
      <c r="L171" s="28">
        <v>1</v>
      </c>
      <c r="M171" s="28">
        <v>0.4</v>
      </c>
      <c r="N171" s="28">
        <v>0.8</v>
      </c>
      <c r="O171" s="16"/>
      <c r="P171" s="21" t="s">
        <v>6</v>
      </c>
      <c r="Q171" s="20">
        <f t="shared" ref="Q171:Q180" si="176">(C171-J171/200)-0.002</f>
        <v>5.7049999999999997E-2</v>
      </c>
      <c r="R171" s="20">
        <f t="shared" si="168"/>
        <v>-6.2000000000000006E-3</v>
      </c>
      <c r="S171" s="20">
        <f t="shared" si="169"/>
        <v>-1.2E-2</v>
      </c>
      <c r="T171" s="20">
        <f t="shared" si="170"/>
        <v>-5.9999999999999984E-4</v>
      </c>
      <c r="U171" s="20">
        <f t="shared" si="171"/>
        <v>8.9999999999999976E-4</v>
      </c>
      <c r="V171" s="22"/>
      <c r="W171" s="21" t="s">
        <v>6</v>
      </c>
      <c r="X171" s="20">
        <f t="shared" ref="X171:X180" si="177">(C171+J171/200)-0.002</f>
        <v>7.2550000000000003E-2</v>
      </c>
      <c r="Y171" s="20">
        <f t="shared" si="172"/>
        <v>-1.2000000000000001E-3</v>
      </c>
      <c r="Z171" s="20">
        <f t="shared" si="173"/>
        <v>-1.9999999999999992E-3</v>
      </c>
      <c r="AA171" s="20">
        <f t="shared" si="174"/>
        <v>3.4000000000000002E-3</v>
      </c>
      <c r="AB171" s="20">
        <f t="shared" si="175"/>
        <v>8.8999999999999999E-3</v>
      </c>
    </row>
    <row r="172" spans="1:32" x14ac:dyDescent="0.25">
      <c r="A172" s="21" t="s">
        <v>1683</v>
      </c>
      <c r="B172" s="21" t="s">
        <v>7</v>
      </c>
      <c r="C172" s="25">
        <f>[1]USDCHF!$B17</f>
        <v>6.9099999999999995E-2</v>
      </c>
      <c r="D172" s="25">
        <f>[1]USDCHF!$F17</f>
        <v>-3.9000000000000003E-3</v>
      </c>
      <c r="E172" s="25">
        <f>[1]USDCHF!$E17</f>
        <v>-7.1999999999999998E-3</v>
      </c>
      <c r="F172" s="25">
        <f>[1]USDCHF!$D17</f>
        <v>1.4000000000000002E-3</v>
      </c>
      <c r="G172" s="25">
        <f>[1]USDCHF!$C17</f>
        <v>5.0000000000000001E-3</v>
      </c>
      <c r="H172" s="8"/>
      <c r="I172" s="21" t="s">
        <v>7</v>
      </c>
      <c r="J172" s="28">
        <f>[2]G7!$C76</f>
        <v>0.98</v>
      </c>
      <c r="K172" s="28">
        <v>0.2</v>
      </c>
      <c r="L172" s="28">
        <v>0.4</v>
      </c>
      <c r="M172" s="28">
        <v>0.2</v>
      </c>
      <c r="N172" s="28">
        <v>0.4</v>
      </c>
      <c r="O172" s="16"/>
      <c r="P172" s="21" t="s">
        <v>7</v>
      </c>
      <c r="Q172" s="20">
        <f t="shared" si="176"/>
        <v>6.2199999999999991E-2</v>
      </c>
      <c r="R172" s="20">
        <f t="shared" si="168"/>
        <v>-4.8999999999999998E-3</v>
      </c>
      <c r="S172" s="20">
        <f t="shared" si="169"/>
        <v>-9.1999999999999998E-3</v>
      </c>
      <c r="T172" s="20">
        <f t="shared" si="170"/>
        <v>4.0000000000000018E-4</v>
      </c>
      <c r="U172" s="20">
        <f t="shared" si="171"/>
        <v>3.0000000000000001E-3</v>
      </c>
      <c r="V172" s="22"/>
      <c r="W172" s="21" t="s">
        <v>7</v>
      </c>
      <c r="X172" s="20">
        <f t="shared" si="177"/>
        <v>7.1999999999999995E-2</v>
      </c>
      <c r="Y172" s="20">
        <f t="shared" si="172"/>
        <v>-2.9000000000000002E-3</v>
      </c>
      <c r="Z172" s="20">
        <f t="shared" si="173"/>
        <v>-5.1999999999999998E-3</v>
      </c>
      <c r="AA172" s="20">
        <f t="shared" si="174"/>
        <v>2.4000000000000002E-3</v>
      </c>
      <c r="AB172" s="20">
        <f t="shared" si="175"/>
        <v>7.0000000000000001E-3</v>
      </c>
    </row>
    <row r="173" spans="1:32" x14ac:dyDescent="0.25">
      <c r="A173" s="21" t="s">
        <v>1683</v>
      </c>
      <c r="B173" s="21" t="s">
        <v>8</v>
      </c>
      <c r="C173" s="25">
        <f>[1]USDCHF!$B18</f>
        <v>6.7699999999999996E-2</v>
      </c>
      <c r="D173" s="25">
        <f>[1]USDCHF!$F18</f>
        <v>-3.8E-3</v>
      </c>
      <c r="E173" s="25">
        <f>[1]USDCHF!$E18</f>
        <v>-7.0999999999999995E-3</v>
      </c>
      <c r="F173" s="25">
        <f>[1]USDCHF!$D18</f>
        <v>1.4000000000000002E-3</v>
      </c>
      <c r="G173" s="25">
        <f>[1]USDCHF!$C18</f>
        <v>5.0000000000000001E-3</v>
      </c>
      <c r="H173" s="8"/>
      <c r="I173" s="21" t="s">
        <v>8</v>
      </c>
      <c r="J173" s="28">
        <f>[2]G7!$C77</f>
        <v>0.49</v>
      </c>
      <c r="K173" s="28">
        <v>0.2</v>
      </c>
      <c r="L173" s="28">
        <v>0.4</v>
      </c>
      <c r="M173" s="28">
        <v>0.2</v>
      </c>
      <c r="N173" s="28">
        <v>0.4</v>
      </c>
      <c r="O173" s="16"/>
      <c r="P173" s="21" t="s">
        <v>8</v>
      </c>
      <c r="Q173" s="20">
        <f t="shared" si="176"/>
        <v>6.3250000000000001E-2</v>
      </c>
      <c r="R173" s="20">
        <f t="shared" si="168"/>
        <v>-4.8000000000000004E-3</v>
      </c>
      <c r="S173" s="20">
        <f t="shared" si="169"/>
        <v>-9.1000000000000004E-3</v>
      </c>
      <c r="T173" s="20">
        <f t="shared" si="170"/>
        <v>4.0000000000000018E-4</v>
      </c>
      <c r="U173" s="20">
        <f t="shared" si="171"/>
        <v>3.0000000000000001E-3</v>
      </c>
      <c r="V173" s="22"/>
      <c r="W173" s="21" t="s">
        <v>8</v>
      </c>
      <c r="X173" s="20">
        <f t="shared" si="177"/>
        <v>6.8149999999999988E-2</v>
      </c>
      <c r="Y173" s="20">
        <f t="shared" si="172"/>
        <v>-2.8E-3</v>
      </c>
      <c r="Z173" s="20">
        <f t="shared" si="173"/>
        <v>-5.0999999999999995E-3</v>
      </c>
      <c r="AA173" s="20">
        <f t="shared" si="174"/>
        <v>2.4000000000000002E-3</v>
      </c>
      <c r="AB173" s="20">
        <f t="shared" si="175"/>
        <v>7.0000000000000001E-3</v>
      </c>
    </row>
    <row r="174" spans="1:32" x14ac:dyDescent="0.25">
      <c r="A174" s="21" t="s">
        <v>1683</v>
      </c>
      <c r="B174" s="21" t="s">
        <v>9</v>
      </c>
      <c r="C174" s="25">
        <f>[1]USDCHF!$B19</f>
        <v>6.7799999999999999E-2</v>
      </c>
      <c r="D174" s="25">
        <f>[1]USDCHF!$F19</f>
        <v>-4.0999999999999995E-3</v>
      </c>
      <c r="E174" s="25">
        <f>[1]USDCHF!$E19</f>
        <v>-7.4999999999999997E-3</v>
      </c>
      <c r="F174" s="25">
        <f>[1]USDCHF!$D19</f>
        <v>1.5E-3</v>
      </c>
      <c r="G174" s="25">
        <f>[1]USDCHF!$C19</f>
        <v>5.4000000000000003E-3</v>
      </c>
      <c r="H174" s="8"/>
      <c r="I174" s="21" t="s">
        <v>9</v>
      </c>
      <c r="J174" s="28">
        <f>[2]G7!$C78</f>
        <v>0.58000000000000007</v>
      </c>
      <c r="K174" s="28">
        <v>0.2</v>
      </c>
      <c r="L174" s="28">
        <v>0.4</v>
      </c>
      <c r="M174" s="28">
        <v>0.2</v>
      </c>
      <c r="N174" s="28">
        <v>0.4</v>
      </c>
      <c r="O174" s="16"/>
      <c r="P174" s="21" t="s">
        <v>9</v>
      </c>
      <c r="Q174" s="20">
        <f t="shared" si="176"/>
        <v>6.2899999999999998E-2</v>
      </c>
      <c r="R174" s="20">
        <f t="shared" si="168"/>
        <v>-5.0999999999999995E-3</v>
      </c>
      <c r="S174" s="20">
        <f t="shared" si="169"/>
        <v>-9.4999999999999998E-3</v>
      </c>
      <c r="T174" s="20">
        <f t="shared" si="170"/>
        <v>5.0000000000000001E-4</v>
      </c>
      <c r="U174" s="20">
        <f t="shared" si="171"/>
        <v>3.4000000000000002E-3</v>
      </c>
      <c r="V174" s="22"/>
      <c r="W174" s="21" t="s">
        <v>9</v>
      </c>
      <c r="X174" s="20">
        <f t="shared" si="177"/>
        <v>6.8699999999999997E-2</v>
      </c>
      <c r="Y174" s="20">
        <f t="shared" si="172"/>
        <v>-3.0999999999999995E-3</v>
      </c>
      <c r="Z174" s="20">
        <f t="shared" si="173"/>
        <v>-5.4999999999999997E-3</v>
      </c>
      <c r="AA174" s="20">
        <f t="shared" si="174"/>
        <v>2.5000000000000001E-3</v>
      </c>
      <c r="AB174" s="20">
        <f t="shared" si="175"/>
        <v>7.4000000000000003E-3</v>
      </c>
      <c r="AF174" s="27"/>
    </row>
    <row r="175" spans="1:32" x14ac:dyDescent="0.25">
      <c r="A175" s="21" t="s">
        <v>1683</v>
      </c>
      <c r="B175" s="21" t="s">
        <v>10</v>
      </c>
      <c r="C175" s="25">
        <f>[1]USDCHF!$B20</f>
        <v>6.7900000000000002E-2</v>
      </c>
      <c r="D175" s="25">
        <f>[1]USDCHF!$F20</f>
        <v>-4.4000000000000003E-3</v>
      </c>
      <c r="E175" s="25">
        <f>[1]USDCHF!$E20</f>
        <v>-8.1000000000000013E-3</v>
      </c>
      <c r="F175" s="25">
        <f>[1]USDCHF!$D20</f>
        <v>1.6000000000000001E-3</v>
      </c>
      <c r="G175" s="25">
        <f>[1]USDCHF!$C20</f>
        <v>5.8999999999999999E-3</v>
      </c>
      <c r="H175" s="8"/>
      <c r="I175" s="21" t="s">
        <v>10</v>
      </c>
      <c r="J175" s="28">
        <f>[2]G7!$C79</f>
        <v>0.45</v>
      </c>
      <c r="K175" s="28">
        <v>0.2</v>
      </c>
      <c r="L175" s="28">
        <v>0.4</v>
      </c>
      <c r="M175" s="28">
        <v>0.2</v>
      </c>
      <c r="N175" s="28">
        <v>0.4</v>
      </c>
      <c r="O175" s="16"/>
      <c r="P175" s="21" t="s">
        <v>10</v>
      </c>
      <c r="Q175" s="20">
        <f t="shared" si="176"/>
        <v>6.3649999999999998E-2</v>
      </c>
      <c r="R175" s="20">
        <f t="shared" si="168"/>
        <v>-5.4000000000000003E-3</v>
      </c>
      <c r="S175" s="20">
        <f t="shared" si="169"/>
        <v>-1.0100000000000001E-2</v>
      </c>
      <c r="T175" s="20">
        <f t="shared" si="170"/>
        <v>6.0000000000000006E-4</v>
      </c>
      <c r="U175" s="20">
        <f t="shared" si="171"/>
        <v>3.8999999999999998E-3</v>
      </c>
      <c r="V175" s="22"/>
      <c r="W175" s="21" t="s">
        <v>10</v>
      </c>
      <c r="X175" s="20">
        <f t="shared" si="177"/>
        <v>6.8150000000000002E-2</v>
      </c>
      <c r="Y175" s="20">
        <f t="shared" si="172"/>
        <v>-3.4000000000000002E-3</v>
      </c>
      <c r="Z175" s="20">
        <f t="shared" si="173"/>
        <v>-6.1000000000000013E-3</v>
      </c>
      <c r="AA175" s="20">
        <f t="shared" si="174"/>
        <v>2.5999999999999999E-3</v>
      </c>
      <c r="AB175" s="20">
        <f t="shared" si="175"/>
        <v>7.9000000000000008E-3</v>
      </c>
    </row>
    <row r="176" spans="1:32" x14ac:dyDescent="0.25">
      <c r="A176" s="21" t="s">
        <v>1683</v>
      </c>
      <c r="B176" s="21" t="s">
        <v>11</v>
      </c>
      <c r="C176" s="25">
        <f>[1]USDCHF!$B21</f>
        <v>6.9800000000000001E-2</v>
      </c>
      <c r="D176" s="25">
        <f>[1]USDCHF!$F21</f>
        <v>-5.6999999999999993E-3</v>
      </c>
      <c r="E176" s="25">
        <f>[1]USDCHF!$E21</f>
        <v>-1.06E-2</v>
      </c>
      <c r="F176" s="25">
        <f>[1]USDCHF!$D21</f>
        <v>2.2000000000000001E-3</v>
      </c>
      <c r="G176" s="25">
        <f>[1]USDCHF!$C21</f>
        <v>8.199999999999999E-3</v>
      </c>
      <c r="H176" s="8"/>
      <c r="I176" s="21" t="s">
        <v>11</v>
      </c>
      <c r="J176" s="28">
        <f>[2]G7!$C80</f>
        <v>0.43000000000000005</v>
      </c>
      <c r="K176" s="28">
        <v>0.2</v>
      </c>
      <c r="L176" s="28">
        <v>0.4</v>
      </c>
      <c r="M176" s="28">
        <v>0.2</v>
      </c>
      <c r="N176" s="28">
        <v>0.4</v>
      </c>
      <c r="O176" s="16"/>
      <c r="P176" s="21" t="s">
        <v>11</v>
      </c>
      <c r="Q176" s="20">
        <f t="shared" si="176"/>
        <v>6.565E-2</v>
      </c>
      <c r="R176" s="20">
        <f t="shared" si="168"/>
        <v>-6.6999999999999994E-3</v>
      </c>
      <c r="S176" s="20">
        <f t="shared" si="169"/>
        <v>-1.26E-2</v>
      </c>
      <c r="T176" s="20">
        <f t="shared" si="170"/>
        <v>1.2000000000000001E-3</v>
      </c>
      <c r="U176" s="20">
        <f t="shared" si="171"/>
        <v>6.1999999999999989E-3</v>
      </c>
      <c r="V176" s="22"/>
      <c r="W176" s="21" t="s">
        <v>11</v>
      </c>
      <c r="X176" s="20">
        <f t="shared" si="177"/>
        <v>6.9949999999999998E-2</v>
      </c>
      <c r="Y176" s="20">
        <f t="shared" si="172"/>
        <v>-4.6999999999999993E-3</v>
      </c>
      <c r="Z176" s="20">
        <f t="shared" si="173"/>
        <v>-8.6E-3</v>
      </c>
      <c r="AA176" s="20">
        <f t="shared" si="174"/>
        <v>3.2000000000000002E-3</v>
      </c>
      <c r="AB176" s="20">
        <f t="shared" si="175"/>
        <v>1.0199999999999999E-2</v>
      </c>
    </row>
    <row r="177" spans="1:28" x14ac:dyDescent="0.25">
      <c r="A177" s="21" t="s">
        <v>1683</v>
      </c>
      <c r="B177" s="21" t="s">
        <v>12</v>
      </c>
      <c r="C177" s="25">
        <f>[1]USDCHF!$B22</f>
        <v>7.2400000000000006E-2</v>
      </c>
      <c r="D177" s="25">
        <f>[1]USDCHF!$F22</f>
        <v>-6.0999999999999995E-3</v>
      </c>
      <c r="E177" s="25">
        <f>[1]USDCHF!$E22</f>
        <v>-1.15E-2</v>
      </c>
      <c r="F177" s="25">
        <f>[1]USDCHF!$D22</f>
        <v>2.3999999999999998E-3</v>
      </c>
      <c r="G177" s="25">
        <f>[1]USDCHF!$C22</f>
        <v>9.4999999999999998E-3</v>
      </c>
      <c r="H177" s="8"/>
      <c r="I177" s="21" t="s">
        <v>12</v>
      </c>
      <c r="J177" s="28">
        <f>[2]G7!$C81</f>
        <v>0.42000000000000004</v>
      </c>
      <c r="K177" s="28">
        <v>0.2</v>
      </c>
      <c r="L177" s="28">
        <v>0.4</v>
      </c>
      <c r="M177" s="28">
        <v>0.2</v>
      </c>
      <c r="N177" s="28">
        <v>0.4</v>
      </c>
      <c r="O177" s="16"/>
      <c r="P177" s="21" t="s">
        <v>12</v>
      </c>
      <c r="Q177" s="20">
        <f t="shared" si="176"/>
        <v>6.83E-2</v>
      </c>
      <c r="R177" s="20">
        <f t="shared" si="168"/>
        <v>-7.0999999999999995E-3</v>
      </c>
      <c r="S177" s="20">
        <f t="shared" si="169"/>
        <v>-1.35E-2</v>
      </c>
      <c r="T177" s="20">
        <f t="shared" si="170"/>
        <v>1.3999999999999998E-3</v>
      </c>
      <c r="U177" s="20">
        <f t="shared" si="171"/>
        <v>7.4999999999999997E-3</v>
      </c>
      <c r="V177" s="22"/>
      <c r="W177" s="21" t="s">
        <v>12</v>
      </c>
      <c r="X177" s="20">
        <f t="shared" si="177"/>
        <v>7.2500000000000009E-2</v>
      </c>
      <c r="Y177" s="20">
        <f t="shared" si="172"/>
        <v>-5.0999999999999995E-3</v>
      </c>
      <c r="Z177" s="20">
        <f t="shared" si="173"/>
        <v>-9.4999999999999998E-3</v>
      </c>
      <c r="AA177" s="20">
        <f t="shared" si="174"/>
        <v>3.3999999999999998E-3</v>
      </c>
      <c r="AB177" s="20">
        <f t="shared" si="175"/>
        <v>1.15E-2</v>
      </c>
    </row>
    <row r="178" spans="1:28" x14ac:dyDescent="0.25">
      <c r="A178" s="21" t="s">
        <v>1683</v>
      </c>
      <c r="B178" s="21" t="s">
        <v>13</v>
      </c>
      <c r="C178" s="25">
        <f>[1]USDCHF!$B23</f>
        <v>7.4800000000000005E-2</v>
      </c>
      <c r="D178" s="25">
        <f>[1]USDCHF!$F23</f>
        <v>-6.6E-3</v>
      </c>
      <c r="E178" s="25">
        <f>[1]USDCHF!$E23</f>
        <v>-1.23E-2</v>
      </c>
      <c r="F178" s="25">
        <f>[1]USDCHF!$D23</f>
        <v>2.7000000000000001E-3</v>
      </c>
      <c r="G178" s="25">
        <f>[1]USDCHF!$C23</f>
        <v>1.0700000000000001E-2</v>
      </c>
      <c r="H178" s="8"/>
      <c r="I178" s="21" t="s">
        <v>13</v>
      </c>
      <c r="J178" s="28">
        <f>[2]G7!$C82</f>
        <v>0.44</v>
      </c>
      <c r="K178" s="28">
        <v>0.2</v>
      </c>
      <c r="L178" s="28">
        <v>0.4</v>
      </c>
      <c r="M178" s="28">
        <v>0.2</v>
      </c>
      <c r="N178" s="28">
        <v>0.4</v>
      </c>
      <c r="O178" s="16"/>
      <c r="P178" s="21" t="s">
        <v>13</v>
      </c>
      <c r="Q178" s="20">
        <f t="shared" si="176"/>
        <v>7.060000000000001E-2</v>
      </c>
      <c r="R178" s="20">
        <f t="shared" si="168"/>
        <v>-7.6E-3</v>
      </c>
      <c r="S178" s="20">
        <f t="shared" si="169"/>
        <v>-1.43E-2</v>
      </c>
      <c r="T178" s="20">
        <f t="shared" si="170"/>
        <v>1.7000000000000001E-3</v>
      </c>
      <c r="U178" s="20">
        <f t="shared" si="171"/>
        <v>8.7000000000000011E-3</v>
      </c>
      <c r="V178" s="22"/>
      <c r="W178" s="21" t="s">
        <v>13</v>
      </c>
      <c r="X178" s="20">
        <f t="shared" si="177"/>
        <v>7.4999999999999997E-2</v>
      </c>
      <c r="Y178" s="20">
        <f t="shared" si="172"/>
        <v>-5.5999999999999999E-3</v>
      </c>
      <c r="Z178" s="20">
        <f t="shared" si="173"/>
        <v>-1.03E-2</v>
      </c>
      <c r="AA178" s="20">
        <f t="shared" si="174"/>
        <v>3.7000000000000002E-3</v>
      </c>
      <c r="AB178" s="20">
        <f t="shared" si="175"/>
        <v>1.2700000000000001E-2</v>
      </c>
    </row>
    <row r="179" spans="1:28" x14ac:dyDescent="0.25">
      <c r="A179" s="21" t="s">
        <v>1683</v>
      </c>
      <c r="B179" s="21" t="s">
        <v>14</v>
      </c>
      <c r="C179" s="25">
        <f>[1]USDCHF!$B24</f>
        <v>7.8799999999999995E-2</v>
      </c>
      <c r="D179" s="25">
        <f>[1]USDCHF!$F24</f>
        <v>-7.4999999999999997E-3</v>
      </c>
      <c r="E179" s="25">
        <f>[1]USDCHF!$E24</f>
        <v>-1.3300000000000001E-2</v>
      </c>
      <c r="F179" s="25">
        <f>[1]USDCHF!$D24</f>
        <v>3.0999999999999999E-3</v>
      </c>
      <c r="G179" s="25">
        <f>[1]USDCHF!$C24</f>
        <v>1.1599999999999999E-2</v>
      </c>
      <c r="H179" s="16"/>
      <c r="I179" s="21" t="s">
        <v>14</v>
      </c>
      <c r="J179" s="28">
        <f>[2]G7!$C83</f>
        <v>0.44</v>
      </c>
      <c r="K179" s="28">
        <v>0.2</v>
      </c>
      <c r="L179" s="28">
        <v>0.4</v>
      </c>
      <c r="M179" s="28">
        <v>0.2</v>
      </c>
      <c r="N179" s="28">
        <v>0.4</v>
      </c>
      <c r="O179" s="16"/>
      <c r="P179" s="21" t="s">
        <v>14</v>
      </c>
      <c r="Q179" s="20">
        <f t="shared" si="176"/>
        <v>7.46E-2</v>
      </c>
      <c r="R179" s="20">
        <f t="shared" si="168"/>
        <v>-8.5000000000000006E-3</v>
      </c>
      <c r="S179" s="20">
        <f t="shared" si="169"/>
        <v>-1.5300000000000001E-2</v>
      </c>
      <c r="T179" s="20">
        <f t="shared" si="170"/>
        <v>2.0999999999999999E-3</v>
      </c>
      <c r="U179" s="20">
        <f t="shared" si="171"/>
        <v>9.5999999999999992E-3</v>
      </c>
      <c r="V179" s="22"/>
      <c r="W179" s="21" t="s">
        <v>14</v>
      </c>
      <c r="X179" s="20">
        <f t="shared" si="177"/>
        <v>7.8999999999999987E-2</v>
      </c>
      <c r="Y179" s="20">
        <f t="shared" si="172"/>
        <v>-6.4999999999999997E-3</v>
      </c>
      <c r="Z179" s="20">
        <f t="shared" si="173"/>
        <v>-1.1300000000000001E-2</v>
      </c>
      <c r="AA179" s="20">
        <f t="shared" si="174"/>
        <v>4.0999999999999995E-3</v>
      </c>
      <c r="AB179" s="20">
        <f t="shared" si="175"/>
        <v>1.3599999999999999E-2</v>
      </c>
    </row>
    <row r="180" spans="1:28" x14ac:dyDescent="0.25">
      <c r="A180" s="21" t="s">
        <v>1683</v>
      </c>
      <c r="B180" s="21" t="s">
        <v>876</v>
      </c>
      <c r="C180" s="25">
        <f>[1]USDCHF!$B25</f>
        <v>8.1600000000000006E-2</v>
      </c>
      <c r="D180" s="25">
        <f>[1]USDCHF!$F25</f>
        <v>-8.3999999999999995E-3</v>
      </c>
      <c r="E180" s="25">
        <f>[1]USDCHF!$E25</f>
        <v>-1.47E-2</v>
      </c>
      <c r="F180" s="25">
        <f>[1]USDCHF!$D25</f>
        <v>3.0000000000000001E-3</v>
      </c>
      <c r="G180" s="25">
        <f>[1]USDCHF!$C25</f>
        <v>1.18E-2</v>
      </c>
      <c r="H180" s="16"/>
      <c r="I180" s="21" t="s">
        <v>876</v>
      </c>
      <c r="J180" s="28">
        <f>[2]G7!$C84</f>
        <v>0.55000000000000004</v>
      </c>
      <c r="K180" s="28">
        <v>0.2</v>
      </c>
      <c r="L180" s="28">
        <v>0.4</v>
      </c>
      <c r="M180" s="28">
        <v>0.2</v>
      </c>
      <c r="N180" s="28">
        <v>0.4</v>
      </c>
      <c r="O180" s="16"/>
      <c r="P180" s="21" t="s">
        <v>876</v>
      </c>
      <c r="Q180" s="20">
        <f t="shared" si="176"/>
        <v>7.6850000000000002E-2</v>
      </c>
      <c r="R180" s="20">
        <f t="shared" si="168"/>
        <v>-9.3999999999999986E-3</v>
      </c>
      <c r="S180" s="20">
        <f t="shared" si="169"/>
        <v>-1.67E-2</v>
      </c>
      <c r="T180" s="20">
        <f t="shared" si="170"/>
        <v>2E-3</v>
      </c>
      <c r="U180" s="20">
        <f t="shared" si="171"/>
        <v>9.7999999999999997E-3</v>
      </c>
      <c r="V180" s="22"/>
      <c r="W180" s="21" t="s">
        <v>876</v>
      </c>
      <c r="X180" s="20">
        <f t="shared" si="177"/>
        <v>8.2350000000000007E-2</v>
      </c>
      <c r="Y180" s="20">
        <f t="shared" si="172"/>
        <v>-7.3999999999999995E-3</v>
      </c>
      <c r="Z180" s="20">
        <f t="shared" si="173"/>
        <v>-1.2699999999999999E-2</v>
      </c>
      <c r="AA180" s="20">
        <f t="shared" si="174"/>
        <v>4.0000000000000001E-3</v>
      </c>
      <c r="AB180" s="20">
        <f t="shared" si="175"/>
        <v>1.38E-2</v>
      </c>
    </row>
    <row r="181" spans="1:28" x14ac:dyDescent="0.25">
      <c r="A181" s="29"/>
      <c r="B181" s="16"/>
      <c r="C181" s="26"/>
      <c r="D181" s="26"/>
      <c r="E181" s="26"/>
      <c r="F181" s="26"/>
      <c r="G181" s="26"/>
      <c r="H181" s="16"/>
      <c r="I181" s="16"/>
      <c r="J181" s="16"/>
      <c r="K181" s="16"/>
      <c r="L181" s="16"/>
      <c r="M181" s="16"/>
      <c r="N181" s="16"/>
      <c r="O181" s="16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3" spans="1:28" x14ac:dyDescent="0.25">
      <c r="A183" s="7" t="s">
        <v>70</v>
      </c>
      <c r="B183" s="7" t="s">
        <v>327</v>
      </c>
      <c r="C183" s="24" t="s">
        <v>311</v>
      </c>
      <c r="D183" s="24" t="s">
        <v>312</v>
      </c>
      <c r="E183" s="24" t="s">
        <v>313</v>
      </c>
      <c r="F183" s="24" t="s">
        <v>314</v>
      </c>
      <c r="G183" s="24" t="s">
        <v>315</v>
      </c>
      <c r="H183" s="8"/>
      <c r="I183" s="7" t="s">
        <v>328</v>
      </c>
      <c r="J183" s="7" t="s">
        <v>311</v>
      </c>
      <c r="K183" s="7" t="s">
        <v>312</v>
      </c>
      <c r="L183" s="7" t="s">
        <v>313</v>
      </c>
      <c r="M183" s="7" t="s">
        <v>314</v>
      </c>
      <c r="N183" s="7" t="s">
        <v>315</v>
      </c>
      <c r="O183" s="16"/>
      <c r="P183" s="7" t="s">
        <v>69</v>
      </c>
      <c r="Q183" s="7" t="s">
        <v>311</v>
      </c>
      <c r="R183" s="7" t="s">
        <v>312</v>
      </c>
      <c r="S183" s="7" t="s">
        <v>313</v>
      </c>
      <c r="T183" s="7" t="s">
        <v>314</v>
      </c>
      <c r="U183" s="7" t="s">
        <v>315</v>
      </c>
      <c r="V183" s="22"/>
      <c r="W183" s="7" t="s">
        <v>318</v>
      </c>
      <c r="X183" s="7" t="s">
        <v>311</v>
      </c>
      <c r="Y183" s="7" t="s">
        <v>312</v>
      </c>
      <c r="Z183" s="7" t="s">
        <v>313</v>
      </c>
      <c r="AA183" s="7" t="s">
        <v>314</v>
      </c>
      <c r="AB183" s="7" t="s">
        <v>315</v>
      </c>
    </row>
    <row r="184" spans="1:28" x14ac:dyDescent="0.25">
      <c r="A184" s="21" t="s">
        <v>1684</v>
      </c>
      <c r="B184" s="21" t="s">
        <v>5</v>
      </c>
      <c r="C184" s="25">
        <f>[1]CHFHKD!$B15</f>
        <v>7.1099999999999997E-2</v>
      </c>
      <c r="D184" s="25">
        <f>[1]CHFHKD!$F15</f>
        <v>2.0000000000000001E-4</v>
      </c>
      <c r="E184" s="25">
        <f>[1]CHFHKD!$E15</f>
        <v>5.0000000000000001E-4</v>
      </c>
      <c r="F184" s="25">
        <f>[1]CHFHKD!$D15</f>
        <v>1.4000000000000002E-3</v>
      </c>
      <c r="G184" s="25">
        <f>[1]CHFHKD!$C15</f>
        <v>5.1999999999999998E-3</v>
      </c>
      <c r="H184" s="8"/>
      <c r="I184" s="21" t="s">
        <v>5</v>
      </c>
      <c r="J184" s="28">
        <f>[2]G7!$D74</f>
        <v>2.87</v>
      </c>
      <c r="K184" s="28">
        <v>1.5</v>
      </c>
      <c r="L184" s="28">
        <v>3</v>
      </c>
      <c r="M184" s="28">
        <v>1.2</v>
      </c>
      <c r="N184" s="28">
        <v>2.4</v>
      </c>
      <c r="O184" s="16"/>
      <c r="P184" s="21" t="s">
        <v>5</v>
      </c>
      <c r="Q184" s="20">
        <f>(C184-J184/200)-0.002</f>
        <v>5.4749999999999993E-2</v>
      </c>
      <c r="R184" s="20">
        <f t="shared" ref="R184:R194" si="178">D184-K184/200</f>
        <v>-7.3000000000000001E-3</v>
      </c>
      <c r="S184" s="20">
        <f t="shared" ref="S184:S194" si="179">E184-L184/200</f>
        <v>-1.4499999999999999E-2</v>
      </c>
      <c r="T184" s="20">
        <f t="shared" ref="T184:T194" si="180">F184-M184/200</f>
        <v>-4.5999999999999999E-3</v>
      </c>
      <c r="U184" s="20">
        <f t="shared" ref="U184:U194" si="181">G184-N184/200</f>
        <v>-6.8000000000000005E-3</v>
      </c>
      <c r="V184" s="22"/>
      <c r="W184" s="21" t="s">
        <v>5</v>
      </c>
      <c r="X184" s="20">
        <f>(C184+J184/200)-0.002</f>
        <v>8.3449999999999996E-2</v>
      </c>
      <c r="Y184" s="20">
        <f t="shared" ref="Y184:Y194" si="182">D184+K184/200</f>
        <v>7.6999999999999994E-3</v>
      </c>
      <c r="Z184" s="20">
        <f t="shared" ref="Z184:Z194" si="183">E184+L184/200</f>
        <v>1.55E-2</v>
      </c>
      <c r="AA184" s="20">
        <f t="shared" ref="AA184:AA194" si="184">F184+M184/200</f>
        <v>7.4000000000000003E-3</v>
      </c>
      <c r="AB184" s="20">
        <f t="shared" ref="AB184:AB194" si="185">G184+N184/200</f>
        <v>1.72E-2</v>
      </c>
    </row>
    <row r="185" spans="1:28" x14ac:dyDescent="0.25">
      <c r="A185" s="21" t="s">
        <v>1684</v>
      </c>
      <c r="B185" s="21" t="s">
        <v>6</v>
      </c>
      <c r="C185" s="25">
        <f>[1]CHFHKD!$B16</f>
        <v>6.6900000000000001E-2</v>
      </c>
      <c r="D185" s="25">
        <f>[1]CHFHKD!$F16</f>
        <v>2.0000000000000001E-4</v>
      </c>
      <c r="E185" s="25">
        <f>[1]CHFHKD!$E16</f>
        <v>4.0000000000000002E-4</v>
      </c>
      <c r="F185" s="25">
        <f>[1]CHFHKD!$D16</f>
        <v>1.4000000000000002E-3</v>
      </c>
      <c r="G185" s="25">
        <f>[1]CHFHKD!$C16</f>
        <v>4.8999999999999998E-3</v>
      </c>
      <c r="H185" s="8"/>
      <c r="I185" s="21" t="s">
        <v>6</v>
      </c>
      <c r="J185" s="28">
        <f>[2]G7!$D75</f>
        <v>1.19</v>
      </c>
      <c r="K185" s="28">
        <v>0.5</v>
      </c>
      <c r="L185" s="28">
        <v>1</v>
      </c>
      <c r="M185" s="28">
        <v>0.4</v>
      </c>
      <c r="N185" s="28">
        <v>0.8</v>
      </c>
      <c r="O185" s="16"/>
      <c r="P185" s="21" t="s">
        <v>6</v>
      </c>
      <c r="Q185" s="20">
        <f t="shared" ref="Q185:Q194" si="186">(C185-J185/200)-0.002</f>
        <v>5.8950000000000002E-2</v>
      </c>
      <c r="R185" s="20">
        <f t="shared" si="178"/>
        <v>-2.3E-3</v>
      </c>
      <c r="S185" s="20">
        <f t="shared" si="179"/>
        <v>-4.5999999999999999E-3</v>
      </c>
      <c r="T185" s="20">
        <f t="shared" si="180"/>
        <v>-5.9999999999999984E-4</v>
      </c>
      <c r="U185" s="20">
        <f t="shared" si="181"/>
        <v>8.9999999999999976E-4</v>
      </c>
      <c r="V185" s="22"/>
      <c r="W185" s="21" t="s">
        <v>6</v>
      </c>
      <c r="X185" s="20">
        <f t="shared" ref="X185:X194" si="187">(C185+J185/200)-0.002</f>
        <v>7.0849999999999996E-2</v>
      </c>
      <c r="Y185" s="20">
        <f t="shared" si="182"/>
        <v>2.7000000000000001E-3</v>
      </c>
      <c r="Z185" s="20">
        <f t="shared" si="183"/>
        <v>5.4000000000000003E-3</v>
      </c>
      <c r="AA185" s="20">
        <f t="shared" si="184"/>
        <v>3.4000000000000002E-3</v>
      </c>
      <c r="AB185" s="20">
        <f t="shared" si="185"/>
        <v>8.8999999999999999E-3</v>
      </c>
    </row>
    <row r="186" spans="1:28" x14ac:dyDescent="0.25">
      <c r="A186" s="21" t="s">
        <v>1684</v>
      </c>
      <c r="B186" s="21" t="s">
        <v>7</v>
      </c>
      <c r="C186" s="25">
        <f>[1]CHFHKD!$B17</f>
        <v>6.8499999999999991E-2</v>
      </c>
      <c r="D186" s="25">
        <f>[1]CHFHKD!$F17</f>
        <v>8.0000000000000004E-4</v>
      </c>
      <c r="E186" s="25">
        <f>[1]CHFHKD!$E17</f>
        <v>1.7000000000000001E-3</v>
      </c>
      <c r="F186" s="25">
        <f>[1]CHFHKD!$D17</f>
        <v>1.4000000000000002E-3</v>
      </c>
      <c r="G186" s="25">
        <f>[1]CHFHKD!$C17</f>
        <v>5.1000000000000004E-3</v>
      </c>
      <c r="H186" s="8"/>
      <c r="I186" s="21" t="s">
        <v>7</v>
      </c>
      <c r="J186" s="28">
        <f>[2]G7!$D76</f>
        <v>1</v>
      </c>
      <c r="K186" s="28">
        <v>0.2</v>
      </c>
      <c r="L186" s="28">
        <v>0.4</v>
      </c>
      <c r="M186" s="28">
        <v>0.2</v>
      </c>
      <c r="N186" s="28">
        <v>0.4</v>
      </c>
      <c r="O186" s="16"/>
      <c r="P186" s="21" t="s">
        <v>7</v>
      </c>
      <c r="Q186" s="20">
        <f t="shared" si="186"/>
        <v>6.1499999999999985E-2</v>
      </c>
      <c r="R186" s="20">
        <f t="shared" si="178"/>
        <v>-1.9999999999999998E-4</v>
      </c>
      <c r="S186" s="20">
        <f t="shared" si="179"/>
        <v>-2.9999999999999992E-4</v>
      </c>
      <c r="T186" s="20">
        <f t="shared" si="180"/>
        <v>4.0000000000000018E-4</v>
      </c>
      <c r="U186" s="20">
        <f t="shared" si="181"/>
        <v>3.1000000000000003E-3</v>
      </c>
      <c r="V186" s="22"/>
      <c r="W186" s="21" t="s">
        <v>7</v>
      </c>
      <c r="X186" s="20">
        <f t="shared" si="187"/>
        <v>7.1499999999999994E-2</v>
      </c>
      <c r="Y186" s="20">
        <f t="shared" si="182"/>
        <v>1.8E-3</v>
      </c>
      <c r="Z186" s="20">
        <f t="shared" si="183"/>
        <v>3.7000000000000002E-3</v>
      </c>
      <c r="AA186" s="20">
        <f t="shared" si="184"/>
        <v>2.4000000000000002E-3</v>
      </c>
      <c r="AB186" s="20">
        <f t="shared" si="185"/>
        <v>7.1000000000000004E-3</v>
      </c>
    </row>
    <row r="187" spans="1:28" x14ac:dyDescent="0.25">
      <c r="A187" s="21" t="s">
        <v>1684</v>
      </c>
      <c r="B187" s="21" t="s">
        <v>8</v>
      </c>
      <c r="C187" s="25">
        <f>[1]CHFHKD!$B18</f>
        <v>6.7599999999999993E-2</v>
      </c>
      <c r="D187" s="25">
        <f>[1]CHFHKD!$F18</f>
        <v>1.1000000000000001E-3</v>
      </c>
      <c r="E187" s="25">
        <f>[1]CHFHKD!$E18</f>
        <v>2.2000000000000001E-3</v>
      </c>
      <c r="F187" s="25">
        <f>[1]CHFHKD!$D18</f>
        <v>1.4000000000000002E-3</v>
      </c>
      <c r="G187" s="25">
        <f>[1]CHFHKD!$C18</f>
        <v>5.1000000000000004E-3</v>
      </c>
      <c r="H187" s="8"/>
      <c r="I187" s="21" t="s">
        <v>8</v>
      </c>
      <c r="J187" s="28">
        <f>[2]G7!$D77</f>
        <v>0.67999999999999994</v>
      </c>
      <c r="K187" s="28">
        <v>0.2</v>
      </c>
      <c r="L187" s="28">
        <v>0.4</v>
      </c>
      <c r="M187" s="28">
        <v>0.2</v>
      </c>
      <c r="N187" s="28">
        <v>0.4</v>
      </c>
      <c r="O187" s="16"/>
      <c r="P187" s="21" t="s">
        <v>8</v>
      </c>
      <c r="Q187" s="20">
        <f t="shared" si="186"/>
        <v>6.2199999999999991E-2</v>
      </c>
      <c r="R187" s="20">
        <f t="shared" si="178"/>
        <v>1.0000000000000005E-4</v>
      </c>
      <c r="S187" s="20">
        <f t="shared" si="179"/>
        <v>2.0000000000000009E-4</v>
      </c>
      <c r="T187" s="20">
        <f t="shared" si="180"/>
        <v>4.0000000000000018E-4</v>
      </c>
      <c r="U187" s="20">
        <f t="shared" si="181"/>
        <v>3.1000000000000003E-3</v>
      </c>
      <c r="V187" s="22"/>
      <c r="W187" s="21" t="s">
        <v>8</v>
      </c>
      <c r="X187" s="20">
        <f t="shared" si="187"/>
        <v>6.8999999999999992E-2</v>
      </c>
      <c r="Y187" s="20">
        <f t="shared" si="182"/>
        <v>2.1000000000000003E-3</v>
      </c>
      <c r="Z187" s="20">
        <f t="shared" si="183"/>
        <v>4.2000000000000006E-3</v>
      </c>
      <c r="AA187" s="20">
        <f t="shared" si="184"/>
        <v>2.4000000000000002E-3</v>
      </c>
      <c r="AB187" s="20">
        <f t="shared" si="185"/>
        <v>7.1000000000000004E-3</v>
      </c>
    </row>
    <row r="188" spans="1:28" x14ac:dyDescent="0.25">
      <c r="A188" s="21" t="s">
        <v>1684</v>
      </c>
      <c r="B188" s="21" t="s">
        <v>9</v>
      </c>
      <c r="C188" s="25">
        <f>[1]CHFHKD!$B19</f>
        <v>6.7699999999999996E-2</v>
      </c>
      <c r="D188" s="25">
        <f>[1]CHFHKD!$F19</f>
        <v>2.8999999999999998E-3</v>
      </c>
      <c r="E188" s="25">
        <f>[1]CHFHKD!$E19</f>
        <v>5.6999999999999993E-3</v>
      </c>
      <c r="F188" s="25">
        <f>[1]CHFHKD!$D19</f>
        <v>1.6000000000000001E-3</v>
      </c>
      <c r="G188" s="25">
        <f>[1]CHFHKD!$C19</f>
        <v>5.6999999999999993E-3</v>
      </c>
      <c r="H188" s="8"/>
      <c r="I188" s="21" t="s">
        <v>9</v>
      </c>
      <c r="J188" s="28">
        <f>[2]G7!$D78</f>
        <v>0.66999999999999993</v>
      </c>
      <c r="K188" s="28">
        <v>0.2</v>
      </c>
      <c r="L188" s="28">
        <v>0.4</v>
      </c>
      <c r="M188" s="28">
        <v>0.2</v>
      </c>
      <c r="N188" s="28">
        <v>0.4</v>
      </c>
      <c r="O188" s="16"/>
      <c r="P188" s="21" t="s">
        <v>9</v>
      </c>
      <c r="Q188" s="20">
        <f t="shared" si="186"/>
        <v>6.2349999999999989E-2</v>
      </c>
      <c r="R188" s="20">
        <f t="shared" si="178"/>
        <v>1.8999999999999998E-3</v>
      </c>
      <c r="S188" s="20">
        <f t="shared" si="179"/>
        <v>3.6999999999999993E-3</v>
      </c>
      <c r="T188" s="20">
        <f t="shared" si="180"/>
        <v>6.0000000000000006E-4</v>
      </c>
      <c r="U188" s="20">
        <f t="shared" si="181"/>
        <v>3.6999999999999993E-3</v>
      </c>
      <c r="V188" s="22"/>
      <c r="W188" s="21" t="s">
        <v>9</v>
      </c>
      <c r="X188" s="20">
        <f t="shared" si="187"/>
        <v>6.905E-2</v>
      </c>
      <c r="Y188" s="20">
        <f t="shared" si="182"/>
        <v>3.8999999999999998E-3</v>
      </c>
      <c r="Z188" s="20">
        <f t="shared" si="183"/>
        <v>7.6999999999999994E-3</v>
      </c>
      <c r="AA188" s="20">
        <f t="shared" si="184"/>
        <v>2.5999999999999999E-3</v>
      </c>
      <c r="AB188" s="20">
        <f t="shared" si="185"/>
        <v>7.6999999999999994E-3</v>
      </c>
    </row>
    <row r="189" spans="1:28" x14ac:dyDescent="0.25">
      <c r="A189" s="21" t="s">
        <v>1684</v>
      </c>
      <c r="B189" s="21" t="s">
        <v>10</v>
      </c>
      <c r="C189" s="25">
        <f>[1]CHFHKD!$B20</f>
        <v>6.7699999999999996E-2</v>
      </c>
      <c r="D189" s="25">
        <f>[1]CHFHKD!$F20</f>
        <v>4.5000000000000005E-3</v>
      </c>
      <c r="E189" s="25">
        <f>[1]CHFHKD!$E20</f>
        <v>8.8999999999999999E-3</v>
      </c>
      <c r="F189" s="25">
        <f>[1]CHFHKD!$D20</f>
        <v>1.7000000000000001E-3</v>
      </c>
      <c r="G189" s="25">
        <f>[1]CHFHKD!$C20</f>
        <v>6.3E-3</v>
      </c>
      <c r="H189" s="8"/>
      <c r="I189" s="21" t="s">
        <v>10</v>
      </c>
      <c r="J189" s="28">
        <f>[2]G7!$D79</f>
        <v>0.67999999999999994</v>
      </c>
      <c r="K189" s="28">
        <v>0.2</v>
      </c>
      <c r="L189" s="28">
        <v>0.4</v>
      </c>
      <c r="M189" s="28">
        <v>0.2</v>
      </c>
      <c r="N189" s="28">
        <v>0.4</v>
      </c>
      <c r="O189" s="16"/>
      <c r="P189" s="21" t="s">
        <v>10</v>
      </c>
      <c r="Q189" s="20">
        <f t="shared" si="186"/>
        <v>6.2299999999999994E-2</v>
      </c>
      <c r="R189" s="20">
        <f t="shared" si="178"/>
        <v>3.5000000000000005E-3</v>
      </c>
      <c r="S189" s="20">
        <f t="shared" si="179"/>
        <v>6.8999999999999999E-3</v>
      </c>
      <c r="T189" s="20">
        <f t="shared" si="180"/>
        <v>7.000000000000001E-4</v>
      </c>
      <c r="U189" s="20">
        <f t="shared" si="181"/>
        <v>4.3E-3</v>
      </c>
      <c r="V189" s="22"/>
      <c r="W189" s="21" t="s">
        <v>10</v>
      </c>
      <c r="X189" s="20">
        <f t="shared" si="187"/>
        <v>6.9099999999999995E-2</v>
      </c>
      <c r="Y189" s="20">
        <f t="shared" si="182"/>
        <v>5.5000000000000005E-3</v>
      </c>
      <c r="Z189" s="20">
        <f t="shared" si="183"/>
        <v>1.09E-2</v>
      </c>
      <c r="AA189" s="20">
        <f t="shared" si="184"/>
        <v>2.7000000000000001E-3</v>
      </c>
      <c r="AB189" s="20">
        <f t="shared" si="185"/>
        <v>8.3000000000000001E-3</v>
      </c>
    </row>
    <row r="190" spans="1:28" x14ac:dyDescent="0.25">
      <c r="A190" s="21" t="s">
        <v>1684</v>
      </c>
      <c r="B190" s="21" t="s">
        <v>11</v>
      </c>
      <c r="C190" s="25">
        <f>[1]CHFHKD!$B21</f>
        <v>6.9500000000000006E-2</v>
      </c>
      <c r="D190" s="25">
        <f>[1]CHFHKD!$F21</f>
        <v>5.8999999999999999E-3</v>
      </c>
      <c r="E190" s="25">
        <f>[1]CHFHKD!$E21</f>
        <v>1.2E-2</v>
      </c>
      <c r="F190" s="25">
        <f>[1]CHFHKD!$D21</f>
        <v>2.5000000000000001E-3</v>
      </c>
      <c r="G190" s="25">
        <f>[1]CHFHKD!$C21</f>
        <v>8.8999999999999999E-3</v>
      </c>
      <c r="H190" s="8"/>
      <c r="I190" s="21" t="s">
        <v>11</v>
      </c>
      <c r="J190" s="28">
        <f>[2]G7!$D80</f>
        <v>0.66</v>
      </c>
      <c r="K190" s="28">
        <v>0.2</v>
      </c>
      <c r="L190" s="28">
        <v>0.4</v>
      </c>
      <c r="M190" s="28">
        <v>0.2</v>
      </c>
      <c r="N190" s="28">
        <v>0.4</v>
      </c>
      <c r="O190" s="16"/>
      <c r="P190" s="21" t="s">
        <v>11</v>
      </c>
      <c r="Q190" s="20">
        <f t="shared" si="186"/>
        <v>6.4200000000000007E-2</v>
      </c>
      <c r="R190" s="20">
        <f t="shared" si="178"/>
        <v>4.8999999999999998E-3</v>
      </c>
      <c r="S190" s="20">
        <f t="shared" si="179"/>
        <v>0.01</v>
      </c>
      <c r="T190" s="20">
        <f t="shared" si="180"/>
        <v>1.5E-3</v>
      </c>
      <c r="U190" s="20">
        <f t="shared" si="181"/>
        <v>6.8999999999999999E-3</v>
      </c>
      <c r="V190" s="22"/>
      <c r="W190" s="21" t="s">
        <v>11</v>
      </c>
      <c r="X190" s="20">
        <f t="shared" si="187"/>
        <v>7.0800000000000002E-2</v>
      </c>
      <c r="Y190" s="20">
        <f t="shared" si="182"/>
        <v>6.8999999999999999E-3</v>
      </c>
      <c r="Z190" s="20">
        <f t="shared" si="183"/>
        <v>1.4E-2</v>
      </c>
      <c r="AA190" s="20">
        <f t="shared" si="184"/>
        <v>3.5000000000000001E-3</v>
      </c>
      <c r="AB190" s="20">
        <f t="shared" si="185"/>
        <v>1.09E-2</v>
      </c>
    </row>
    <row r="191" spans="1:28" x14ac:dyDescent="0.25">
      <c r="A191" s="21" t="s">
        <v>1684</v>
      </c>
      <c r="B191" s="21" t="s">
        <v>12</v>
      </c>
      <c r="C191" s="25">
        <f>[1]CHFHKD!$B22</f>
        <v>7.2800000000000004E-2</v>
      </c>
      <c r="D191" s="25">
        <f>[1]CHFHKD!$F22</f>
        <v>6.7000000000000002E-3</v>
      </c>
      <c r="E191" s="25">
        <f>[1]CHFHKD!$E22</f>
        <v>1.3899999999999999E-2</v>
      </c>
      <c r="F191" s="25">
        <f>[1]CHFHKD!$D22</f>
        <v>3.0999999999999999E-3</v>
      </c>
      <c r="G191" s="25">
        <f>[1]CHFHKD!$C22</f>
        <v>1.11E-2</v>
      </c>
      <c r="H191" s="8"/>
      <c r="I191" s="21" t="s">
        <v>12</v>
      </c>
      <c r="J191" s="28">
        <f>[2]G7!$D81</f>
        <v>0.66999999999999993</v>
      </c>
      <c r="K191" s="28">
        <v>0.2</v>
      </c>
      <c r="L191" s="28">
        <v>0.4</v>
      </c>
      <c r="M191" s="28">
        <v>0.2</v>
      </c>
      <c r="N191" s="28">
        <v>0.4</v>
      </c>
      <c r="O191" s="16"/>
      <c r="P191" s="21" t="s">
        <v>12</v>
      </c>
      <c r="Q191" s="20">
        <f t="shared" si="186"/>
        <v>6.7449999999999996E-2</v>
      </c>
      <c r="R191" s="20">
        <f t="shared" si="178"/>
        <v>5.7000000000000002E-3</v>
      </c>
      <c r="S191" s="20">
        <f t="shared" si="179"/>
        <v>1.1899999999999999E-2</v>
      </c>
      <c r="T191" s="20">
        <f t="shared" si="180"/>
        <v>2.0999999999999999E-3</v>
      </c>
      <c r="U191" s="20">
        <f t="shared" si="181"/>
        <v>9.1000000000000004E-3</v>
      </c>
      <c r="V191" s="22"/>
      <c r="W191" s="21" t="s">
        <v>12</v>
      </c>
      <c r="X191" s="20">
        <f t="shared" si="187"/>
        <v>7.4150000000000008E-2</v>
      </c>
      <c r="Y191" s="20">
        <f t="shared" si="182"/>
        <v>7.7000000000000002E-3</v>
      </c>
      <c r="Z191" s="20">
        <f t="shared" si="183"/>
        <v>1.5899999999999997E-2</v>
      </c>
      <c r="AA191" s="20">
        <f t="shared" si="184"/>
        <v>4.0999999999999995E-3</v>
      </c>
      <c r="AB191" s="20">
        <f t="shared" si="185"/>
        <v>1.3100000000000001E-2</v>
      </c>
    </row>
    <row r="192" spans="1:28" x14ac:dyDescent="0.25">
      <c r="A192" s="21" t="s">
        <v>1684</v>
      </c>
      <c r="B192" s="21" t="s">
        <v>13</v>
      </c>
      <c r="C192" s="25">
        <f>[1]CHFHKD!$B23</f>
        <v>7.4700000000000003E-2</v>
      </c>
      <c r="D192" s="25">
        <f>[1]CHFHKD!$F23</f>
        <v>7.0999999999999995E-3</v>
      </c>
      <c r="E192" s="25">
        <f>[1]CHFHKD!$E23</f>
        <v>1.49E-2</v>
      </c>
      <c r="F192" s="25">
        <f>[1]CHFHKD!$D23</f>
        <v>3.4000000000000002E-3</v>
      </c>
      <c r="G192" s="25">
        <f>[1]CHFHKD!$C23</f>
        <v>1.2199999999999999E-2</v>
      </c>
      <c r="H192" s="8"/>
      <c r="I192" s="21" t="s">
        <v>13</v>
      </c>
      <c r="J192" s="28">
        <f>[2]G7!$D82</f>
        <v>0.67999999999999994</v>
      </c>
      <c r="K192" s="28">
        <v>0.2</v>
      </c>
      <c r="L192" s="28">
        <v>0.4</v>
      </c>
      <c r="M192" s="28">
        <v>0.2</v>
      </c>
      <c r="N192" s="28">
        <v>0.4</v>
      </c>
      <c r="O192" s="16"/>
      <c r="P192" s="21" t="s">
        <v>13</v>
      </c>
      <c r="Q192" s="20">
        <f t="shared" si="186"/>
        <v>6.93E-2</v>
      </c>
      <c r="R192" s="20">
        <f t="shared" si="178"/>
        <v>6.0999999999999995E-3</v>
      </c>
      <c r="S192" s="20">
        <f t="shared" si="179"/>
        <v>1.29E-2</v>
      </c>
      <c r="T192" s="20">
        <f t="shared" si="180"/>
        <v>2.4000000000000002E-3</v>
      </c>
      <c r="U192" s="20">
        <f t="shared" si="181"/>
        <v>1.0199999999999999E-2</v>
      </c>
      <c r="V192" s="22"/>
      <c r="W192" s="21" t="s">
        <v>13</v>
      </c>
      <c r="X192" s="20">
        <f t="shared" si="187"/>
        <v>7.6100000000000001E-2</v>
      </c>
      <c r="Y192" s="20">
        <f t="shared" si="182"/>
        <v>8.0999999999999996E-3</v>
      </c>
      <c r="Z192" s="20">
        <f t="shared" si="183"/>
        <v>1.6899999999999998E-2</v>
      </c>
      <c r="AA192" s="20">
        <f t="shared" si="184"/>
        <v>4.4000000000000003E-3</v>
      </c>
      <c r="AB192" s="20">
        <f t="shared" si="185"/>
        <v>1.4199999999999999E-2</v>
      </c>
    </row>
    <row r="193" spans="1:28" x14ac:dyDescent="0.25">
      <c r="A193" s="21" t="s">
        <v>1684</v>
      </c>
      <c r="B193" s="21" t="s">
        <v>14</v>
      </c>
      <c r="C193" s="25">
        <f>[1]CHFHKD!$B24</f>
        <v>7.8399999999999997E-2</v>
      </c>
      <c r="D193" s="25">
        <f>[1]CHFHKD!$F24</f>
        <v>7.7000000000000002E-3</v>
      </c>
      <c r="E193" s="25">
        <f>[1]CHFHKD!$E24</f>
        <v>1.6500000000000001E-2</v>
      </c>
      <c r="F193" s="25">
        <f>[1]CHFHKD!$D24</f>
        <v>3.5999999999999999E-3</v>
      </c>
      <c r="G193" s="25">
        <f>[1]CHFHKD!$C24</f>
        <v>1.3100000000000001E-2</v>
      </c>
      <c r="H193" s="16"/>
      <c r="I193" s="21" t="s">
        <v>14</v>
      </c>
      <c r="J193" s="28">
        <f>[2]G7!$D83</f>
        <v>1.1300000000000001</v>
      </c>
      <c r="K193" s="28">
        <v>0.2</v>
      </c>
      <c r="L193" s="28">
        <v>0.4</v>
      </c>
      <c r="M193" s="28">
        <v>0.2</v>
      </c>
      <c r="N193" s="28">
        <v>0.4</v>
      </c>
      <c r="O193" s="16"/>
      <c r="P193" s="21" t="s">
        <v>14</v>
      </c>
      <c r="Q193" s="20">
        <f t="shared" si="186"/>
        <v>7.0749999999999993E-2</v>
      </c>
      <c r="R193" s="20">
        <f t="shared" si="178"/>
        <v>6.7000000000000002E-3</v>
      </c>
      <c r="S193" s="20">
        <f t="shared" si="179"/>
        <v>1.4500000000000001E-2</v>
      </c>
      <c r="T193" s="20">
        <f t="shared" si="180"/>
        <v>2.5999999999999999E-3</v>
      </c>
      <c r="U193" s="20">
        <f t="shared" si="181"/>
        <v>1.11E-2</v>
      </c>
      <c r="V193" s="22"/>
      <c r="W193" s="21" t="s">
        <v>14</v>
      </c>
      <c r="X193" s="20">
        <f t="shared" si="187"/>
        <v>8.2049999999999998E-2</v>
      </c>
      <c r="Y193" s="20">
        <f t="shared" si="182"/>
        <v>8.6999999999999994E-3</v>
      </c>
      <c r="Z193" s="20">
        <f t="shared" si="183"/>
        <v>1.8500000000000003E-2</v>
      </c>
      <c r="AA193" s="20">
        <f t="shared" si="184"/>
        <v>4.5999999999999999E-3</v>
      </c>
      <c r="AB193" s="20">
        <f t="shared" si="185"/>
        <v>1.5100000000000001E-2</v>
      </c>
    </row>
    <row r="194" spans="1:28" x14ac:dyDescent="0.25">
      <c r="A194" s="21" t="s">
        <v>1684</v>
      </c>
      <c r="B194" s="21" t="s">
        <v>876</v>
      </c>
      <c r="C194" s="25">
        <f>[1]CHFHKD!$B25</f>
        <v>8.199999999999999E-2</v>
      </c>
      <c r="D194" s="25">
        <f>[1]CHFHKD!$F25</f>
        <v>8.8000000000000005E-3</v>
      </c>
      <c r="E194" s="25">
        <f>[1]CHFHKD!$E25</f>
        <v>1.9099999999999999E-2</v>
      </c>
      <c r="F194" s="25">
        <f>[1]CHFHKD!$D25</f>
        <v>3.9000000000000003E-3</v>
      </c>
      <c r="G194" s="25">
        <f>[1]CHFHKD!$C25</f>
        <v>1.3899999999999999E-2</v>
      </c>
      <c r="H194" s="16"/>
      <c r="I194" s="21" t="s">
        <v>876</v>
      </c>
      <c r="J194" s="28">
        <f>[2]G7!$D84</f>
        <v>1.49</v>
      </c>
      <c r="K194" s="28">
        <v>0.2</v>
      </c>
      <c r="L194" s="28">
        <v>0.4</v>
      </c>
      <c r="M194" s="28">
        <v>0.2</v>
      </c>
      <c r="N194" s="28">
        <v>0.4</v>
      </c>
      <c r="O194" s="16"/>
      <c r="P194" s="21" t="s">
        <v>876</v>
      </c>
      <c r="Q194" s="20">
        <f t="shared" si="186"/>
        <v>7.2549999999999989E-2</v>
      </c>
      <c r="R194" s="20">
        <f t="shared" si="178"/>
        <v>7.8000000000000005E-3</v>
      </c>
      <c r="S194" s="20">
        <f t="shared" si="179"/>
        <v>1.7099999999999997E-2</v>
      </c>
      <c r="T194" s="20">
        <f t="shared" si="180"/>
        <v>2.9000000000000002E-3</v>
      </c>
      <c r="U194" s="20">
        <f t="shared" si="181"/>
        <v>1.1899999999999999E-2</v>
      </c>
      <c r="V194" s="22"/>
      <c r="W194" s="21" t="s">
        <v>876</v>
      </c>
      <c r="X194" s="20">
        <f t="shared" si="187"/>
        <v>8.7449999999999986E-2</v>
      </c>
      <c r="Y194" s="20">
        <f t="shared" si="182"/>
        <v>9.7999999999999997E-3</v>
      </c>
      <c r="Z194" s="20">
        <f t="shared" si="183"/>
        <v>2.1100000000000001E-2</v>
      </c>
      <c r="AA194" s="20">
        <f t="shared" si="184"/>
        <v>4.8999999999999998E-3</v>
      </c>
      <c r="AB194" s="20">
        <f t="shared" si="185"/>
        <v>1.5899999999999997E-2</v>
      </c>
    </row>
    <row r="204" spans="1:28" x14ac:dyDescent="0.25">
      <c r="A204" s="21"/>
      <c r="B204" s="21"/>
      <c r="C204" s="25"/>
      <c r="D204" s="25"/>
      <c r="E204" s="25"/>
      <c r="F204" s="25"/>
      <c r="G204" s="25"/>
      <c r="H204" s="16"/>
      <c r="I204" s="21"/>
      <c r="J204" s="23"/>
      <c r="K204" s="9"/>
      <c r="L204" s="9"/>
      <c r="M204" s="9"/>
      <c r="N204" s="9"/>
      <c r="O204" s="16"/>
      <c r="P204" s="21"/>
      <c r="Q204" s="20"/>
      <c r="R204" s="20"/>
      <c r="S204" s="20"/>
      <c r="T204" s="20"/>
      <c r="U204" s="20"/>
      <c r="V204" s="22"/>
      <c r="W204" s="21"/>
      <c r="X204" s="20"/>
      <c r="Y204" s="20"/>
      <c r="Z204" s="20"/>
      <c r="AA204" s="20"/>
      <c r="AB204" s="20"/>
    </row>
    <row r="205" spans="1:28" x14ac:dyDescent="0.25">
      <c r="A205" s="21"/>
      <c r="B205" s="21"/>
      <c r="C205" s="25"/>
      <c r="D205" s="25"/>
      <c r="E205" s="25"/>
      <c r="F205" s="25"/>
      <c r="G205" s="25"/>
      <c r="H205" s="16"/>
      <c r="I205" s="21"/>
      <c r="J205" s="23"/>
      <c r="K205" s="9"/>
      <c r="L205" s="9"/>
      <c r="M205" s="9"/>
      <c r="N205" s="9"/>
      <c r="O205" s="16"/>
      <c r="P205" s="21"/>
      <c r="Q205" s="20"/>
      <c r="R205" s="20"/>
      <c r="S205" s="20"/>
      <c r="T205" s="20"/>
      <c r="U205" s="20"/>
      <c r="V205" s="22"/>
      <c r="W205" s="21"/>
      <c r="X205" s="20"/>
      <c r="Y205" s="20"/>
      <c r="Z205" s="20"/>
      <c r="AA205" s="20"/>
      <c r="AB205" s="20"/>
    </row>
    <row r="230" spans="1:28" x14ac:dyDescent="0.25">
      <c r="A230" s="16"/>
      <c r="B230" s="16"/>
      <c r="C230" s="26"/>
      <c r="D230" s="26"/>
      <c r="E230" s="26"/>
      <c r="F230" s="26"/>
      <c r="G230" s="26"/>
      <c r="H230" s="16"/>
      <c r="I230" s="16"/>
      <c r="J230" s="16"/>
      <c r="K230" s="16"/>
      <c r="L230" s="16"/>
      <c r="M230" s="16"/>
      <c r="N230" s="16"/>
      <c r="O230" s="16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</row>
    <row r="231" spans="1:28" x14ac:dyDescent="0.25">
      <c r="A231" s="16"/>
      <c r="B231" s="16"/>
      <c r="C231" s="26"/>
      <c r="D231" s="26"/>
      <c r="E231" s="26"/>
      <c r="F231" s="26"/>
      <c r="G231" s="26"/>
      <c r="H231" s="16"/>
      <c r="I231" s="16"/>
      <c r="J231" s="16"/>
      <c r="K231" s="16"/>
      <c r="L231" s="16"/>
      <c r="M231" s="16"/>
      <c r="N231" s="16"/>
      <c r="O231" s="16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</row>
    <row r="232" spans="1:28" x14ac:dyDescent="0.25">
      <c r="A232" s="16"/>
      <c r="B232" s="16"/>
      <c r="C232" s="26"/>
      <c r="D232" s="26"/>
      <c r="E232" s="26"/>
      <c r="F232" s="26"/>
      <c r="G232" s="26"/>
      <c r="H232" s="16"/>
      <c r="I232" s="16"/>
      <c r="J232" s="16"/>
      <c r="K232" s="16"/>
      <c r="L232" s="16"/>
      <c r="M232" s="16"/>
      <c r="N232" s="16"/>
      <c r="O232" s="16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</row>
    <row r="233" spans="1:28" x14ac:dyDescent="0.25">
      <c r="A233" s="16"/>
      <c r="B233" s="16"/>
      <c r="C233" s="26"/>
      <c r="D233" s="26"/>
      <c r="E233" s="26"/>
      <c r="F233" s="26"/>
      <c r="G233" s="26"/>
      <c r="H233" s="16"/>
      <c r="I233" s="16"/>
      <c r="J233" s="16"/>
      <c r="K233" s="16"/>
      <c r="L233" s="16"/>
      <c r="M233" s="16"/>
      <c r="N233" s="16"/>
      <c r="O233" s="16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</row>
    <row r="234" spans="1:28" x14ac:dyDescent="0.25">
      <c r="A234" s="16"/>
      <c r="B234" s="16"/>
      <c r="C234" s="26"/>
      <c r="D234" s="26"/>
      <c r="E234" s="26"/>
      <c r="F234" s="26"/>
      <c r="G234" s="26"/>
      <c r="H234" s="16"/>
      <c r="I234" s="16"/>
      <c r="J234" s="16"/>
      <c r="K234" s="16"/>
      <c r="L234" s="16"/>
      <c r="M234" s="16"/>
      <c r="N234" s="16"/>
      <c r="O234" s="16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</row>
    <row r="235" spans="1:28" x14ac:dyDescent="0.25">
      <c r="A235" s="16"/>
      <c r="B235" s="16"/>
      <c r="C235" s="26"/>
      <c r="D235" s="26"/>
      <c r="E235" s="26"/>
      <c r="F235" s="26"/>
      <c r="G235" s="26"/>
      <c r="H235" s="16"/>
      <c r="I235" s="16"/>
      <c r="J235" s="16"/>
      <c r="K235" s="16"/>
      <c r="L235" s="16"/>
      <c r="M235" s="16"/>
      <c r="N235" s="16"/>
      <c r="O235" s="16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</row>
    <row r="236" spans="1:28" x14ac:dyDescent="0.25">
      <c r="A236" s="16"/>
      <c r="B236" s="16"/>
      <c r="C236" s="26"/>
      <c r="D236" s="26"/>
      <c r="E236" s="26"/>
      <c r="F236" s="26"/>
      <c r="G236" s="26"/>
      <c r="H236" s="16"/>
      <c r="I236" s="16"/>
      <c r="J236" s="16"/>
      <c r="K236" s="16"/>
      <c r="L236" s="16"/>
      <c r="M236" s="16"/>
      <c r="N236" s="16"/>
      <c r="O236" s="16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</row>
    <row r="237" spans="1:28" x14ac:dyDescent="0.25">
      <c r="A237" s="16"/>
      <c r="B237" s="16"/>
      <c r="C237" s="26"/>
      <c r="D237" s="26"/>
      <c r="E237" s="26"/>
      <c r="F237" s="26"/>
      <c r="G237" s="26"/>
      <c r="H237" s="16"/>
      <c r="I237" s="16"/>
      <c r="J237" s="16"/>
      <c r="K237" s="16"/>
      <c r="L237" s="16"/>
      <c r="M237" s="16"/>
      <c r="N237" s="16"/>
      <c r="O237" s="16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</row>
    <row r="238" spans="1:28" x14ac:dyDescent="0.25">
      <c r="A238" s="16"/>
      <c r="B238" s="16"/>
      <c r="C238" s="26"/>
      <c r="D238" s="26"/>
      <c r="E238" s="26"/>
      <c r="F238" s="26"/>
      <c r="G238" s="26"/>
      <c r="H238" s="16"/>
      <c r="I238" s="16"/>
      <c r="J238" s="16"/>
      <c r="K238" s="16"/>
      <c r="L238" s="16"/>
      <c r="M238" s="16"/>
      <c r="N238" s="16"/>
      <c r="O238" s="16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AD208"/>
  <sheetViews>
    <sheetView tabSelected="1" zoomScale="80" zoomScaleNormal="80" workbookViewId="0">
      <selection activeCell="K14" sqref="K14"/>
    </sheetView>
  </sheetViews>
  <sheetFormatPr defaultColWidth="9.42578125" defaultRowHeight="15.75" x14ac:dyDescent="0.25"/>
  <cols>
    <col min="1" max="1" width="10" style="10" customWidth="1"/>
    <col min="2" max="2" width="9.5703125" style="10" bestFit="1" customWidth="1"/>
    <col min="3" max="6" width="8.5703125" style="10" bestFit="1" customWidth="1"/>
    <col min="7" max="7" width="9" style="1" customWidth="1"/>
    <col min="8" max="8" width="5.42578125" style="1" bestFit="1" customWidth="1"/>
    <col min="9" max="9" width="9.5703125" style="1" bestFit="1" customWidth="1"/>
    <col min="10" max="11" width="8.5703125" style="1" bestFit="1" customWidth="1"/>
    <col min="12" max="12" width="8.42578125" style="1" customWidth="1"/>
    <col min="13" max="13" width="8.42578125" style="1" bestFit="1" customWidth="1"/>
    <col min="14" max="14" width="9.42578125" style="1"/>
    <col min="15" max="15" width="12.42578125" style="1" bestFit="1" customWidth="1"/>
    <col min="16" max="17" width="25.42578125" style="2" bestFit="1" customWidth="1"/>
    <col min="18" max="18" width="13.5703125" style="1" bestFit="1" customWidth="1"/>
    <col min="19" max="20" width="24.5703125" style="1" bestFit="1" customWidth="1"/>
    <col min="21" max="21" width="13.5703125" style="1" bestFit="1" customWidth="1"/>
    <col min="22" max="23" width="24.5703125" style="1" bestFit="1" customWidth="1"/>
    <col min="24" max="24" width="12" style="1" bestFit="1" customWidth="1"/>
    <col min="25" max="25" width="24.5703125" style="1" bestFit="1" customWidth="1"/>
    <col min="26" max="26" width="24" style="1" bestFit="1" customWidth="1"/>
    <col min="27" max="27" width="13.5703125" style="1" bestFit="1" customWidth="1"/>
    <col min="28" max="28" width="24.5703125" style="1" bestFit="1" customWidth="1"/>
    <col min="29" max="29" width="24" style="1" bestFit="1" customWidth="1"/>
    <col min="30" max="30" width="20" bestFit="1" customWidth="1"/>
    <col min="31" max="16384" width="9.42578125" style="1"/>
  </cols>
  <sheetData>
    <row r="1" spans="1:30" x14ac:dyDescent="0.25">
      <c r="A1" s="10" t="s">
        <v>333</v>
      </c>
      <c r="O1" s="3" t="s">
        <v>67</v>
      </c>
      <c r="P1" s="15" t="s">
        <v>68</v>
      </c>
      <c r="Q1" s="6"/>
      <c r="R1" s="15" t="s">
        <v>67</v>
      </c>
      <c r="S1" s="15" t="s">
        <v>68</v>
      </c>
      <c r="T1" s="15"/>
      <c r="U1" s="3" t="s">
        <v>67</v>
      </c>
      <c r="V1" s="15" t="s">
        <v>68</v>
      </c>
      <c r="W1" s="6"/>
      <c r="X1" s="15" t="s">
        <v>67</v>
      </c>
      <c r="Y1" s="15" t="s">
        <v>68</v>
      </c>
      <c r="Z1" s="15"/>
      <c r="AA1" s="3" t="s">
        <v>67</v>
      </c>
      <c r="AB1" s="15" t="s">
        <v>68</v>
      </c>
      <c r="AC1" s="6"/>
    </row>
    <row r="2" spans="1:30" ht="14.25" x14ac:dyDescent="0.25">
      <c r="A2" s="12" t="s">
        <v>331</v>
      </c>
      <c r="B2" s="12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H2" s="10" t="s">
        <v>332</v>
      </c>
      <c r="I2" s="10" t="s">
        <v>0</v>
      </c>
      <c r="J2" s="10" t="s">
        <v>1</v>
      </c>
      <c r="K2" s="10" t="s">
        <v>2</v>
      </c>
      <c r="L2" s="10" t="s">
        <v>3</v>
      </c>
      <c r="M2" s="10" t="s">
        <v>4</v>
      </c>
      <c r="O2" s="3" t="s">
        <v>66</v>
      </c>
      <c r="P2" s="13" t="s">
        <v>15</v>
      </c>
      <c r="Q2" s="4" t="s">
        <v>16</v>
      </c>
      <c r="R2" s="15" t="s">
        <v>1</v>
      </c>
      <c r="S2" s="13" t="s">
        <v>15</v>
      </c>
      <c r="T2" s="13" t="s">
        <v>16</v>
      </c>
      <c r="U2" s="3" t="s">
        <v>2</v>
      </c>
      <c r="V2" s="13" t="s">
        <v>15</v>
      </c>
      <c r="W2" s="4" t="s">
        <v>16</v>
      </c>
      <c r="X2" s="15" t="s">
        <v>3</v>
      </c>
      <c r="Y2" s="13" t="s">
        <v>15</v>
      </c>
      <c r="Z2" s="13" t="s">
        <v>16</v>
      </c>
      <c r="AA2" s="3" t="s">
        <v>4</v>
      </c>
      <c r="AB2" s="13" t="s">
        <v>15</v>
      </c>
      <c r="AC2" s="4" t="s">
        <v>16</v>
      </c>
      <c r="AD2" s="2"/>
    </row>
    <row r="3" spans="1:30" x14ac:dyDescent="0.2">
      <c r="A3" s="12" t="s">
        <v>5</v>
      </c>
      <c r="B3" s="11">
        <f>'G7 Input'!Q2</f>
        <v>5.8399999999999994E-2</v>
      </c>
      <c r="C3" s="11">
        <f>'G7 Input'!R2</f>
        <v>-9.2999999999999992E-3</v>
      </c>
      <c r="D3" s="11">
        <f>'G7 Input'!S2</f>
        <v>-1.84E-2</v>
      </c>
      <c r="E3" s="11">
        <f>'G7 Input'!T2</f>
        <v>-5.0000000000000001E-3</v>
      </c>
      <c r="F3" s="11">
        <f>'G7 Input'!U2</f>
        <v>-8.6E-3</v>
      </c>
      <c r="H3" s="10" t="s">
        <v>5</v>
      </c>
      <c r="I3" s="11">
        <f>'G7 Input'!X2</f>
        <v>6.6400000000000001E-2</v>
      </c>
      <c r="J3" s="11">
        <f>'G7 Input'!Y2</f>
        <v>2.7000000000000001E-3</v>
      </c>
      <c r="K3" s="11">
        <f>'G7 Input'!Z2</f>
        <v>5.5999999999999999E-3</v>
      </c>
      <c r="L3" s="11">
        <f>'G7 Input'!AA2</f>
        <v>7.0000000000000001E-3</v>
      </c>
      <c r="M3" s="11">
        <f>'G7 Input'!AB2</f>
        <v>1.54E-2</v>
      </c>
      <c r="O3" s="3" t="s">
        <v>17</v>
      </c>
      <c r="P3" s="14" t="str">
        <f>_xll.PLContribFull(B3*100,"BID",O3,"Slot46","TICKER",3,,"Valid")</f>
        <v>5.840 (12:14:42.765166)</v>
      </c>
      <c r="Q3" s="5" t="str">
        <f>_xll.PLContribFull(I3*100,"ASK",O3,"Slot46","TICKER",3,,"Valid")</f>
        <v>6.640 (12:14:42.767165)</v>
      </c>
      <c r="R3" s="15" t="s">
        <v>27</v>
      </c>
      <c r="S3" s="14" t="str">
        <f>_xll.PLContribFull(C3*100,"BID",R3,"Slot46","TICKER",3,,"Valid")</f>
        <v>-0.930 (12:14:42.747168)</v>
      </c>
      <c r="T3" s="14" t="str">
        <f>_xll.PLContribFull(J3*100,"ASK",R3,"Slot46","TICKER",3,,"Valid")</f>
        <v>0.270 (12:14:42.770167)</v>
      </c>
      <c r="U3" s="3" t="s">
        <v>46</v>
      </c>
      <c r="V3" s="14" t="str">
        <f>_xll.PLContribFull(D3*100,"BID",U3,"Slot46","TICKER",3,,"Valid")</f>
        <v>-1.840 (12:14:42.745167)</v>
      </c>
      <c r="W3" s="5" t="str">
        <f>_xll.PLContribFull(K3*100,"ASK",U3,"Slot46","TICKER",3,,"Valid")</f>
        <v>0.560 (12:14:42.766166)</v>
      </c>
      <c r="X3" s="15" t="s">
        <v>36</v>
      </c>
      <c r="Y3" s="14" t="str">
        <f>_xll.PLContribFull(E3*100,"BID",X3,"Slot46","TICKER",3,,"Valid")</f>
        <v>-0.500 (12:14:42.762166)</v>
      </c>
      <c r="Z3" s="14" t="str">
        <f>_xll.PLContribFull(L3*100,"ASK",X3,"Slot46","TICKER",3,,"Valid")</f>
        <v>0.700 (12:14:42.742167)</v>
      </c>
      <c r="AA3" s="3" t="s">
        <v>56</v>
      </c>
      <c r="AB3" s="14" t="str">
        <f>_xll.PLContribFull(F3*100,"BID",AA3,"Slot46","TICKER",3,,"Valid")</f>
        <v>-0.860 (12:14:42.773167)</v>
      </c>
      <c r="AC3" s="5" t="str">
        <f>_xll.PLContribFull(M3*100,"ASK",AA3,"Slot46","TICKER",3,,"Valid")</f>
        <v>1.540 (12:14:42.760167)</v>
      </c>
      <c r="AD3" s="16"/>
    </row>
    <row r="4" spans="1:30" x14ac:dyDescent="0.2">
      <c r="A4" s="12" t="s">
        <v>6</v>
      </c>
      <c r="B4" s="11">
        <f>'G7 Input'!Q3</f>
        <v>5.7099999999999998E-2</v>
      </c>
      <c r="C4" s="11">
        <f>'G7 Input'!R3</f>
        <v>-6.0999999999999995E-3</v>
      </c>
      <c r="D4" s="11">
        <f>'G7 Input'!S3</f>
        <v>-1.3100000000000001E-2</v>
      </c>
      <c r="E4" s="11">
        <f>'G7 Input'!T3</f>
        <v>-1.3000000000000002E-3</v>
      </c>
      <c r="F4" s="11">
        <f>'G7 Input'!U3</f>
        <v>-7.000000000000001E-4</v>
      </c>
      <c r="H4" s="10" t="s">
        <v>6</v>
      </c>
      <c r="I4" s="11">
        <f>'G7 Input'!X3</f>
        <v>6.3899999999999998E-2</v>
      </c>
      <c r="J4" s="11">
        <f>'G7 Input'!Y3</f>
        <v>-1.0999999999999998E-3</v>
      </c>
      <c r="K4" s="11">
        <f>'G7 Input'!Z3</f>
        <v>-3.1000000000000012E-3</v>
      </c>
      <c r="L4" s="11">
        <f>'G7 Input'!AA3</f>
        <v>3.7000000000000002E-3</v>
      </c>
      <c r="M4" s="11">
        <f>'G7 Input'!AB3</f>
        <v>9.2999999999999992E-3</v>
      </c>
      <c r="O4" s="3" t="s">
        <v>18</v>
      </c>
      <c r="P4" s="14" t="str">
        <f>_xll.PLContribFull(B4*100,"BID",O4,"Slot46","TICKER",3,,"Valid")</f>
        <v>5.710 (12:14:42.762166)</v>
      </c>
      <c r="Q4" s="5" t="str">
        <f>_xll.PLContribFull(I4*100,"ASK",O4,"Slot46","TICKER",3,,"Valid")</f>
        <v>6.390 (12:14:42.760167)</v>
      </c>
      <c r="R4" s="15" t="s">
        <v>28</v>
      </c>
      <c r="S4" s="14" t="str">
        <f>_xll.PLContribFull(C4*100,"BID",R4,"Slot46","TICKER",3,,"Valid")</f>
        <v>-0.610 (12:14:42.778167)</v>
      </c>
      <c r="T4" s="14" t="str">
        <f>_xll.PLContribFull(J4*100,"ASK",R4,"Slot46","TICKER",3,,"Valid")</f>
        <v>-0.110 (12:14:42.767165)</v>
      </c>
      <c r="U4" s="3" t="s">
        <v>47</v>
      </c>
      <c r="V4" s="14" t="str">
        <f>_xll.PLContribFull(D4*100,"BID",U4,"Slot46","TICKER",3,,"Valid")</f>
        <v>-1.310 (12:14:42.766166)</v>
      </c>
      <c r="W4" s="5" t="str">
        <f>_xll.PLContribFull(K4*100,"ASK",U4,"Slot46","TICKER",3,,"Valid")</f>
        <v>-0.310 (12:14:42.764166)</v>
      </c>
      <c r="X4" s="15" t="s">
        <v>37</v>
      </c>
      <c r="Y4" s="14" t="str">
        <f>_xll.PLContribFull(E4*100,"BID",X4,"Slot46","TICKER",3,,"Valid")</f>
        <v>-0.130 (12:14:42.753167)</v>
      </c>
      <c r="Z4" s="14" t="str">
        <f>_xll.PLContribFull(L4*100,"ASK",X4,"Slot46","TICKER",3,,"Valid")</f>
        <v>0.370 (12:14:42.762166)</v>
      </c>
      <c r="AA4" s="3" t="s">
        <v>57</v>
      </c>
      <c r="AB4" s="14" t="str">
        <f>_xll.PLContribFull(F4*100,"BID",AA4,"Slot46","TICKER",3,,"Valid")</f>
        <v>-0.070 (12:14:42.751168)</v>
      </c>
      <c r="AC4" s="5" t="str">
        <f>_xll.PLContribFull(M4*100,"ASK",AA4,"Slot46","TICKER",3,,"Valid")</f>
        <v>0.930 (12:14:42.771168)</v>
      </c>
      <c r="AD4" s="16"/>
    </row>
    <row r="5" spans="1:30" x14ac:dyDescent="0.2">
      <c r="A5" s="12" t="s">
        <v>7</v>
      </c>
      <c r="B5" s="11">
        <f>'G7 Input'!Q4</f>
        <v>6.225E-2</v>
      </c>
      <c r="C5" s="11">
        <f>'G7 Input'!R4</f>
        <v>-5.5999999999999991E-3</v>
      </c>
      <c r="D5" s="11">
        <f>'G7 Input'!S4</f>
        <v>-1.2E-2</v>
      </c>
      <c r="E5" s="11">
        <f>'G7 Input'!T4</f>
        <v>-2.0000000000000009E-4</v>
      </c>
      <c r="F5" s="11">
        <f>'G7 Input'!U4</f>
        <v>1.6999999999999993E-3</v>
      </c>
      <c r="H5" s="10" t="s">
        <v>7</v>
      </c>
      <c r="I5" s="11">
        <f>'G7 Input'!X4</f>
        <v>6.7549999999999999E-2</v>
      </c>
      <c r="J5" s="11">
        <f>'G7 Input'!Y4</f>
        <v>-2.5999999999999994E-3</v>
      </c>
      <c r="K5" s="11">
        <f>'G7 Input'!Z4</f>
        <v>-6.000000000000001E-3</v>
      </c>
      <c r="L5" s="11">
        <f>'G7 Input'!AA4</f>
        <v>2.8E-3</v>
      </c>
      <c r="M5" s="11">
        <f>'G7 Input'!AB4</f>
        <v>7.6999999999999994E-3</v>
      </c>
      <c r="O5" s="3" t="s">
        <v>19</v>
      </c>
      <c r="P5" s="14" t="str">
        <f>_xll.PLContribFull(B5*100,"BID",O5,"Slot46","TICKER",3,,"Valid")</f>
        <v>6.225 (12:14:42.770167)</v>
      </c>
      <c r="Q5" s="5" t="str">
        <f>_xll.PLContribFull(I5*100,"ASK",O5,"Slot46","TICKER",3,,"Valid")</f>
        <v>6.755 (12:14:42.761166)</v>
      </c>
      <c r="R5" s="15" t="s">
        <v>29</v>
      </c>
      <c r="S5" s="14" t="str">
        <f>_xll.PLContribFull(C5*100,"BID",R5,"Slot46","TICKER",3,,"Valid")</f>
        <v>-0.560 (12:14:42.769168)</v>
      </c>
      <c r="T5" s="14" t="str">
        <f>_xll.PLContribFull(J5*100,"ASK",R5,"Slot46","TICKER",3,,"Valid")</f>
        <v>-0.260 (12:14:42.774166)</v>
      </c>
      <c r="U5" s="3" t="s">
        <v>48</v>
      </c>
      <c r="V5" s="14" t="str">
        <f>_xll.PLContribFull(D5*100,"BID",U5,"Slot46","TICKER",3,,"Valid")</f>
        <v>-1.200 (12:14:42.776167)</v>
      </c>
      <c r="W5" s="5" t="str">
        <f>_xll.PLContribFull(K5*100,"ASK",U5,"Slot46","TICKER",3,,"Valid")</f>
        <v>-0.600 (12:14:42.763166)</v>
      </c>
      <c r="X5" s="15" t="s">
        <v>38</v>
      </c>
      <c r="Y5" s="14" t="str">
        <f>_xll.PLContribFull(E5*100,"BID",X5,"Slot46","TICKER",3,,"Valid")</f>
        <v>-0.020 (12:14:42.764166)</v>
      </c>
      <c r="Z5" s="14" t="str">
        <f>_xll.PLContribFull(L5*100,"ASK",X5,"Slot46","TICKER",3,,"Valid")</f>
        <v>0.280 (12:14:42.762166)</v>
      </c>
      <c r="AA5" s="3" t="s">
        <v>58</v>
      </c>
      <c r="AB5" s="14" t="str">
        <f>_xll.PLContribFull(F5*100,"BID",AA5,"Slot46","TICKER",3,,"Valid")</f>
        <v>0.170 (12:14:42.761166)</v>
      </c>
      <c r="AC5" s="5" t="str">
        <f>_xll.PLContribFull(M5*100,"ASK",AA5,"Slot46","TICKER",3,,"Valid")</f>
        <v>0.770 (12:14:42.761166)</v>
      </c>
      <c r="AD5" s="16"/>
    </row>
    <row r="6" spans="1:30" x14ac:dyDescent="0.2">
      <c r="A6" s="12" t="s">
        <v>8</v>
      </c>
      <c r="B6" s="11">
        <f>'G7 Input'!Q5</f>
        <v>6.6299999999999998E-2</v>
      </c>
      <c r="C6" s="11">
        <f>'G7 Input'!R5</f>
        <v>-5.8999999999999999E-3</v>
      </c>
      <c r="D6" s="11">
        <f>'G7 Input'!S5</f>
        <v>-1.2E-2</v>
      </c>
      <c r="E6" s="11">
        <f>'G7 Input'!T5</f>
        <v>4.0000000000000018E-4</v>
      </c>
      <c r="F6" s="11">
        <f>'G7 Input'!U5</f>
        <v>3.1000000000000003E-3</v>
      </c>
      <c r="H6" s="10" t="s">
        <v>8</v>
      </c>
      <c r="I6" s="11">
        <f>'G7 Input'!X5</f>
        <v>6.9700000000000012E-2</v>
      </c>
      <c r="J6" s="11">
        <f>'G7 Input'!Y5</f>
        <v>-3.8999999999999998E-3</v>
      </c>
      <c r="K6" s="11">
        <f>'G7 Input'!Z5</f>
        <v>-8.0000000000000002E-3</v>
      </c>
      <c r="L6" s="11">
        <f>'G7 Input'!AA5</f>
        <v>2.4000000000000002E-3</v>
      </c>
      <c r="M6" s="11">
        <f>'G7 Input'!AB5</f>
        <v>7.1000000000000004E-3</v>
      </c>
      <c r="O6" s="3" t="s">
        <v>20</v>
      </c>
      <c r="P6" s="14" t="str">
        <f>_xll.PLContribFull(B6*100,"BID",O6,"Slot46","TICKER",3,,"Valid")</f>
        <v>6.630 (12:14:42.770167)</v>
      </c>
      <c r="Q6" s="5" t="str">
        <f>_xll.PLContribFull(I6*100,"ASK",O6,"Slot46","TICKER",3,,"Valid")</f>
        <v>6.970 (12:14:42.770167)</v>
      </c>
      <c r="R6" s="15" t="s">
        <v>30</v>
      </c>
      <c r="S6" s="14" t="str">
        <f>_xll.PLContribFull(C6*100,"BID",R6,"Slot46","TICKER",3,,"Valid")</f>
        <v>-0.590 (12:14:42.761166)</v>
      </c>
      <c r="T6" s="14" t="str">
        <f>_xll.PLContribFull(J6*100,"ASK",R6,"Slot46","TICKER",3,,"Valid")</f>
        <v>-0.390 (12:14:42.774166)</v>
      </c>
      <c r="U6" s="3" t="s">
        <v>49</v>
      </c>
      <c r="V6" s="14" t="str">
        <f>_xll.PLContribFull(D6*100,"BID",U6,"Slot46","TICKER",3,,"Valid")</f>
        <v>-1.200 (12:14:42.776167)</v>
      </c>
      <c r="W6" s="5" t="str">
        <f>_xll.PLContribFull(K6*100,"ASK",U6,"Slot46","TICKER",3,,"Valid")</f>
        <v>-0.800 (12:14:42.763166)</v>
      </c>
      <c r="X6" s="15" t="s">
        <v>39</v>
      </c>
      <c r="Y6" s="14" t="str">
        <f>_xll.PLContribFull(E6*100,"BID",X6,"Slot46","TICKER",3,,"Valid")</f>
        <v>0.040 (12:14:42.753167)</v>
      </c>
      <c r="Z6" s="14" t="str">
        <f>_xll.PLContribFull(L6*100,"ASK",X6,"Slot46","TICKER",3,,"Valid")</f>
        <v>0.240 (12:14:42.770167)</v>
      </c>
      <c r="AA6" s="3" t="s">
        <v>59</v>
      </c>
      <c r="AB6" s="14" t="str">
        <f>_xll.PLContribFull(F6*100,"BID",AA6,"Slot46","TICKER",3,,"Valid")</f>
        <v>0.310 (12:14:42.755167)</v>
      </c>
      <c r="AC6" s="5" t="str">
        <f>_xll.PLContribFull(M6*100,"ASK",AA6,"Slot46","TICKER",3,,"Valid")</f>
        <v>0.710 (12:14:42.777166)</v>
      </c>
      <c r="AD6" s="16"/>
    </row>
    <row r="7" spans="1:30" x14ac:dyDescent="0.2">
      <c r="A7" s="12" t="s">
        <v>9</v>
      </c>
      <c r="B7" s="11">
        <f>'G7 Input'!Q6</f>
        <v>6.8700000000000011E-2</v>
      </c>
      <c r="C7" s="11">
        <f>'G7 Input'!R6</f>
        <v>-6.6000000000000008E-3</v>
      </c>
      <c r="D7" s="11">
        <f>'G7 Input'!S6</f>
        <v>-1.3699999999999999E-2</v>
      </c>
      <c r="E7" s="11">
        <f>'G7 Input'!T6</f>
        <v>7.000000000000001E-4</v>
      </c>
      <c r="F7" s="11">
        <f>'G7 Input'!U6</f>
        <v>4.0000000000000001E-3</v>
      </c>
      <c r="H7" s="10" t="s">
        <v>9</v>
      </c>
      <c r="I7" s="11">
        <f>'G7 Input'!X6</f>
        <v>7.2099999999999997E-2</v>
      </c>
      <c r="J7" s="11">
        <f>'G7 Input'!Y6</f>
        <v>-4.6000000000000008E-3</v>
      </c>
      <c r="K7" s="11">
        <f>'G7 Input'!Z6</f>
        <v>-9.6999999999999986E-3</v>
      </c>
      <c r="L7" s="11">
        <f>'G7 Input'!AA6</f>
        <v>2.7000000000000001E-3</v>
      </c>
      <c r="M7" s="11">
        <f>'G7 Input'!AB6</f>
        <v>8.0000000000000002E-3</v>
      </c>
      <c r="O7" s="3" t="s">
        <v>21</v>
      </c>
      <c r="P7" s="14" t="str">
        <f>_xll.PLContribFull(B7*100,"BID",O7,"Slot46","TICKER",3,,"Valid")</f>
        <v>6.870 (12:14:42.759166)</v>
      </c>
      <c r="Q7" s="5" t="str">
        <f>_xll.PLContribFull(I7*100,"ASK",O7,"Slot46","TICKER",3,,"Valid")</f>
        <v>7.210 (12:14:42.768166)</v>
      </c>
      <c r="R7" s="15" t="s">
        <v>31</v>
      </c>
      <c r="S7" s="14" t="str">
        <f>_xll.PLContribFull(C7*100,"BID",R7,"Slot46","TICKER",3,,"Valid")</f>
        <v>-0.660 (12:14:42.764166)</v>
      </c>
      <c r="T7" s="14" t="str">
        <f>_xll.PLContribFull(J7*100,"ASK",R7,"Slot46","TICKER",3,,"Valid")</f>
        <v>-0.460 (12:14:42.767165)</v>
      </c>
      <c r="U7" s="3" t="s">
        <v>50</v>
      </c>
      <c r="V7" s="14" t="str">
        <f>_xll.PLContribFull(D7*100,"BID",U7,"Slot46","TICKER",3,,"Valid")</f>
        <v>-1.370 (12:14:42.770167)</v>
      </c>
      <c r="W7" s="5" t="str">
        <f>_xll.PLContribFull(K7*100,"ASK",U7,"Slot46","TICKER",3,,"Valid")</f>
        <v>-0.970 (12:14:42.767165)</v>
      </c>
      <c r="X7" s="15" t="s">
        <v>40</v>
      </c>
      <c r="Y7" s="14" t="str">
        <f>_xll.PLContribFull(E7*100,"BID",X7,"Slot46","TICKER",3,,"Valid")</f>
        <v>0.070 (12:14:42.762166)</v>
      </c>
      <c r="Z7" s="14" t="str">
        <f>_xll.PLContribFull(L7*100,"ASK",X7,"Slot46","TICKER",3,,"Valid")</f>
        <v>0.270 (12:14:42.763166)</v>
      </c>
      <c r="AA7" s="3" t="s">
        <v>60</v>
      </c>
      <c r="AB7" s="14" t="str">
        <f>_xll.PLContribFull(F7*100,"BID",AA7,"Slot46","TICKER",3,,"Valid")</f>
        <v>0.400 (12:14:42.762166)</v>
      </c>
      <c r="AC7" s="5" t="str">
        <f>_xll.PLContribFull(M7*100,"ASK",AA7,"Slot46","TICKER",3,,"Valid")</f>
        <v>0.800 (12:14:42.756167)</v>
      </c>
      <c r="AD7" s="16"/>
    </row>
    <row r="8" spans="1:30" x14ac:dyDescent="0.2">
      <c r="A8" s="12" t="s">
        <v>10</v>
      </c>
      <c r="B8" s="11">
        <f>'G7 Input'!Q7</f>
        <v>7.0300000000000001E-2</v>
      </c>
      <c r="C8" s="11">
        <f>'G7 Input'!R7</f>
        <v>-7.1999999999999998E-3</v>
      </c>
      <c r="D8" s="11">
        <f>'G7 Input'!S7</f>
        <v>-1.52E-2</v>
      </c>
      <c r="E8" s="11">
        <f>'G7 Input'!T7</f>
        <v>1E-3</v>
      </c>
      <c r="F8" s="11">
        <f>'G7 Input'!U7</f>
        <v>4.8999999999999998E-3</v>
      </c>
      <c r="H8" s="10" t="s">
        <v>10</v>
      </c>
      <c r="I8" s="11">
        <f>'G7 Input'!X7</f>
        <v>7.3700000000000015E-2</v>
      </c>
      <c r="J8" s="11">
        <f>'G7 Input'!Y7</f>
        <v>-5.1999999999999998E-3</v>
      </c>
      <c r="K8" s="11">
        <f>'G7 Input'!Z7</f>
        <v>-1.12E-2</v>
      </c>
      <c r="L8" s="11">
        <f>'G7 Input'!AA7</f>
        <v>3.0000000000000001E-3</v>
      </c>
      <c r="M8" s="11">
        <f>'G7 Input'!AB7</f>
        <v>8.8999999999999999E-3</v>
      </c>
      <c r="O8" s="3" t="s">
        <v>22</v>
      </c>
      <c r="P8" s="14" t="str">
        <f>_xll.PLContribFull(B8*100,"BID",O8,"Slot46","TICKER",3,,"Valid")</f>
        <v>7.030 (12:14:42.768166)</v>
      </c>
      <c r="Q8" s="5" t="str">
        <f>_xll.PLContribFull(I8*100,"ASK",O8,"Slot46","TICKER",3,,"Valid")</f>
        <v>7.370 (12:14:42.763166)</v>
      </c>
      <c r="R8" s="15" t="s">
        <v>32</v>
      </c>
      <c r="S8" s="14" t="str">
        <f>_xll.PLContribFull(C8*100,"BID",R8,"Slot46","TICKER",3,,"Valid")</f>
        <v>-0.720 (12:14:42.767165)</v>
      </c>
      <c r="T8" s="14" t="str">
        <f>_xll.PLContribFull(J8*100,"ASK",R8,"Slot46","TICKER",3,,"Valid")</f>
        <v>-0.520 (12:14:42.770167)</v>
      </c>
      <c r="U8" s="3" t="s">
        <v>51</v>
      </c>
      <c r="V8" s="14" t="str">
        <f>_xll.PLContribFull(D8*100,"BID",U8,"Slot46","TICKER",3,,"Valid")</f>
        <v>-1.520 (12:14:42.763166)</v>
      </c>
      <c r="W8" s="5" t="str">
        <f>_xll.PLContribFull(K8*100,"ASK",U8,"Slot46","TICKER",3,,"Valid")</f>
        <v>-1.120 (12:14:42.764166)</v>
      </c>
      <c r="X8" s="15" t="s">
        <v>41</v>
      </c>
      <c r="Y8" s="14" t="str">
        <f>_xll.PLContribFull(E8*100,"BID",X8,"Slot46","TICKER",3,,"Valid")</f>
        <v>0.100 (12:14:42.778167)</v>
      </c>
      <c r="Z8" s="14" t="str">
        <f>_xll.PLContribFull(L8*100,"ASK",X8,"Slot46","TICKER",3,,"Valid")</f>
        <v>0.300 (12:14:42.753167)</v>
      </c>
      <c r="AA8" s="3" t="s">
        <v>61</v>
      </c>
      <c r="AB8" s="14" t="str">
        <f>_xll.PLContribFull(F8*100,"BID",AA8,"Slot46","TICKER",3,,"Valid")</f>
        <v>0.490 (12:14:42.749167)</v>
      </c>
      <c r="AC8" s="5" t="str">
        <f>_xll.PLContribFull(M8*100,"ASK",AA8,"Slot46","TICKER",3,,"Valid")</f>
        <v>0.890 (12:14:42.769168)</v>
      </c>
      <c r="AD8" s="16"/>
    </row>
    <row r="9" spans="1:30" x14ac:dyDescent="0.2">
      <c r="A9" s="12" t="s">
        <v>11</v>
      </c>
      <c r="B9" s="11">
        <f>'G7 Input'!Q8</f>
        <v>7.3849999999999999E-2</v>
      </c>
      <c r="C9" s="11">
        <f>'G7 Input'!R8</f>
        <v>-8.5000000000000006E-3</v>
      </c>
      <c r="D9" s="11">
        <f>'G7 Input'!S8</f>
        <v>-1.7899999999999999E-2</v>
      </c>
      <c r="E9" s="11">
        <f>'G7 Input'!T8</f>
        <v>1.2000000000000001E-3</v>
      </c>
      <c r="F9" s="11">
        <f>'G7 Input'!U8</f>
        <v>5.7000000000000002E-3</v>
      </c>
      <c r="H9" s="10" t="s">
        <v>11</v>
      </c>
      <c r="I9" s="11">
        <f>'G7 Input'!X8</f>
        <v>7.7149999999999996E-2</v>
      </c>
      <c r="J9" s="11">
        <f>'G7 Input'!Y8</f>
        <v>-6.4999999999999997E-3</v>
      </c>
      <c r="K9" s="11">
        <f>'G7 Input'!Z8</f>
        <v>-1.3900000000000001E-2</v>
      </c>
      <c r="L9" s="11">
        <f>'G7 Input'!AA8</f>
        <v>3.2000000000000002E-3</v>
      </c>
      <c r="M9" s="11">
        <f>'G7 Input'!AB8</f>
        <v>9.7000000000000003E-3</v>
      </c>
      <c r="O9" s="3" t="s">
        <v>23</v>
      </c>
      <c r="P9" s="14" t="str">
        <f>_xll.PLContribFull(B9*100,"BID",O9,"Slot46","TICKER",3,,"Valid")</f>
        <v>7.385 (12:14:42.759166)</v>
      </c>
      <c r="Q9" s="5" t="str">
        <f>_xll.PLContribFull(I9*100,"ASK",O9,"Slot46","TICKER",3,,"Valid")</f>
        <v>7.715 (12:14:42.768166)</v>
      </c>
      <c r="R9" s="15" t="s">
        <v>33</v>
      </c>
      <c r="S9" s="14" t="str">
        <f>_xll.PLContribFull(C9*100,"BID",R9,"Slot46","TICKER",3,,"Valid")</f>
        <v>-0.850 (12:14:42.771168)</v>
      </c>
      <c r="T9" s="14" t="str">
        <f>_xll.PLContribFull(J9*100,"ASK",R9,"Slot46","TICKER",3,,"Valid")</f>
        <v>-0.650 (12:14:42.774166)</v>
      </c>
      <c r="U9" s="3" t="s">
        <v>52</v>
      </c>
      <c r="V9" s="14" t="str">
        <f>_xll.PLContribFull(D9*100,"BID",U9,"Slot46","TICKER",3,,"Valid")</f>
        <v>-1.790 (12:14:42.742167)</v>
      </c>
      <c r="W9" s="5" t="str">
        <f>_xll.PLContribFull(K9*100,"ASK",U9,"Slot46","TICKER",3,,"Valid")</f>
        <v>-1.390 (12:14:42.773167)</v>
      </c>
      <c r="X9" s="15" t="s">
        <v>42</v>
      </c>
      <c r="Y9" s="14" t="str">
        <f>_xll.PLContribFull(E9*100,"BID",X9,"Slot46","TICKER",3,,"Valid")</f>
        <v>0.120 (12:14:42.770167)</v>
      </c>
      <c r="Z9" s="14" t="str">
        <f>_xll.PLContribFull(L9*100,"ASK",X9,"Slot46","TICKER",3,,"Valid")</f>
        <v>0.320 (12:14:42.767165)</v>
      </c>
      <c r="AA9" s="3" t="s">
        <v>62</v>
      </c>
      <c r="AB9" s="14" t="str">
        <f>_xll.PLContribFull(F9*100,"BID",AA9,"Slot46","TICKER",3,,"Valid")</f>
        <v>0.570 (12:14:42.750168)</v>
      </c>
      <c r="AC9" s="5" t="str">
        <f>_xll.PLContribFull(M9*100,"ASK",AA9,"Slot46","TICKER",3,,"Valid")</f>
        <v>0.970 (12:14:42.774166)</v>
      </c>
      <c r="AD9" s="16"/>
    </row>
    <row r="10" spans="1:30" x14ac:dyDescent="0.2">
      <c r="A10" s="12" t="s">
        <v>12</v>
      </c>
      <c r="B10" s="11">
        <f>'G7 Input'!Q9</f>
        <v>7.7449999999999991E-2</v>
      </c>
      <c r="C10" s="11">
        <f>'G7 Input'!R9</f>
        <v>-9.5000000000000015E-3</v>
      </c>
      <c r="D10" s="11">
        <f>'G7 Input'!S9</f>
        <v>-2.01E-2</v>
      </c>
      <c r="E10" s="11">
        <f>'G7 Input'!T9</f>
        <v>1.5E-3</v>
      </c>
      <c r="F10" s="11">
        <f>'G7 Input'!U9</f>
        <v>7.000000000000001E-3</v>
      </c>
      <c r="H10" s="10" t="s">
        <v>12</v>
      </c>
      <c r="I10" s="11">
        <f>'G7 Input'!X9</f>
        <v>8.0749999999999988E-2</v>
      </c>
      <c r="J10" s="11">
        <f>'G7 Input'!Y9</f>
        <v>-7.5000000000000006E-3</v>
      </c>
      <c r="K10" s="11">
        <f>'G7 Input'!Z9</f>
        <v>-1.6100000000000003E-2</v>
      </c>
      <c r="L10" s="11">
        <f>'G7 Input'!AA9</f>
        <v>3.5000000000000001E-3</v>
      </c>
      <c r="M10" s="11">
        <f>'G7 Input'!AB9</f>
        <v>1.1000000000000001E-2</v>
      </c>
      <c r="O10" s="3" t="s">
        <v>24</v>
      </c>
      <c r="P10" s="14" t="str">
        <f>_xll.PLContribFull(B10*100,"BID",O10,"Slot46","TICKER",3,,"Valid")</f>
        <v>7.745 (12:14:42.764166)</v>
      </c>
      <c r="Q10" s="5" t="str">
        <f>_xll.PLContribFull(I10*100,"ASK",O10,"Slot46","TICKER",3,,"Valid")</f>
        <v>8.075 (12:14:42.767165)</v>
      </c>
      <c r="R10" s="15" t="s">
        <v>34</v>
      </c>
      <c r="S10" s="14" t="str">
        <f>_xll.PLContribFull(C10*100,"BID",R10,"Slot46","TICKER",3,,"Valid")</f>
        <v>-0.950 (12:14:42.742167)</v>
      </c>
      <c r="T10" s="14" t="str">
        <f>_xll.PLContribFull(J10*100,"ASK",R10,"Slot46","TICKER",3,,"Valid")</f>
        <v>-0.750 (12:14:42.764166)</v>
      </c>
      <c r="U10" s="3" t="s">
        <v>53</v>
      </c>
      <c r="V10" s="14" t="str">
        <f>_xll.PLContribFull(D10*100,"BID",U10,"Slot46","TICKER",3,,"Valid")</f>
        <v>-2.010 (12:14:42.778167)</v>
      </c>
      <c r="W10" s="5" t="str">
        <f>_xll.PLContribFull(K10*100,"ASK",U10,"Slot46","TICKER",3,,"Valid")</f>
        <v>-1.610 (12:14:42.745167)</v>
      </c>
      <c r="X10" s="15" t="s">
        <v>43</v>
      </c>
      <c r="Y10" s="14" t="str">
        <f>_xll.PLContribFull(E10*100,"BID",X10,"Slot46","TICKER",3,,"Valid")</f>
        <v>0.150 (12:14:42.740168)</v>
      </c>
      <c r="Z10" s="14" t="str">
        <f>_xll.PLContribFull(L10*100,"ASK",X10,"Slot46","TICKER",3,,"Valid")</f>
        <v>0.350 (12:14:42.764166)</v>
      </c>
      <c r="AA10" s="3" t="s">
        <v>63</v>
      </c>
      <c r="AB10" s="14" t="str">
        <f>_xll.PLContribFull(F10*100,"BID",AA10,"Slot46","TICKER",3,,"Valid")</f>
        <v>0.700 (12:14:42.764166)</v>
      </c>
      <c r="AC10" s="5" t="str">
        <f>_xll.PLContribFull(M10*100,"ASK",AA10,"Slot46","TICKER",3,,"Valid")</f>
        <v>1.100 (12:14:42.770167)</v>
      </c>
      <c r="AD10" s="16"/>
    </row>
    <row r="11" spans="1:30" x14ac:dyDescent="0.2">
      <c r="A11" s="12" t="s">
        <v>13</v>
      </c>
      <c r="B11" s="11">
        <f>'G7 Input'!Q10</f>
        <v>8.0449999999999994E-2</v>
      </c>
      <c r="C11" s="11">
        <f>'G7 Input'!R10</f>
        <v>-1.0499999999999999E-2</v>
      </c>
      <c r="D11" s="11">
        <f>'G7 Input'!S10</f>
        <v>-2.2199999999999998E-2</v>
      </c>
      <c r="E11" s="11">
        <f>'G7 Input'!T10</f>
        <v>1.8999999999999998E-3</v>
      </c>
      <c r="F11" s="11">
        <f>'G7 Input'!U10</f>
        <v>8.3000000000000001E-3</v>
      </c>
      <c r="H11" s="10" t="s">
        <v>13</v>
      </c>
      <c r="I11" s="11">
        <f>'G7 Input'!X10</f>
        <v>8.3949999999999997E-2</v>
      </c>
      <c r="J11" s="11">
        <f>'G7 Input'!Y10</f>
        <v>-8.5000000000000006E-3</v>
      </c>
      <c r="K11" s="11">
        <f>'G7 Input'!Z10</f>
        <v>-1.8200000000000001E-2</v>
      </c>
      <c r="L11" s="11">
        <f>'G7 Input'!AA10</f>
        <v>3.8999999999999998E-3</v>
      </c>
      <c r="M11" s="11">
        <f>'G7 Input'!AB10</f>
        <v>1.23E-2</v>
      </c>
      <c r="O11" s="3" t="s">
        <v>25</v>
      </c>
      <c r="P11" s="14" t="str">
        <f>_xll.PLContribFull(B11*100,"BID",O11,"Slot46","TICKER",3,,"Valid")</f>
        <v>8.045 (12:14:42.774166)</v>
      </c>
      <c r="Q11" s="5" t="str">
        <f>_xll.PLContribFull(I11*100,"ASK",O11,"Slot46","TICKER",3,,"Valid")</f>
        <v>8.395 (12:14:42.766166)</v>
      </c>
      <c r="R11" s="15" t="s">
        <v>35</v>
      </c>
      <c r="S11" s="14" t="str">
        <f>_xll.PLContribFull(C11*100,"BID",R11,"Slot46","TICKER",3,,"Valid")</f>
        <v>-1.050 (12:14:42.774166)</v>
      </c>
      <c r="T11" s="14" t="str">
        <f>_xll.PLContribFull(J11*100,"ASK",R11,"Slot46","TICKER",3,,"Valid")</f>
        <v>-0.850 (12:14:42.769168)</v>
      </c>
      <c r="U11" s="3" t="s">
        <v>54</v>
      </c>
      <c r="V11" s="14" t="str">
        <f>_xll.PLContribFull(D11*100,"BID",U11,"Slot46","TICKER",3,,"Valid")</f>
        <v>-2.220 (12:14:42.758167)</v>
      </c>
      <c r="W11" s="5" t="str">
        <f>_xll.PLContribFull(K11*100,"ASK",U11,"Slot46","TICKER",3,,"Valid")</f>
        <v>-1.820 (12:14:42.742167)</v>
      </c>
      <c r="X11" s="15" t="s">
        <v>44</v>
      </c>
      <c r="Y11" s="14" t="str">
        <f>_xll.PLContribFull(E11*100,"BID",X11,"Slot46","TICKER",3,,"Valid")</f>
        <v>0.190 (12:14:42.762166)</v>
      </c>
      <c r="Z11" s="14" t="str">
        <f>_xll.PLContribFull(L11*100,"ASK",X11,"Slot46","TICKER",3,,"Valid")</f>
        <v>0.390 (12:14:42.776167)</v>
      </c>
      <c r="AA11" s="3" t="s">
        <v>64</v>
      </c>
      <c r="AB11" s="14" t="str">
        <f>_xll.PLContribFull(F11*100,"BID",AA11,"Slot46","TICKER",3,,"Valid")</f>
        <v>0.830 (12:14:42.759166)</v>
      </c>
      <c r="AC11" s="5" t="str">
        <f>_xll.PLContribFull(M11*100,"ASK",AA11,"Slot46","TICKER",3,,"Valid")</f>
        <v>1.230 (12:14:42.765166)</v>
      </c>
      <c r="AD11" s="16"/>
    </row>
    <row r="12" spans="1:30" x14ac:dyDescent="0.2">
      <c r="A12" s="12" t="s">
        <v>14</v>
      </c>
      <c r="B12" s="11">
        <f>'G7 Input'!Q11</f>
        <v>8.4499999999999992E-2</v>
      </c>
      <c r="C12" s="11">
        <f>'G7 Input'!R11</f>
        <v>-1.2699999999999999E-2</v>
      </c>
      <c r="D12" s="11">
        <f>'G7 Input'!S11</f>
        <v>-2.6300000000000004E-2</v>
      </c>
      <c r="E12" s="11">
        <f>'G7 Input'!T11</f>
        <v>2.9000000000000002E-3</v>
      </c>
      <c r="F12" s="11">
        <f>'G7 Input'!U11</f>
        <v>1.12E-2</v>
      </c>
      <c r="H12" s="10" t="s">
        <v>14</v>
      </c>
      <c r="I12" s="11">
        <f>'G7 Input'!X11</f>
        <v>8.8499999999999995E-2</v>
      </c>
      <c r="J12" s="11">
        <f>'G7 Input'!Y11</f>
        <v>-1.0699999999999998E-2</v>
      </c>
      <c r="K12" s="11">
        <f>'G7 Input'!Z11</f>
        <v>-2.23E-2</v>
      </c>
      <c r="L12" s="11">
        <f>'G7 Input'!AA11</f>
        <v>4.8999999999999998E-3</v>
      </c>
      <c r="M12" s="11">
        <f>'G7 Input'!AB11</f>
        <v>1.52E-2</v>
      </c>
      <c r="O12" s="3" t="s">
        <v>26</v>
      </c>
      <c r="P12" s="14" t="str">
        <f>_xll.PLContribFull(B12*100,"BID",O12,"Slot46","TICKER",3,,"Valid")</f>
        <v>8.450 (12:14:42.769168)</v>
      </c>
      <c r="Q12" s="5" t="str">
        <f>_xll.PLContribFull(I12*100,"ASK",O12,"Slot46","TICKER",3,,"Valid")</f>
        <v>8.850 (12:14:42.777166)</v>
      </c>
      <c r="R12" s="15" t="s">
        <v>364</v>
      </c>
      <c r="S12" s="14" t="str">
        <f>_xll.PLContribFull(C12*100,"BID",R12,"Slot46","TICKER",3,,"Valid")</f>
        <v>-1.270 (12:14:42.765166)</v>
      </c>
      <c r="T12" s="14" t="str">
        <f>_xll.PLContribFull(J12*100,"ASK",R12,"Slot46","TICKER",3,,"Valid")</f>
        <v>-1.070 (12:14:42.772166)</v>
      </c>
      <c r="U12" s="3" t="s">
        <v>55</v>
      </c>
      <c r="V12" s="14" t="str">
        <f>_xll.PLContribFull(D12*100,"BID",U12,"Slot46","TICKER",3,,"Valid")</f>
        <v>-2.630 (12:14:42.773167)</v>
      </c>
      <c r="W12" s="5" t="str">
        <f>_xll.PLContribFull(K12*100,"ASK",U12,"Slot46","TICKER",3,,"Valid")</f>
        <v>-2.230 (12:14:42.771168)</v>
      </c>
      <c r="X12" s="15" t="s">
        <v>45</v>
      </c>
      <c r="Y12" s="14" t="str">
        <f>_xll.PLContribFull(E12*100,"BID",X12,"Slot46","TICKER",3,,"Valid")</f>
        <v>0.290 (12:14:42.763166)</v>
      </c>
      <c r="Z12" s="14" t="str">
        <f>_xll.PLContribFull(L12*100,"ASK",X12,"Slot46","TICKER",3,,"Valid")</f>
        <v>0.490 (12:14:42.771168)</v>
      </c>
      <c r="AA12" s="3" t="s">
        <v>65</v>
      </c>
      <c r="AB12" s="14" t="str">
        <f>_xll.PLContribFull(F12*100,"BID",AA12,"Slot46","TICKER",3,,"Valid")</f>
        <v>1.120 (12:14:42.764166)</v>
      </c>
      <c r="AC12" s="5" t="str">
        <f>_xll.PLContribFull(M12*100,"ASK",AA12,"Slot46","TICKER",3,,"Valid")</f>
        <v>1.520 (12:14:42.754169)</v>
      </c>
      <c r="AD12" s="16"/>
    </row>
    <row r="13" spans="1:30" x14ac:dyDescent="0.2">
      <c r="A13" s="12" t="s">
        <v>876</v>
      </c>
      <c r="B13" s="11">
        <f>'G7 Input'!Q12</f>
        <v>8.5749999999999993E-2</v>
      </c>
      <c r="C13" s="11">
        <f>'G7 Input'!R12</f>
        <v>-1.3000000000000001E-2</v>
      </c>
      <c r="D13" s="11">
        <f>'G7 Input'!S12</f>
        <v>-2.6799999999999997E-2</v>
      </c>
      <c r="E13" s="11">
        <f>'G7 Input'!T12</f>
        <v>2.8E-3</v>
      </c>
      <c r="F13" s="11">
        <f>'G7 Input'!U12</f>
        <v>1.1300000000000001E-2</v>
      </c>
      <c r="H13" s="10" t="s">
        <v>876</v>
      </c>
      <c r="I13" s="11">
        <f>'G7 Input'!X12</f>
        <v>9.0450000000000003E-2</v>
      </c>
      <c r="J13" s="11">
        <f>'G7 Input'!Y12</f>
        <v>-1.0999999999999999E-2</v>
      </c>
      <c r="K13" s="11">
        <f>'G7 Input'!Z12</f>
        <v>-2.2800000000000001E-2</v>
      </c>
      <c r="L13" s="11">
        <f>'G7 Input'!AA12</f>
        <v>4.8000000000000004E-3</v>
      </c>
      <c r="M13" s="11">
        <f>'G7 Input'!AB12</f>
        <v>1.5300000000000001E-2</v>
      </c>
      <c r="O13" s="3" t="s">
        <v>877</v>
      </c>
      <c r="P13" s="14" t="str">
        <f>_xll.PLContribFull(B13*100,"BID",O13,"Slot46","TICKER",3,,"Valid")</f>
        <v>8.575 (12:14:42.772166)</v>
      </c>
      <c r="Q13" s="5" t="str">
        <f>_xll.PLContribFull(I13*100,"ASK",O13,"Slot46","TICKER",3,,"Valid")</f>
        <v>9.045 (12:14:42.778167)</v>
      </c>
      <c r="R13" s="15" t="s">
        <v>878</v>
      </c>
      <c r="S13" s="14" t="str">
        <f>_xll.PLContribFull(C13*100,"BID",R13,"Slot46","TICKER",3,,"Valid")</f>
        <v>-1.300 (12:14:42.769168)</v>
      </c>
      <c r="T13" s="14" t="str">
        <f>_xll.PLContribFull(J13*100,"ASK",R13,"Slot46","TICKER",3,,"Valid")</f>
        <v>-1.100 (12:14:42.751168)</v>
      </c>
      <c r="U13" s="3" t="s">
        <v>879</v>
      </c>
      <c r="V13" s="14" t="str">
        <f>_xll.PLContribFull(D13*100,"BID",U13,"Slot46","TICKER",3,,"Valid")</f>
        <v>-2.680 (12:14:42.768166)</v>
      </c>
      <c r="W13" s="5" t="str">
        <f>_xll.PLContribFull(K13*100,"ASK",U13,"Slot46","TICKER",3,,"Valid")</f>
        <v>-2.280 (12:14:42.744167)</v>
      </c>
      <c r="X13" s="15" t="s">
        <v>880</v>
      </c>
      <c r="Y13" s="14" t="str">
        <f>_xll.PLContribFull(E13*100,"BID",X13,"Slot46","TICKER",3,,"Valid")</f>
        <v>0.280 (12:14:42.753167)</v>
      </c>
      <c r="Z13" s="14" t="str">
        <f>_xll.PLContribFull(L13*100,"ASK",X13,"Slot46","TICKER",3,,"Valid")</f>
        <v>0.480 (12:14:42.775167)</v>
      </c>
      <c r="AA13" s="3" t="s">
        <v>881</v>
      </c>
      <c r="AB13" s="14" t="str">
        <f>_xll.PLContribFull(F13*100,"BID",AA13,"Slot46","TICKER",3,,"Valid")</f>
        <v>1.130 (12:14:42.769168)</v>
      </c>
      <c r="AC13" s="5" t="str">
        <f>_xll.PLContribFull(M13*100,"ASK",AA13,"Slot46","TICKER",3,,"Valid")</f>
        <v>1.530 (12:14:42.777166)</v>
      </c>
      <c r="AD13" s="16"/>
    </row>
    <row r="14" spans="1:30" x14ac:dyDescent="0.2"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8"/>
      <c r="AC14" s="18"/>
    </row>
    <row r="16" spans="1:30" x14ac:dyDescent="0.25">
      <c r="A16" s="10" t="s">
        <v>330</v>
      </c>
      <c r="O16" s="3" t="s">
        <v>67</v>
      </c>
      <c r="P16" s="15" t="s">
        <v>68</v>
      </c>
      <c r="Q16" s="6"/>
      <c r="R16" s="15" t="s">
        <v>67</v>
      </c>
      <c r="S16" s="15" t="s">
        <v>68</v>
      </c>
      <c r="T16" s="15"/>
      <c r="U16" s="3" t="s">
        <v>67</v>
      </c>
      <c r="V16" s="15" t="s">
        <v>68</v>
      </c>
      <c r="W16" s="6"/>
      <c r="X16" s="15" t="s">
        <v>67</v>
      </c>
      <c r="Y16" s="15" t="s">
        <v>68</v>
      </c>
      <c r="Z16" s="15"/>
      <c r="AA16" s="3" t="s">
        <v>67</v>
      </c>
      <c r="AB16" s="15" t="s">
        <v>68</v>
      </c>
      <c r="AC16" s="6"/>
    </row>
    <row r="17" spans="1:30" ht="14.25" x14ac:dyDescent="0.25">
      <c r="A17" s="12" t="s">
        <v>331</v>
      </c>
      <c r="B17" s="12" t="s">
        <v>0</v>
      </c>
      <c r="C17" s="12" t="s">
        <v>1</v>
      </c>
      <c r="D17" s="12" t="s">
        <v>2</v>
      </c>
      <c r="E17" s="12" t="s">
        <v>3</v>
      </c>
      <c r="F17" s="12" t="s">
        <v>4</v>
      </c>
      <c r="H17" s="10" t="s">
        <v>16</v>
      </c>
      <c r="I17" s="10" t="s">
        <v>0</v>
      </c>
      <c r="J17" s="10" t="s">
        <v>1</v>
      </c>
      <c r="K17" s="10" t="s">
        <v>2</v>
      </c>
      <c r="L17" s="10" t="s">
        <v>3</v>
      </c>
      <c r="M17" s="10" t="s">
        <v>4</v>
      </c>
      <c r="O17" s="3" t="s">
        <v>66</v>
      </c>
      <c r="P17" s="13" t="s">
        <v>15</v>
      </c>
      <c r="Q17" s="4" t="s">
        <v>16</v>
      </c>
      <c r="R17" s="15" t="s">
        <v>1</v>
      </c>
      <c r="S17" s="13" t="s">
        <v>15</v>
      </c>
      <c r="T17" s="13" t="s">
        <v>16</v>
      </c>
      <c r="U17" s="3" t="s">
        <v>2</v>
      </c>
      <c r="V17" s="13" t="s">
        <v>15</v>
      </c>
      <c r="W17" s="4" t="s">
        <v>16</v>
      </c>
      <c r="X17" s="15" t="s">
        <v>3</v>
      </c>
      <c r="Y17" s="13" t="s">
        <v>15</v>
      </c>
      <c r="Z17" s="13" t="s">
        <v>16</v>
      </c>
      <c r="AA17" s="3" t="s">
        <v>4</v>
      </c>
      <c r="AB17" s="13" t="s">
        <v>15</v>
      </c>
      <c r="AC17" s="4" t="s">
        <v>16</v>
      </c>
      <c r="AD17" s="2"/>
    </row>
    <row r="18" spans="1:30" x14ac:dyDescent="0.2">
      <c r="A18" s="12" t="s">
        <v>5</v>
      </c>
      <c r="B18" s="11">
        <f>'G7 Input'!Q16</f>
        <v>4.5599999999999988E-2</v>
      </c>
      <c r="C18" s="11">
        <f>'G7 Input'!R16</f>
        <v>-9.9000000000000008E-3</v>
      </c>
      <c r="D18" s="11">
        <f>'G7 Input'!S16</f>
        <v>-1.9700000000000002E-2</v>
      </c>
      <c r="E18" s="11">
        <f>'G7 Input'!T16</f>
        <v>-4.8000000000000004E-3</v>
      </c>
      <c r="F18" s="11">
        <f>'G7 Input'!U16</f>
        <v>-7.7000000000000002E-3</v>
      </c>
      <c r="H18" s="10" t="s">
        <v>5</v>
      </c>
      <c r="I18" s="11">
        <f>'G7 Input'!X16</f>
        <v>7.6599999999999988E-2</v>
      </c>
      <c r="J18" s="11">
        <f>'G7 Input'!Y16</f>
        <v>2.0999999999999999E-3</v>
      </c>
      <c r="K18" s="11">
        <f>'G7 Input'!Z16</f>
        <v>4.3E-3</v>
      </c>
      <c r="L18" s="11">
        <f>'G7 Input'!AA16</f>
        <v>7.1999999999999998E-3</v>
      </c>
      <c r="M18" s="11">
        <f>'G7 Input'!AB16</f>
        <v>1.6300000000000002E-2</v>
      </c>
      <c r="O18" s="3" t="s">
        <v>172</v>
      </c>
      <c r="P18" s="14" t="str">
        <f>_xll.PLContribFull(B18*100,"BID",O18,"Slot46","TICKER",3,,"Valid")</f>
        <v>4.560 (12:14:42.765166)</v>
      </c>
      <c r="Q18" s="5" t="str">
        <f>_xll.PLContribFull(I18*100,"ASK",O18,"Slot46","TICKER",3,,"Valid")</f>
        <v>7.660 (12:14:42.766166)</v>
      </c>
      <c r="R18" s="15" t="s">
        <v>182</v>
      </c>
      <c r="S18" s="14" t="str">
        <f>_xll.PLContribFull(C18*100,"BID",R18,"Slot46","TICKER",3,,"Valid")</f>
        <v>-0.990 (12:14:42.767165)</v>
      </c>
      <c r="T18" s="14" t="str">
        <f>_xll.PLContribFull(J18*100,"ASK",R18,"Slot46","TICKER",3,,"Valid")</f>
        <v>0.210 (12:14:42.767165)</v>
      </c>
      <c r="U18" s="3" t="s">
        <v>192</v>
      </c>
      <c r="V18" s="14" t="str">
        <f>_xll.PLContribFull(D18*100,"BID",U18,"Slot46","TICKER",3,,"Valid")</f>
        <v>-1.970 (12:14:42.771168)</v>
      </c>
      <c r="W18" s="5" t="str">
        <f>_xll.PLContribFull(K18*100,"ASK",U18,"Slot46","TICKER",3,,"Valid")</f>
        <v>0.430 (12:14:42.769168)</v>
      </c>
      <c r="X18" s="15" t="s">
        <v>202</v>
      </c>
      <c r="Y18" s="14" t="str">
        <f>_xll.PLContribFull(E18*100,"BID",X18,"Slot46","TICKER",3,,"Valid")</f>
        <v>-0.480 (12:14:42.767165)</v>
      </c>
      <c r="Z18" s="14" t="str">
        <f>_xll.PLContribFull(L18*100,"ASK",X18,"Slot46","TICKER",3,,"Valid")</f>
        <v>0.720 (12:14:42.754169)</v>
      </c>
      <c r="AA18" s="3" t="s">
        <v>212</v>
      </c>
      <c r="AB18" s="14" t="str">
        <f>_xll.PLContribFull(F18*100,"BID",AA18,"Slot46","TICKER",3,,"Valid")</f>
        <v>-0.770 (12:14:42.773167)</v>
      </c>
      <c r="AC18" s="5" t="str">
        <f>_xll.PLContribFull(M18*100,"ASK",AA18,"Slot46","TICKER",3,,"Valid")</f>
        <v>1.630 (12:14:42.765166)</v>
      </c>
      <c r="AD18" s="16"/>
    </row>
    <row r="19" spans="1:30" x14ac:dyDescent="0.2">
      <c r="A19" s="12" t="s">
        <v>6</v>
      </c>
      <c r="B19" s="11">
        <f>'G7 Input'!Q17</f>
        <v>4.9249999999999995E-2</v>
      </c>
      <c r="C19" s="11">
        <f>'G7 Input'!R17</f>
        <v>-6.4000000000000003E-3</v>
      </c>
      <c r="D19" s="11">
        <f>'G7 Input'!S17</f>
        <v>-1.2500000000000001E-2</v>
      </c>
      <c r="E19" s="11">
        <f>'G7 Input'!T17</f>
        <v>-1.4E-3</v>
      </c>
      <c r="F19" s="11">
        <f>'G7 Input'!U17</f>
        <v>-8.0000000000000036E-4</v>
      </c>
      <c r="H19" s="10" t="s">
        <v>6</v>
      </c>
      <c r="I19" s="11">
        <f>'G7 Input'!X17</f>
        <v>7.0349999999999996E-2</v>
      </c>
      <c r="J19" s="11">
        <f>'G7 Input'!Y17</f>
        <v>-1.4000000000000002E-3</v>
      </c>
      <c r="K19" s="11">
        <f>'G7 Input'!Z17</f>
        <v>-2.4999999999999996E-3</v>
      </c>
      <c r="L19" s="11">
        <f>'G7 Input'!AA17</f>
        <v>3.5999999999999999E-3</v>
      </c>
      <c r="M19" s="11">
        <f>'G7 Input'!AB17</f>
        <v>9.1999999999999998E-3</v>
      </c>
      <c r="O19" s="3" t="s">
        <v>173</v>
      </c>
      <c r="P19" s="14" t="str">
        <f>_xll.PLContribFull(B19*100,"BID",O19,"Slot46","TICKER",3,,"Valid")</f>
        <v>4.925 (12:14:42.761166)</v>
      </c>
      <c r="Q19" s="5" t="str">
        <f>_xll.PLContribFull(I19*100,"ASK",O19,"Slot46","TICKER",3,,"Valid")</f>
        <v>7.035 (12:14:42.774166)</v>
      </c>
      <c r="R19" s="15" t="s">
        <v>183</v>
      </c>
      <c r="S19" s="14" t="str">
        <f>_xll.PLContribFull(C19*100,"BID",R19,"Slot46","TICKER",3,,"Valid")</f>
        <v>-0.640 (12:14:42.747168)</v>
      </c>
      <c r="T19" s="14" t="str">
        <f>_xll.PLContribFull(J19*100,"ASK",R19,"Slot46","TICKER",3,,"Valid")</f>
        <v>-0.140 (12:14:42.759166)</v>
      </c>
      <c r="U19" s="3" t="s">
        <v>193</v>
      </c>
      <c r="V19" s="14" t="str">
        <f>_xll.PLContribFull(D19*100,"BID",U19,"Slot46","TICKER",3,,"Valid")</f>
        <v>-1.250 (12:14:42.756167)</v>
      </c>
      <c r="W19" s="5" t="str">
        <f>_xll.PLContribFull(K19*100,"ASK",U19,"Slot46","TICKER",3,,"Valid")</f>
        <v>-0.250 (12:14:42.760167)</v>
      </c>
      <c r="X19" s="15" t="s">
        <v>203</v>
      </c>
      <c r="Y19" s="14" t="str">
        <f>_xll.PLContribFull(E19*100,"BID",X19,"Slot46","TICKER",3,,"Valid")</f>
        <v>-0.140 (12:14:42.772166)</v>
      </c>
      <c r="Z19" s="14" t="str">
        <f>_xll.PLContribFull(L19*100,"ASK",X19,"Slot46","TICKER",3,,"Valid")</f>
        <v>0.360 (12:14:42.747168)</v>
      </c>
      <c r="AA19" s="3" t="s">
        <v>213</v>
      </c>
      <c r="AB19" s="14" t="str">
        <f>_xll.PLContribFull(F19*100,"BID",AA19,"Slot46","TICKER",3,,"Valid")</f>
        <v>-0.080 (12:14:42.764166)</v>
      </c>
      <c r="AC19" s="5" t="str">
        <f>_xll.PLContribFull(M19*100,"ASK",AA19,"Slot46","TICKER",3,,"Valid")</f>
        <v>0.920 (12:14:42.763166)</v>
      </c>
      <c r="AD19" s="16"/>
    </row>
    <row r="20" spans="1:30" x14ac:dyDescent="0.2">
      <c r="A20" s="12" t="s">
        <v>7</v>
      </c>
      <c r="B20" s="11">
        <f>'G7 Input'!Q18</f>
        <v>5.8149999999999993E-2</v>
      </c>
      <c r="C20" s="11">
        <f>'G7 Input'!R18</f>
        <v>-6.1999999999999989E-3</v>
      </c>
      <c r="D20" s="11">
        <f>'G7 Input'!S18</f>
        <v>-1.21E-2</v>
      </c>
      <c r="E20" s="11">
        <f>'G7 Input'!T18</f>
        <v>-2.0000000000000009E-4</v>
      </c>
      <c r="F20" s="11">
        <f>'G7 Input'!U18</f>
        <v>1.7999999999999995E-3</v>
      </c>
      <c r="H20" s="10" t="s">
        <v>7</v>
      </c>
      <c r="I20" s="11">
        <f>'G7 Input'!X18</f>
        <v>7.3249999999999996E-2</v>
      </c>
      <c r="J20" s="11">
        <f>'G7 Input'!Y18</f>
        <v>-3.1999999999999993E-3</v>
      </c>
      <c r="K20" s="11">
        <f>'G7 Input'!Z18</f>
        <v>-6.1000000000000004E-3</v>
      </c>
      <c r="L20" s="11">
        <f>'G7 Input'!AA18</f>
        <v>2.8E-3</v>
      </c>
      <c r="M20" s="11">
        <f>'G7 Input'!AB18</f>
        <v>7.7999999999999996E-3</v>
      </c>
      <c r="O20" s="3" t="s">
        <v>174</v>
      </c>
      <c r="P20" s="14" t="str">
        <f>_xll.PLContribFull(B20*100,"BID",O20,"Slot46","TICKER",3,,"Valid")</f>
        <v>5.815 (12:14:42.763166)</v>
      </c>
      <c r="Q20" s="5" t="str">
        <f>_xll.PLContribFull(I20*100,"ASK",O20,"Slot46","TICKER",3,,"Valid")</f>
        <v>7.325 (12:14:42.762166)</v>
      </c>
      <c r="R20" s="15" t="s">
        <v>184</v>
      </c>
      <c r="S20" s="14" t="str">
        <f>_xll.PLContribFull(C20*100,"BID",R20,"Slot46","TICKER",3,,"Valid")</f>
        <v>-0.620 (12:14:42.764166)</v>
      </c>
      <c r="T20" s="14" t="str">
        <f>_xll.PLContribFull(J20*100,"ASK",R20,"Slot46","TICKER",3,,"Valid")</f>
        <v>-0.320 (12:14:42.764166)</v>
      </c>
      <c r="U20" s="3" t="s">
        <v>194</v>
      </c>
      <c r="V20" s="14" t="str">
        <f>_xll.PLContribFull(D20*100,"BID",U20,"Slot46","TICKER",3,,"Valid")</f>
        <v>-1.210 (12:14:42.769168)</v>
      </c>
      <c r="W20" s="5" t="str">
        <f>_xll.PLContribFull(K20*100,"ASK",U20,"Slot46","TICKER",3,,"Valid")</f>
        <v>-0.610 (12:14:42.748167)</v>
      </c>
      <c r="X20" s="15" t="s">
        <v>204</v>
      </c>
      <c r="Y20" s="14" t="str">
        <f>_xll.PLContribFull(E20*100,"BID",X20,"Slot46","TICKER",3,,"Valid")</f>
        <v>-0.020 (12:14:42.741170)</v>
      </c>
      <c r="Z20" s="14" t="str">
        <f>_xll.PLContribFull(L20*100,"ASK",X20,"Slot46","TICKER",3,,"Valid")</f>
        <v>0.280 (12:14:42.777166)</v>
      </c>
      <c r="AA20" s="3" t="s">
        <v>214</v>
      </c>
      <c r="AB20" s="14" t="str">
        <f>_xll.PLContribFull(F20*100,"BID",AA20,"Slot46","TICKER",3,,"Valid")</f>
        <v>0.180 (12:14:42.769168)</v>
      </c>
      <c r="AC20" s="5" t="str">
        <f>_xll.PLContribFull(M20*100,"ASK",AA20,"Slot46","TICKER",3,,"Valid")</f>
        <v>0.780 (12:14:42.770167)</v>
      </c>
      <c r="AD20" s="16"/>
    </row>
    <row r="21" spans="1:30" x14ac:dyDescent="0.2">
      <c r="A21" s="12" t="s">
        <v>8</v>
      </c>
      <c r="B21" s="11">
        <f>'G7 Input'!Q19</f>
        <v>6.3649999999999998E-2</v>
      </c>
      <c r="C21" s="11">
        <f>'G7 Input'!R19</f>
        <v>-6.0000000000000001E-3</v>
      </c>
      <c r="D21" s="11">
        <f>'G7 Input'!S19</f>
        <v>-1.17E-2</v>
      </c>
      <c r="E21" s="11">
        <f>'G7 Input'!T19</f>
        <v>4.0000000000000018E-4</v>
      </c>
      <c r="F21" s="11">
        <f>'G7 Input'!U19</f>
        <v>3.0000000000000001E-3</v>
      </c>
      <c r="H21" s="10" t="s">
        <v>8</v>
      </c>
      <c r="I21" s="11">
        <f>'G7 Input'!X19</f>
        <v>7.1150000000000005E-2</v>
      </c>
      <c r="J21" s="11">
        <f>'G7 Input'!Y19</f>
        <v>-4.0000000000000001E-3</v>
      </c>
      <c r="K21" s="11">
        <f>'G7 Input'!Z19</f>
        <v>-7.7000000000000002E-3</v>
      </c>
      <c r="L21" s="11">
        <f>'G7 Input'!AA19</f>
        <v>2.4000000000000002E-3</v>
      </c>
      <c r="M21" s="11">
        <f>'G7 Input'!AB19</f>
        <v>7.0000000000000001E-3</v>
      </c>
      <c r="O21" s="3" t="s">
        <v>175</v>
      </c>
      <c r="P21" s="14" t="str">
        <f>_xll.PLContribFull(B21*100,"BID",O21,"Slot46","TICKER",3,,"Valid")</f>
        <v>6.365 (12:14:42.766166)</v>
      </c>
      <c r="Q21" s="5" t="str">
        <f>_xll.PLContribFull(I21*100,"ASK",O21,"Slot46","TICKER",3,,"Valid")</f>
        <v>7.115 (12:14:42.762166)</v>
      </c>
      <c r="R21" s="15" t="s">
        <v>185</v>
      </c>
      <c r="S21" s="14" t="str">
        <f>_xll.PLContribFull(C21*100,"BID",R21,"Slot46","TICKER",3,,"Valid")</f>
        <v>-0.600 (12:14:42.768166)</v>
      </c>
      <c r="T21" s="14" t="str">
        <f>_xll.PLContribFull(J21*100,"ASK",R21,"Slot46","TICKER",3,,"Valid")</f>
        <v>-0.400 (12:14:42.746167)</v>
      </c>
      <c r="U21" s="3" t="s">
        <v>195</v>
      </c>
      <c r="V21" s="14" t="str">
        <f>_xll.PLContribFull(D21*100,"BID",U21,"Slot46","TICKER",3,,"Valid")</f>
        <v>-1.170 (12:14:42.761166)</v>
      </c>
      <c r="W21" s="5" t="str">
        <f>_xll.PLContribFull(K21*100,"ASK",U21,"Slot46","TICKER",3,,"Valid")</f>
        <v>-0.770 (12:14:42.762166)</v>
      </c>
      <c r="X21" s="15" t="s">
        <v>205</v>
      </c>
      <c r="Y21" s="14" t="str">
        <f>_xll.PLContribFull(E21*100,"BID",X21,"Slot46","TICKER",3,,"Valid")</f>
        <v>0.040 (12:14:42.742167)</v>
      </c>
      <c r="Z21" s="14" t="str">
        <f>_xll.PLContribFull(L21*100,"ASK",X21,"Slot46","TICKER",3,,"Valid")</f>
        <v>0.240 (12:14:42.765166)</v>
      </c>
      <c r="AA21" s="3" t="s">
        <v>215</v>
      </c>
      <c r="AB21" s="14" t="str">
        <f>_xll.PLContribFull(F21*100,"BID",AA21,"Slot46","TICKER",3,,"Valid")</f>
        <v>0.300 (12:14:42.774166)</v>
      </c>
      <c r="AC21" s="5" t="str">
        <f>_xll.PLContribFull(M21*100,"ASK",AA21,"Slot46","TICKER",3,,"Valid")</f>
        <v>0.700 (12:14:42.777166)</v>
      </c>
      <c r="AD21" s="16"/>
    </row>
    <row r="22" spans="1:30" x14ac:dyDescent="0.2">
      <c r="A22" s="12" t="s">
        <v>9</v>
      </c>
      <c r="B22" s="11">
        <f>'G7 Input'!Q20</f>
        <v>6.6600000000000006E-2</v>
      </c>
      <c r="C22" s="11">
        <f>'G7 Input'!R20</f>
        <v>-6.7999999999999996E-3</v>
      </c>
      <c r="D22" s="11">
        <f>'G7 Input'!S20</f>
        <v>-1.3299999999999999E-2</v>
      </c>
      <c r="E22" s="11">
        <f>'G7 Input'!T20</f>
        <v>6.0000000000000006E-4</v>
      </c>
      <c r="F22" s="11">
        <f>'G7 Input'!U20</f>
        <v>4.0000000000000001E-3</v>
      </c>
      <c r="H22" s="10" t="s">
        <v>9</v>
      </c>
      <c r="I22" s="11">
        <f>'G7 Input'!X20</f>
        <v>7.3999999999999996E-2</v>
      </c>
      <c r="J22" s="11">
        <f>'G7 Input'!Y20</f>
        <v>-4.7999999999999996E-3</v>
      </c>
      <c r="K22" s="11">
        <f>'G7 Input'!Z20</f>
        <v>-9.2999999999999992E-3</v>
      </c>
      <c r="L22" s="11">
        <f>'G7 Input'!AA20</f>
        <v>2.5999999999999999E-3</v>
      </c>
      <c r="M22" s="11">
        <f>'G7 Input'!AB20</f>
        <v>8.0000000000000002E-3</v>
      </c>
      <c r="O22" s="3" t="s">
        <v>176</v>
      </c>
      <c r="P22" s="14" t="str">
        <f>_xll.PLContribFull(B22*100,"BID",O22,"Slot46","TICKER",3,,"Valid")</f>
        <v>6.660 (12:14:42.775167)</v>
      </c>
      <c r="Q22" s="5" t="str">
        <f>_xll.PLContribFull(I22*100,"ASK",O22,"Slot46","TICKER",3,,"Valid")</f>
        <v>7.400 (12:14:42.764166)</v>
      </c>
      <c r="R22" s="15" t="s">
        <v>186</v>
      </c>
      <c r="S22" s="14" t="str">
        <f>_xll.PLContribFull(C22*100,"BID",R22,"Slot46","TICKER",3,,"Valid")</f>
        <v>-0.680 (12:14:42.775167)</v>
      </c>
      <c r="T22" s="14" t="str">
        <f>_xll.PLContribFull(J22*100,"ASK",R22,"Slot46","TICKER",3,,"Valid")</f>
        <v>-0.480 (12:14:42.770167)</v>
      </c>
      <c r="U22" s="3" t="s">
        <v>196</v>
      </c>
      <c r="V22" s="14" t="str">
        <f>_xll.PLContribFull(D22*100,"BID",U22,"Slot46","TICKER",3,,"Valid")</f>
        <v>-1.330 (12:14:42.772166)</v>
      </c>
      <c r="W22" s="5" t="str">
        <f>_xll.PLContribFull(K22*100,"ASK",U22,"Slot46","TICKER",3,,"Valid")</f>
        <v>-0.930 (12:14:42.748167)</v>
      </c>
      <c r="X22" s="15" t="s">
        <v>206</v>
      </c>
      <c r="Y22" s="14" t="str">
        <f>_xll.PLContribFull(E22*100,"BID",X22,"Slot46","TICKER",3,,"Valid")</f>
        <v>0.060 (12:14:42.767165)</v>
      </c>
      <c r="Z22" s="14" t="str">
        <f>_xll.PLContribFull(L22*100,"ASK",X22,"Slot46","TICKER",3,,"Valid")</f>
        <v>0.260 (12:14:42.742167)</v>
      </c>
      <c r="AA22" s="3" t="s">
        <v>216</v>
      </c>
      <c r="AB22" s="14" t="str">
        <f>_xll.PLContribFull(F22*100,"BID",AA22,"Slot46","TICKER",3,,"Valid")</f>
        <v>0.400 (12:14:42.769168)</v>
      </c>
      <c r="AC22" s="5" t="str">
        <f>_xll.PLContribFull(M22*100,"ASK",AA22,"Slot46","TICKER",3,,"Valid")</f>
        <v>0.800 (12:14:42.750168)</v>
      </c>
      <c r="AD22" s="16"/>
    </row>
    <row r="23" spans="1:30" x14ac:dyDescent="0.2">
      <c r="A23" s="12" t="s">
        <v>10</v>
      </c>
      <c r="B23" s="11">
        <f>'G7 Input'!Q21</f>
        <v>6.8149999999999988E-2</v>
      </c>
      <c r="C23" s="11">
        <f>'G7 Input'!R21</f>
        <v>-7.5000000000000006E-3</v>
      </c>
      <c r="D23" s="11">
        <f>'G7 Input'!S21</f>
        <v>-1.46E-2</v>
      </c>
      <c r="E23" s="11">
        <f>'G7 Input'!T21</f>
        <v>7.9999999999999993E-4</v>
      </c>
      <c r="F23" s="11">
        <f>'G7 Input'!U21</f>
        <v>4.8000000000000004E-3</v>
      </c>
      <c r="H23" s="10" t="s">
        <v>10</v>
      </c>
      <c r="I23" s="11">
        <f>'G7 Input'!X21</f>
        <v>7.5649999999999995E-2</v>
      </c>
      <c r="J23" s="11">
        <f>'G7 Input'!Y21</f>
        <v>-5.5000000000000005E-3</v>
      </c>
      <c r="K23" s="11">
        <f>'G7 Input'!Z21</f>
        <v>-1.06E-2</v>
      </c>
      <c r="L23" s="11">
        <f>'G7 Input'!AA21</f>
        <v>2.8E-3</v>
      </c>
      <c r="M23" s="11">
        <f>'G7 Input'!AB21</f>
        <v>8.8000000000000005E-3</v>
      </c>
      <c r="O23" s="3" t="s">
        <v>177</v>
      </c>
      <c r="P23" s="14" t="str">
        <f>_xll.PLContribFull(B23*100,"BID",O23,"Slot46","TICKER",3,,"Valid")</f>
        <v>6.815 (12:14:42.778167)</v>
      </c>
      <c r="Q23" s="5" t="str">
        <f>_xll.PLContribFull(I23*100,"ASK",O23,"Slot46","TICKER",3,,"Valid")</f>
        <v>7.565 (12:14:42.762166)</v>
      </c>
      <c r="R23" s="15" t="s">
        <v>187</v>
      </c>
      <c r="S23" s="14" t="str">
        <f>_xll.PLContribFull(C23*100,"BID",R23,"Slot46","TICKER",3,,"Valid")</f>
        <v>-0.750 (12:14:42.752166)</v>
      </c>
      <c r="T23" s="14" t="str">
        <f>_xll.PLContribFull(J23*100,"ASK",R23,"Slot46","TICKER",3,,"Valid")</f>
        <v>-0.550 (12:14:42.760167)</v>
      </c>
      <c r="U23" s="3" t="s">
        <v>197</v>
      </c>
      <c r="V23" s="14" t="str">
        <f>_xll.PLContribFull(D23*100,"BID",U23,"Slot46","TICKER",3,,"Valid")</f>
        <v>-1.460 (12:14:42.766166)</v>
      </c>
      <c r="W23" s="5" t="str">
        <f>_xll.PLContribFull(K23*100,"ASK",U23,"Slot46","TICKER",3,,"Valid")</f>
        <v>-1.060 (12:14:42.771168)</v>
      </c>
      <c r="X23" s="15" t="s">
        <v>207</v>
      </c>
      <c r="Y23" s="14" t="str">
        <f>_xll.PLContribFull(E23*100,"BID",X23,"Slot46","TICKER",3,,"Valid")</f>
        <v>0.080 (12:14:42.763166)</v>
      </c>
      <c r="Z23" s="14" t="str">
        <f>_xll.PLContribFull(L23*100,"ASK",X23,"Slot46","TICKER",3,,"Valid")</f>
        <v>0.280 (12:14:42.744167)</v>
      </c>
      <c r="AA23" s="3" t="s">
        <v>217</v>
      </c>
      <c r="AB23" s="14" t="str">
        <f>_xll.PLContribFull(F23*100,"BID",AA23,"Slot46","TICKER",3,,"Valid")</f>
        <v>0.480 (12:14:42.773167)</v>
      </c>
      <c r="AC23" s="5" t="str">
        <f>_xll.PLContribFull(M23*100,"ASK",AA23,"Slot46","TICKER",3,,"Valid")</f>
        <v>0.880 (12:14:42.743167)</v>
      </c>
      <c r="AD23" s="16"/>
    </row>
    <row r="24" spans="1:30" x14ac:dyDescent="0.2">
      <c r="A24" s="12" t="s">
        <v>11</v>
      </c>
      <c r="B24" s="11">
        <f>'G7 Input'!Q22</f>
        <v>7.1899999999999992E-2</v>
      </c>
      <c r="C24" s="11">
        <f>'G7 Input'!R22</f>
        <v>-8.6999999999999994E-3</v>
      </c>
      <c r="D24" s="11">
        <f>'G7 Input'!S22</f>
        <v>-1.6899999999999998E-2</v>
      </c>
      <c r="E24" s="11">
        <f>'G7 Input'!T22</f>
        <v>8.9999999999999998E-4</v>
      </c>
      <c r="F24" s="11">
        <f>'G7 Input'!U22</f>
        <v>5.5999999999999999E-3</v>
      </c>
      <c r="H24" s="10" t="s">
        <v>11</v>
      </c>
      <c r="I24" s="11">
        <f>'G7 Input'!X22</f>
        <v>7.8899999999999998E-2</v>
      </c>
      <c r="J24" s="11">
        <f>'G7 Input'!Y22</f>
        <v>-6.7000000000000002E-3</v>
      </c>
      <c r="K24" s="11">
        <f>'G7 Input'!Z22</f>
        <v>-1.29E-2</v>
      </c>
      <c r="L24" s="11">
        <f>'G7 Input'!AA22</f>
        <v>2.8999999999999998E-3</v>
      </c>
      <c r="M24" s="11">
        <f>'G7 Input'!AB22</f>
        <v>9.6000000000000009E-3</v>
      </c>
      <c r="O24" s="3" t="s">
        <v>178</v>
      </c>
      <c r="P24" s="14" t="str">
        <f>_xll.PLContribFull(B24*100,"BID",O24,"Slot46","TICKER",3,,"Valid")</f>
        <v>7.190 (12:14:42.779168)</v>
      </c>
      <c r="Q24" s="5" t="str">
        <f>_xll.PLContribFull(I24*100,"ASK",O24,"Slot46","TICKER",3,,"Valid")</f>
        <v>7.890 (12:14:42.759166)</v>
      </c>
      <c r="R24" s="15" t="s">
        <v>188</v>
      </c>
      <c r="S24" s="14" t="str">
        <f>_xll.PLContribFull(C24*100,"BID",R24,"Slot46","TICKER",3,,"Valid")</f>
        <v>-0.870 (12:14:42.752166)</v>
      </c>
      <c r="T24" s="14" t="str">
        <f>_xll.PLContribFull(J24*100,"ASK",R24,"Slot46","TICKER",3,,"Valid")</f>
        <v>-0.670 (12:14:42.777166)</v>
      </c>
      <c r="U24" s="3" t="s">
        <v>198</v>
      </c>
      <c r="V24" s="14" t="str">
        <f>_xll.PLContribFull(D24*100,"BID",U24,"Slot46","TICKER",3,,"Valid")</f>
        <v>-1.690 (12:14:42.741170)</v>
      </c>
      <c r="W24" s="5" t="str">
        <f>_xll.PLContribFull(K24*100,"ASK",U24,"Slot46","TICKER",3,,"Valid")</f>
        <v>-1.290 (12:14:42.763166)</v>
      </c>
      <c r="X24" s="15" t="s">
        <v>208</v>
      </c>
      <c r="Y24" s="14" t="str">
        <f>_xll.PLContribFull(E24*100,"BID",X24,"Slot46","TICKER",3,,"Valid")</f>
        <v>0.090 (12:14:42.770167)</v>
      </c>
      <c r="Z24" s="14" t="str">
        <f>_xll.PLContribFull(L24*100,"ASK",X24,"Slot46","TICKER",3,,"Valid")</f>
        <v>0.290 (12:14:42.759166)</v>
      </c>
      <c r="AA24" s="3" t="s">
        <v>218</v>
      </c>
      <c r="AB24" s="14" t="str">
        <f>_xll.PLContribFull(F24*100,"BID",AA24,"Slot46","TICKER",3,,"Valid")</f>
        <v>0.560 (12:14:42.744167)</v>
      </c>
      <c r="AC24" s="5" t="str">
        <f>_xll.PLContribFull(M24*100,"ASK",AA24,"Slot46","TICKER",3,,"Valid")</f>
        <v>0.960 (12:14:42.770167)</v>
      </c>
      <c r="AD24" s="16"/>
    </row>
    <row r="25" spans="1:30" x14ac:dyDescent="0.2">
      <c r="A25" s="12" t="s">
        <v>12</v>
      </c>
      <c r="B25" s="11">
        <f>'G7 Input'!Q23</f>
        <v>7.6399999999999996E-2</v>
      </c>
      <c r="C25" s="11">
        <f>'G7 Input'!R23</f>
        <v>-1.04E-2</v>
      </c>
      <c r="D25" s="11">
        <f>'G7 Input'!S23</f>
        <v>-2.0000000000000004E-2</v>
      </c>
      <c r="E25" s="11">
        <f>'G7 Input'!T23</f>
        <v>1.2999999999999999E-3</v>
      </c>
      <c r="F25" s="11">
        <f>'G7 Input'!U23</f>
        <v>7.3999999999999986E-3</v>
      </c>
      <c r="H25" s="10" t="s">
        <v>12</v>
      </c>
      <c r="I25" s="11">
        <f>'G7 Input'!X23</f>
        <v>8.3400000000000002E-2</v>
      </c>
      <c r="J25" s="11">
        <f>'G7 Input'!Y23</f>
        <v>-8.3999999999999977E-3</v>
      </c>
      <c r="K25" s="11">
        <f>'G7 Input'!Z23</f>
        <v>-1.6E-2</v>
      </c>
      <c r="L25" s="11">
        <f>'G7 Input'!AA23</f>
        <v>3.3E-3</v>
      </c>
      <c r="M25" s="11">
        <f>'G7 Input'!AB23</f>
        <v>1.1399999999999999E-2</v>
      </c>
      <c r="O25" s="3" t="s">
        <v>179</v>
      </c>
      <c r="P25" s="14" t="str">
        <f>_xll.PLContribFull(B25*100,"BID",O25,"Slot46","TICKER",3,,"Valid")</f>
        <v>7.640 (12:14:42.765166)</v>
      </c>
      <c r="Q25" s="5" t="str">
        <f>_xll.PLContribFull(I25*100,"ASK",O25,"Slot46","TICKER",3,,"Valid")</f>
        <v>8.340 (12:14:42.770167)</v>
      </c>
      <c r="R25" s="15" t="s">
        <v>189</v>
      </c>
      <c r="S25" s="14" t="str">
        <f>_xll.PLContribFull(C25*100,"BID",R25,"Slot46","TICKER",3,,"Valid")</f>
        <v>-1.040 (12:14:42.776167)</v>
      </c>
      <c r="T25" s="14" t="str">
        <f>_xll.PLContribFull(J25*100,"ASK",R25,"Slot46","TICKER",3,,"Valid")</f>
        <v>-0.840 (12:14:42.754169)</v>
      </c>
      <c r="U25" s="3" t="s">
        <v>199</v>
      </c>
      <c r="V25" s="14" t="str">
        <f>_xll.PLContribFull(D25*100,"BID",U25,"Slot46","TICKER",3,,"Valid")</f>
        <v>-2.000 (12:14:42.777166)</v>
      </c>
      <c r="W25" s="5" t="str">
        <f>_xll.PLContribFull(K25*100,"ASK",U25,"Slot46","TICKER",3,,"Valid")</f>
        <v>-1.600 (12:14:42.746167)</v>
      </c>
      <c r="X25" s="15" t="s">
        <v>209</v>
      </c>
      <c r="Y25" s="14" t="str">
        <f>_xll.PLContribFull(E25*100,"BID",X25,"Slot46","TICKER",3,,"Valid")</f>
        <v>0.130 (12:14:42.767165)</v>
      </c>
      <c r="Z25" s="14" t="str">
        <f>_xll.PLContribFull(L25*100,"ASK",X25,"Slot46","TICKER",3,,"Valid")</f>
        <v>0.330 (12:14:42.777166)</v>
      </c>
      <c r="AA25" s="3" t="s">
        <v>219</v>
      </c>
      <c r="AB25" s="14" t="str">
        <f>_xll.PLContribFull(F25*100,"BID",AA25,"Slot46","TICKER",3,,"Valid")</f>
        <v>0.740 (12:14:42.764166)</v>
      </c>
      <c r="AC25" s="5" t="str">
        <f>_xll.PLContribFull(M25*100,"ASK",AA25,"Slot46","TICKER",3,,"Valid")</f>
        <v>1.140 (12:14:42.754169)</v>
      </c>
      <c r="AD25" s="16"/>
    </row>
    <row r="26" spans="1:30" x14ac:dyDescent="0.2">
      <c r="A26" s="12" t="s">
        <v>13</v>
      </c>
      <c r="B26" s="11">
        <f>'G7 Input'!Q24</f>
        <v>7.884999999999999E-2</v>
      </c>
      <c r="C26" s="11">
        <f>'G7 Input'!R24</f>
        <v>-1.1200000000000002E-2</v>
      </c>
      <c r="D26" s="11">
        <f>'G7 Input'!S24</f>
        <v>-2.1600000000000001E-2</v>
      </c>
      <c r="E26" s="11">
        <f>'G7 Input'!T24</f>
        <v>1.5E-3</v>
      </c>
      <c r="F26" s="11">
        <f>'G7 Input'!U24</f>
        <v>8.3000000000000001E-3</v>
      </c>
      <c r="H26" s="10" t="s">
        <v>13</v>
      </c>
      <c r="I26" s="11">
        <f>'G7 Input'!X24</f>
        <v>8.614999999999999E-2</v>
      </c>
      <c r="J26" s="11">
        <f>'G7 Input'!Y24</f>
        <v>-9.1999999999999998E-3</v>
      </c>
      <c r="K26" s="11">
        <f>'G7 Input'!Z24</f>
        <v>-1.7599999999999998E-2</v>
      </c>
      <c r="L26" s="11">
        <f>'G7 Input'!AA24</f>
        <v>3.5000000000000001E-3</v>
      </c>
      <c r="M26" s="11">
        <f>'G7 Input'!AB24</f>
        <v>1.23E-2</v>
      </c>
      <c r="O26" s="3" t="s">
        <v>180</v>
      </c>
      <c r="P26" s="14" t="str">
        <f>_xll.PLContribFull(B26*100,"BID",O26,"Slot46","TICKER",3,,"Valid")</f>
        <v>7.885 (12:14:42.760167)</v>
      </c>
      <c r="Q26" s="5" t="str">
        <f>_xll.PLContribFull(I26*100,"ASK",O26,"Slot46","TICKER",3,,"Valid")</f>
        <v>8.615 (12:14:42.759166)</v>
      </c>
      <c r="R26" s="15" t="s">
        <v>190</v>
      </c>
      <c r="S26" s="14" t="str">
        <f>_xll.PLContribFull(C26*100,"BID",R26,"Slot46","TICKER",3,,"Valid")</f>
        <v>-1.120 (12:14:42.751168)</v>
      </c>
      <c r="T26" s="14" t="str">
        <f>_xll.PLContribFull(J26*100,"ASK",R26,"Slot46","TICKER",3,,"Valid")</f>
        <v>-0.920 (12:14:42.763166)</v>
      </c>
      <c r="U26" s="3" t="s">
        <v>200</v>
      </c>
      <c r="V26" s="14" t="str">
        <f>_xll.PLContribFull(D26*100,"BID",U26,"Slot46","TICKER",3,,"Valid")</f>
        <v>-2.160 (12:14:42.776167)</v>
      </c>
      <c r="W26" s="5" t="str">
        <f>_xll.PLContribFull(K26*100,"ASK",U26,"Slot46","TICKER",3,,"Valid")</f>
        <v>-1.760 (12:14:42.774166)</v>
      </c>
      <c r="X26" s="15" t="s">
        <v>210</v>
      </c>
      <c r="Y26" s="14" t="str">
        <f>_xll.PLContribFull(E26*100,"BID",X26,"Slot46","TICKER",3,,"Valid")</f>
        <v>0.150 (12:14:42.773167)</v>
      </c>
      <c r="Z26" s="14" t="str">
        <f>_xll.PLContribFull(L26*100,"ASK",X26,"Slot46","TICKER",3,,"Valid")</f>
        <v>0.350 (12:14:42.759166)</v>
      </c>
      <c r="AA26" s="3" t="s">
        <v>220</v>
      </c>
      <c r="AB26" s="14" t="str">
        <f>_xll.PLContribFull(F26*100,"BID",AA26,"Slot46","TICKER",3,,"Valid")</f>
        <v>0.830 (12:14:42.772166)</v>
      </c>
      <c r="AC26" s="5" t="str">
        <f>_xll.PLContribFull(M26*100,"ASK",AA26,"Slot46","TICKER",3,,"Valid")</f>
        <v>1.230 (12:14:42.752166)</v>
      </c>
      <c r="AD26" s="16"/>
    </row>
    <row r="27" spans="1:30" x14ac:dyDescent="0.2">
      <c r="A27" s="12" t="s">
        <v>14</v>
      </c>
      <c r="B27" s="11">
        <f>'G7 Input'!Q25</f>
        <v>8.2049999999999998E-2</v>
      </c>
      <c r="C27" s="11">
        <f>'G7 Input'!R25</f>
        <v>-1.3399999999999999E-2</v>
      </c>
      <c r="D27" s="11">
        <f>'G7 Input'!S25</f>
        <v>-2.5500000000000002E-2</v>
      </c>
      <c r="E27" s="11">
        <f>'G7 Input'!T25</f>
        <v>1.8999999999999998E-3</v>
      </c>
      <c r="F27" s="11">
        <f>'G7 Input'!U25</f>
        <v>1.04E-2</v>
      </c>
      <c r="H27" s="10" t="s">
        <v>14</v>
      </c>
      <c r="I27" s="11">
        <f>'G7 Input'!X25</f>
        <v>9.2149999999999996E-2</v>
      </c>
      <c r="J27" s="11">
        <f>'G7 Input'!Y25</f>
        <v>-1.14E-2</v>
      </c>
      <c r="K27" s="11">
        <f>'G7 Input'!Z25</f>
        <v>-2.1499999999999998E-2</v>
      </c>
      <c r="L27" s="11">
        <f>'G7 Input'!AA25</f>
        <v>3.8999999999999998E-3</v>
      </c>
      <c r="M27" s="11">
        <f>'G7 Input'!AB25</f>
        <v>1.44E-2</v>
      </c>
      <c r="O27" s="3" t="s">
        <v>181</v>
      </c>
      <c r="P27" s="14" t="str">
        <f>_xll.PLContribFull(B27*100,"BID",O27,"Slot46","TICKER",3,,"Valid")</f>
        <v>8.205 (12:14:42.771168)</v>
      </c>
      <c r="Q27" s="5" t="str">
        <f>_xll.PLContribFull(I27*100,"ASK",O27,"Slot46","TICKER",3,,"Valid")</f>
        <v>9.215 (12:14:42.759166)</v>
      </c>
      <c r="R27" s="15" t="s">
        <v>191</v>
      </c>
      <c r="S27" s="14" t="str">
        <f>_xll.PLContribFull(C27*100,"BID",R27,"Slot46","TICKER",3,,"Valid")</f>
        <v>-1.340 (12:14:42.776167)</v>
      </c>
      <c r="T27" s="14" t="str">
        <f>_xll.PLContribFull(J27*100,"ASK",R27,"Slot46","TICKER",3,,"Valid")</f>
        <v>-1.140 (12:14:42.751168)</v>
      </c>
      <c r="U27" s="3" t="s">
        <v>201</v>
      </c>
      <c r="V27" s="14" t="str">
        <f>_xll.PLContribFull(D27*100,"BID",U27,"Slot46","TICKER",3,,"Valid")</f>
        <v>-2.550 (12:14:42.775167)</v>
      </c>
      <c r="W27" s="5" t="str">
        <f>_xll.PLContribFull(K27*100,"ASK",U27,"Slot46","TICKER",3,,"Valid")</f>
        <v>-2.150 (12:14:42.774166)</v>
      </c>
      <c r="X27" s="15" t="s">
        <v>211</v>
      </c>
      <c r="Y27" s="14" t="str">
        <f>_xll.PLContribFull(E27*100,"BID",X27,"Slot46","TICKER",3,,"Valid")</f>
        <v>0.190 (12:14:42.778167)</v>
      </c>
      <c r="Z27" s="14" t="str">
        <f>_xll.PLContribFull(L27*100,"ASK",X27,"Slot46","TICKER",3,,"Valid")</f>
        <v>0.390 (12:14:42.778167)</v>
      </c>
      <c r="AA27" s="3" t="s">
        <v>221</v>
      </c>
      <c r="AB27" s="14" t="str">
        <f>_xll.PLContribFull(F27*100,"BID",AA27,"Slot46","TICKER",3,,"Valid")</f>
        <v>1.040 (12:14:42.768166)</v>
      </c>
      <c r="AC27" s="5" t="str">
        <f>_xll.PLContribFull(M27*100,"ASK",AA27,"Slot46","TICKER",3,,"Valid")</f>
        <v>1.440 (12:14:42.767165)</v>
      </c>
      <c r="AD27" s="16"/>
    </row>
    <row r="28" spans="1:30" x14ac:dyDescent="0.2">
      <c r="A28" s="12" t="s">
        <v>876</v>
      </c>
      <c r="B28" s="11">
        <f>'G7 Input'!Q26</f>
        <v>8.3150000000000002E-2</v>
      </c>
      <c r="C28" s="11">
        <f>'G7 Input'!R26</f>
        <v>-1.4100000000000001E-2</v>
      </c>
      <c r="D28" s="11">
        <f>'G7 Input'!S26</f>
        <v>-2.6500000000000003E-2</v>
      </c>
      <c r="E28" s="11">
        <f>'G7 Input'!T26</f>
        <v>1.7000000000000001E-3</v>
      </c>
      <c r="F28" s="11">
        <f>'G7 Input'!U26</f>
        <v>1.03E-2</v>
      </c>
      <c r="H28" s="10" t="s">
        <v>876</v>
      </c>
      <c r="I28" s="11">
        <f>'G7 Input'!X26</f>
        <v>9.6049999999999996E-2</v>
      </c>
      <c r="J28" s="11">
        <f>'G7 Input'!Y26</f>
        <v>-1.21E-2</v>
      </c>
      <c r="K28" s="11">
        <f>'G7 Input'!Z26</f>
        <v>-2.2499999999999999E-2</v>
      </c>
      <c r="L28" s="11">
        <f>'G7 Input'!AA26</f>
        <v>3.7000000000000002E-3</v>
      </c>
      <c r="M28" s="11">
        <f>'G7 Input'!AB26</f>
        <v>1.43E-2</v>
      </c>
      <c r="O28" s="3" t="s">
        <v>907</v>
      </c>
      <c r="P28" s="14" t="str">
        <f>_xll.PLContribFull(B28*100,"BID",O28,"Slot46","TICKER",3,,"Valid")</f>
        <v>8.315 (12:14:42.775167)</v>
      </c>
      <c r="Q28" s="5" t="str">
        <f>_xll.PLContribFull(I28*100,"ASK",O28,"Slot46","TICKER",3,,"Valid")</f>
        <v>9.605 (12:14:42.764166)</v>
      </c>
      <c r="R28" s="15" t="s">
        <v>908</v>
      </c>
      <c r="S28" s="14" t="str">
        <f>_xll.PLContribFull(C28*100,"BID",R28,"Slot46","TICKER",3,,"Valid")</f>
        <v>-1.410 (12:14:42.765166)</v>
      </c>
      <c r="T28" s="14" t="str">
        <f>_xll.PLContribFull(J28*100,"ASK",R28,"Slot46","TICKER",3,,"Valid")</f>
        <v>-1.210 (12:14:42.773167)</v>
      </c>
      <c r="U28" s="3" t="s">
        <v>909</v>
      </c>
      <c r="V28" s="14" t="str">
        <f>_xll.PLContribFull(D28*100,"BID",U28,"Slot46","TICKER",3,,"Valid")</f>
        <v>-2.650 (12:14:42.771168)</v>
      </c>
      <c r="W28" s="5" t="str">
        <f>_xll.PLContribFull(K28*100,"ASK",U28,"Slot46","TICKER",3,,"Valid")</f>
        <v>-2.250 (12:14:42.766166)</v>
      </c>
      <c r="X28" s="15" t="s">
        <v>910</v>
      </c>
      <c r="Y28" s="14" t="str">
        <f>_xll.PLContribFull(E28*100,"BID",X28,"Slot46","TICKER",3,,"Valid")</f>
        <v>0.170 (12:14:42.775167)</v>
      </c>
      <c r="Z28" s="14" t="str">
        <f>_xll.PLContribFull(L28*100,"ASK",X28,"Slot46","TICKER",3,,"Valid")</f>
        <v>0.370 (12:14:42.768166)</v>
      </c>
      <c r="AA28" s="3" t="s">
        <v>911</v>
      </c>
      <c r="AB28" s="14" t="str">
        <f>_xll.PLContribFull(F28*100,"BID",AA28,"Slot46","TICKER",3,,"Valid")</f>
        <v>1.030 (12:14:42.765166)</v>
      </c>
      <c r="AC28" s="5" t="str">
        <f>_xll.PLContribFull(M28*100,"ASK",AA28,"Slot46","TICKER",3,,"Valid")</f>
        <v>1.430 (12:14:42.744167)</v>
      </c>
      <c r="AD28" s="16"/>
    </row>
    <row r="29" spans="1:30" x14ac:dyDescent="0.2"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8"/>
      <c r="AC29" s="18"/>
    </row>
    <row r="31" spans="1:30" x14ac:dyDescent="0.25">
      <c r="A31" s="10" t="s">
        <v>338</v>
      </c>
      <c r="O31" s="3" t="s">
        <v>67</v>
      </c>
      <c r="P31" s="15" t="s">
        <v>68</v>
      </c>
      <c r="Q31" s="6"/>
      <c r="R31" s="15" t="s">
        <v>67</v>
      </c>
      <c r="S31" s="15" t="s">
        <v>68</v>
      </c>
      <c r="T31" s="15"/>
      <c r="U31" s="3" t="s">
        <v>67</v>
      </c>
      <c r="V31" s="15" t="s">
        <v>68</v>
      </c>
      <c r="W31" s="6"/>
      <c r="X31" s="15" t="s">
        <v>67</v>
      </c>
      <c r="Y31" s="15" t="s">
        <v>68</v>
      </c>
      <c r="Z31" s="15"/>
      <c r="AA31" s="3" t="s">
        <v>67</v>
      </c>
      <c r="AB31" s="15" t="s">
        <v>68</v>
      </c>
      <c r="AC31" s="6"/>
    </row>
    <row r="32" spans="1:30" ht="14.25" x14ac:dyDescent="0.25">
      <c r="A32" s="12" t="s">
        <v>331</v>
      </c>
      <c r="B32" s="12" t="s">
        <v>0</v>
      </c>
      <c r="C32" s="12" t="s">
        <v>1</v>
      </c>
      <c r="D32" s="12" t="s">
        <v>2</v>
      </c>
      <c r="E32" s="12" t="s">
        <v>3</v>
      </c>
      <c r="F32" s="12" t="s">
        <v>4</v>
      </c>
      <c r="H32" s="10" t="s">
        <v>332</v>
      </c>
      <c r="I32" s="10" t="s">
        <v>0</v>
      </c>
      <c r="J32" s="10" t="s">
        <v>1</v>
      </c>
      <c r="K32" s="10" t="s">
        <v>2</v>
      </c>
      <c r="L32" s="10" t="s">
        <v>3</v>
      </c>
      <c r="M32" s="10" t="s">
        <v>4</v>
      </c>
      <c r="O32" s="3" t="s">
        <v>66</v>
      </c>
      <c r="P32" s="13" t="s">
        <v>15</v>
      </c>
      <c r="Q32" s="4" t="s">
        <v>16</v>
      </c>
      <c r="R32" s="15" t="s">
        <v>1</v>
      </c>
      <c r="S32" s="13" t="s">
        <v>15</v>
      </c>
      <c r="T32" s="13" t="s">
        <v>16</v>
      </c>
      <c r="U32" s="3" t="s">
        <v>2</v>
      </c>
      <c r="V32" s="13" t="s">
        <v>15</v>
      </c>
      <c r="W32" s="4" t="s">
        <v>16</v>
      </c>
      <c r="X32" s="15" t="s">
        <v>3</v>
      </c>
      <c r="Y32" s="13" t="s">
        <v>15</v>
      </c>
      <c r="Z32" s="13" t="s">
        <v>16</v>
      </c>
      <c r="AA32" s="3" t="s">
        <v>4</v>
      </c>
      <c r="AB32" s="13" t="s">
        <v>15</v>
      </c>
      <c r="AC32" s="4" t="s">
        <v>16</v>
      </c>
      <c r="AD32" s="2"/>
    </row>
    <row r="33" spans="1:30" x14ac:dyDescent="0.2">
      <c r="A33" s="12" t="s">
        <v>5</v>
      </c>
      <c r="B33" s="11">
        <f>'G7 Input'!Q30</f>
        <v>3.8400000000000004E-2</v>
      </c>
      <c r="C33" s="11">
        <f>'G7 Input'!R30</f>
        <v>-4.2000000000000006E-3</v>
      </c>
      <c r="D33" s="11">
        <f>'G7 Input'!S30</f>
        <v>-8.4000000000000012E-3</v>
      </c>
      <c r="E33" s="11">
        <f>'G7 Input'!T30</f>
        <v>-5.6000000000000008E-3</v>
      </c>
      <c r="F33" s="11">
        <f>'G7 Input'!U30</f>
        <v>-9.9000000000000008E-3</v>
      </c>
      <c r="H33" s="10" t="s">
        <v>5</v>
      </c>
      <c r="I33" s="11">
        <f>'G7 Input'!X30</f>
        <v>6.4799999999999996E-2</v>
      </c>
      <c r="J33" s="11">
        <f>'G7 Input'!Y30</f>
        <v>4.8000000000000004E-3</v>
      </c>
      <c r="K33" s="11">
        <f>'G7 Input'!Z30</f>
        <v>9.6000000000000009E-3</v>
      </c>
      <c r="L33" s="11">
        <f>'G7 Input'!AA30</f>
        <v>7.4000000000000003E-3</v>
      </c>
      <c r="M33" s="11">
        <f>'G7 Input'!AB30</f>
        <v>1.61E-2</v>
      </c>
      <c r="O33" s="3" t="s">
        <v>465</v>
      </c>
      <c r="P33" s="14" t="str">
        <f>_xll.PLContribFull(B33*100,"BID",O33,"Slot46","TICKER",3,,"Valid")</f>
        <v>3.840 (12:14:42.776167)</v>
      </c>
      <c r="Q33" s="5" t="str">
        <f>_xll.PLContribFull(I33*100,"ASK",O33,"Slot46","TICKER",3,,"Valid")</f>
        <v>6.480 (12:14:42.763166)</v>
      </c>
      <c r="R33" s="15" t="s">
        <v>475</v>
      </c>
      <c r="S33" s="14" t="str">
        <f>_xll.PLContribFull(C33*100,"BID",R33,"Slot46","TICKER",3,,"Valid")</f>
        <v>-0.420 (12:14:42.778167)</v>
      </c>
      <c r="T33" s="14" t="str">
        <f>_xll.PLContribFull(J33*100,"ASK",R33,"Slot46","TICKER",3,,"Valid")</f>
        <v>0.480 (12:14:42.776167)</v>
      </c>
      <c r="U33" s="3" t="s">
        <v>485</v>
      </c>
      <c r="V33" s="14" t="str">
        <f>_xll.PLContribFull(D33*100,"BID",U33,"Slot46","TICKER",3,,"Valid")</f>
        <v>-0.840 (12:14:42.745167)</v>
      </c>
      <c r="W33" s="5" t="str">
        <f>_xll.PLContribFull(K33*100,"ASK",U33,"Slot46","TICKER",3,,"Valid")</f>
        <v>0.960 (12:14:42.763166)</v>
      </c>
      <c r="X33" s="15" t="s">
        <v>495</v>
      </c>
      <c r="Y33" s="14" t="str">
        <f>_xll.PLContribFull(E33*100,"BID",X33,"Slot46","TICKER",3,,"Valid")</f>
        <v>-0.560 (12:14:42.749167)</v>
      </c>
      <c r="Z33" s="14" t="str">
        <f>_xll.PLContribFull(L33*100,"ASK",X33,"Slot46","TICKER",3,,"Valid")</f>
        <v>0.740 (12:14:42.771168)</v>
      </c>
      <c r="AA33" s="3" t="s">
        <v>505</v>
      </c>
      <c r="AB33" s="14" t="str">
        <f>_xll.PLContribFull(F33*100,"BID",AA33,"Slot46","TICKER",3,,"Valid")</f>
        <v>-0.990 (12:14:42.775167)</v>
      </c>
      <c r="AC33" s="5" t="str">
        <f>_xll.PLContribFull(M33*100,"ASK",AA33,"Slot46","TICKER",3,,"Valid")</f>
        <v>1.610 (12:14:42.747168)</v>
      </c>
      <c r="AD33" s="16"/>
    </row>
    <row r="34" spans="1:30" x14ac:dyDescent="0.2">
      <c r="A34" s="12" t="s">
        <v>6</v>
      </c>
      <c r="B34" s="11">
        <f>'G7 Input'!Q31</f>
        <v>4.1049999999999996E-2</v>
      </c>
      <c r="C34" s="11">
        <f>'G7 Input'!R31</f>
        <v>-1.7000000000000001E-3</v>
      </c>
      <c r="D34" s="11">
        <f>'G7 Input'!S31</f>
        <v>-3.4000000000000002E-3</v>
      </c>
      <c r="E34" s="11">
        <f>'G7 Input'!T31</f>
        <v>-8.0000000000000015E-4</v>
      </c>
      <c r="F34" s="11">
        <f>'G7 Input'!U31</f>
        <v>-4.0000000000000018E-4</v>
      </c>
      <c r="H34" s="10" t="s">
        <v>6</v>
      </c>
      <c r="I34" s="11">
        <f>'G7 Input'!X31</f>
        <v>5.3350000000000002E-2</v>
      </c>
      <c r="J34" s="11">
        <f>'G7 Input'!Y31</f>
        <v>2.3E-3</v>
      </c>
      <c r="K34" s="11">
        <f>'G7 Input'!Z31</f>
        <v>4.5999999999999999E-3</v>
      </c>
      <c r="L34" s="11">
        <f>'G7 Input'!AA31</f>
        <v>3.1999999999999997E-3</v>
      </c>
      <c r="M34" s="11">
        <f>'G7 Input'!AB31</f>
        <v>7.6E-3</v>
      </c>
      <c r="O34" s="3" t="s">
        <v>466</v>
      </c>
      <c r="P34" s="14" t="str">
        <f>_xll.PLContribFull(B34*100,"BID",O34,"Slot46","TICKER",3,,"Valid")</f>
        <v>4.105 (12:14:42.759166)</v>
      </c>
      <c r="Q34" s="5" t="str">
        <f>_xll.PLContribFull(I34*100,"ASK",O34,"Slot46","TICKER",3,,"Valid")</f>
        <v>5.335 (12:14:42.771168)</v>
      </c>
      <c r="R34" s="15" t="s">
        <v>476</v>
      </c>
      <c r="S34" s="14" t="str">
        <f>_xll.PLContribFull(C34*100,"BID",R34,"Slot46","TICKER",3,,"Valid")</f>
        <v>-0.170 (12:14:42.747168)</v>
      </c>
      <c r="T34" s="14" t="str">
        <f>_xll.PLContribFull(J34*100,"ASK",R34,"Slot46","TICKER",3,,"Valid")</f>
        <v>0.230 (12:14:42.769168)</v>
      </c>
      <c r="U34" s="3" t="s">
        <v>486</v>
      </c>
      <c r="V34" s="14" t="str">
        <f>_xll.PLContribFull(D34*100,"BID",U34,"Slot46","TICKER",3,,"Valid")</f>
        <v>-0.340 (12:14:42.768166)</v>
      </c>
      <c r="W34" s="5" t="str">
        <f>_xll.PLContribFull(K34*100,"ASK",U34,"Slot46","TICKER",3,,"Valid")</f>
        <v>0.460 (12:14:42.774166)</v>
      </c>
      <c r="X34" s="15" t="s">
        <v>496</v>
      </c>
      <c r="Y34" s="14" t="str">
        <f>_xll.PLContribFull(E34*100,"BID",X34,"Slot46","TICKER",3,,"Valid")</f>
        <v>-0.080 (12:14:42.749167)</v>
      </c>
      <c r="Z34" s="14" t="str">
        <f>_xll.PLContribFull(L34*100,"ASK",X34,"Slot46","TICKER",3,,"Valid")</f>
        <v>0.320 (12:14:42.759166)</v>
      </c>
      <c r="AA34" s="3" t="s">
        <v>506</v>
      </c>
      <c r="AB34" s="14" t="str">
        <f>_xll.PLContribFull(F34*100,"BID",AA34,"Slot46","TICKER",3,,"Valid")</f>
        <v>-0.040 (12:14:42.739168)</v>
      </c>
      <c r="AC34" s="5" t="str">
        <f>_xll.PLContribFull(M34*100,"ASK",AA34,"Slot46","TICKER",3,,"Valid")</f>
        <v>0.760 (12:14:42.768166)</v>
      </c>
      <c r="AD34" s="16"/>
    </row>
    <row r="35" spans="1:30" x14ac:dyDescent="0.2">
      <c r="A35" s="12" t="s">
        <v>7</v>
      </c>
      <c r="B35" s="11">
        <f>'G7 Input'!Q32</f>
        <v>4.2849999999999992E-2</v>
      </c>
      <c r="C35" s="11">
        <f>'G7 Input'!R32</f>
        <v>-7.000000000000001E-4</v>
      </c>
      <c r="D35" s="11">
        <f>'G7 Input'!S32</f>
        <v>-1.2999999999999999E-3</v>
      </c>
      <c r="E35" s="11">
        <f>'G7 Input'!T32</f>
        <v>4.0000000000000018E-4</v>
      </c>
      <c r="F35" s="11">
        <f>'G7 Input'!U32</f>
        <v>2.3E-3</v>
      </c>
      <c r="H35" s="10" t="s">
        <v>7</v>
      </c>
      <c r="I35" s="11">
        <f>'G7 Input'!X32</f>
        <v>5.0149999999999993E-2</v>
      </c>
      <c r="J35" s="11">
        <f>'G7 Input'!Y32</f>
        <v>1.2999999999999999E-3</v>
      </c>
      <c r="K35" s="11">
        <f>'G7 Input'!Z32</f>
        <v>2.7000000000000001E-3</v>
      </c>
      <c r="L35" s="11">
        <f>'G7 Input'!AA32</f>
        <v>2.4000000000000002E-3</v>
      </c>
      <c r="M35" s="11">
        <f>'G7 Input'!AB32</f>
        <v>6.3E-3</v>
      </c>
      <c r="O35" s="3" t="s">
        <v>467</v>
      </c>
      <c r="P35" s="14" t="str">
        <f>_xll.PLContribFull(B35*100,"BID",O35,"Slot46","TICKER",3,,"Valid")</f>
        <v>4.285 (12:14:42.777166)</v>
      </c>
      <c r="Q35" s="5" t="str">
        <f>_xll.PLContribFull(I35*100,"ASK",O35,"Slot46","TICKER",3,,"Valid")</f>
        <v>5.015 (12:14:42.778167)</v>
      </c>
      <c r="R35" s="15" t="s">
        <v>477</v>
      </c>
      <c r="S35" s="14" t="str">
        <f>_xll.PLContribFull(C35*100,"BID",R35,"Slot46","TICKER",3,,"Valid")</f>
        <v>-0.070 (12:14:42.743167)</v>
      </c>
      <c r="T35" s="14" t="str">
        <f>_xll.PLContribFull(J35*100,"ASK",R35,"Slot46","TICKER",3,,"Valid")</f>
        <v>0.130 (12:14:42.766166)</v>
      </c>
      <c r="U35" s="3" t="s">
        <v>487</v>
      </c>
      <c r="V35" s="14" t="str">
        <f>_xll.PLContribFull(D35*100,"BID",U35,"Slot46","TICKER",3,,"Valid")</f>
        <v>-0.130 (12:14:42.774166)</v>
      </c>
      <c r="W35" s="5" t="str">
        <f>_xll.PLContribFull(K35*100,"ASK",U35,"Slot46","TICKER",3,,"Valid")</f>
        <v>0.270 (12:14:42.764166)</v>
      </c>
      <c r="X35" s="15" t="s">
        <v>497</v>
      </c>
      <c r="Y35" s="14" t="str">
        <f>_xll.PLContribFull(E35*100,"BID",X35,"Slot46","TICKER",3,,"Valid")</f>
        <v>0.040 (12:14:42.777166)</v>
      </c>
      <c r="Z35" s="14" t="str">
        <f>_xll.PLContribFull(L35*100,"ASK",X35,"Slot46","TICKER",3,,"Valid")</f>
        <v>0.240 (12:14:42.772166)</v>
      </c>
      <c r="AA35" s="3" t="s">
        <v>507</v>
      </c>
      <c r="AB35" s="14" t="str">
        <f>_xll.PLContribFull(F35*100,"BID",AA35,"Slot46","TICKER",3,,"Valid")</f>
        <v>0.230 (12:14:42.777166)</v>
      </c>
      <c r="AC35" s="5" t="str">
        <f>_xll.PLContribFull(M35*100,"ASK",AA35,"Slot46","TICKER",3,,"Valid")</f>
        <v>0.630 (12:14:42.741170)</v>
      </c>
      <c r="AD35" s="16"/>
    </row>
    <row r="36" spans="1:30" x14ac:dyDescent="0.2">
      <c r="A36" s="12" t="s">
        <v>8</v>
      </c>
      <c r="B36" s="11">
        <f>'G7 Input'!Q33</f>
        <v>4.2199999999999994E-2</v>
      </c>
      <c r="C36" s="11">
        <f>'G7 Input'!R33</f>
        <v>-1.2999999999999999E-3</v>
      </c>
      <c r="D36" s="11">
        <f>'G7 Input'!S33</f>
        <v>-2.4000000000000002E-3</v>
      </c>
      <c r="E36" s="11">
        <f>'G7 Input'!T33</f>
        <v>1.9999999999999987E-4</v>
      </c>
      <c r="F36" s="11">
        <f>'G7 Input'!U33</f>
        <v>2E-3</v>
      </c>
      <c r="H36" s="10" t="s">
        <v>8</v>
      </c>
      <c r="I36" s="11">
        <f>'G7 Input'!X33</f>
        <v>4.6599999999999996E-2</v>
      </c>
      <c r="J36" s="11">
        <f>'G7 Input'!Y33</f>
        <v>7.000000000000001E-4</v>
      </c>
      <c r="K36" s="11">
        <f>'G7 Input'!Z33</f>
        <v>1.6000000000000001E-3</v>
      </c>
      <c r="L36" s="11">
        <f>'G7 Input'!AA33</f>
        <v>2.1999999999999997E-3</v>
      </c>
      <c r="M36" s="11">
        <f>'G7 Input'!AB33</f>
        <v>6.0000000000000001E-3</v>
      </c>
      <c r="O36" s="3" t="s">
        <v>468</v>
      </c>
      <c r="P36" s="14" t="str">
        <f>_xll.PLContribFull(B36*100,"BID",O36,"Slot46","TICKER",3,,"Valid")</f>
        <v>4.220 (12:14:42.766166)</v>
      </c>
      <c r="Q36" s="5" t="str">
        <f>_xll.PLContribFull(I36*100,"ASK",O36,"Slot46","TICKER",3,,"Valid")</f>
        <v>4.660 (12:14:42.767165)</v>
      </c>
      <c r="R36" s="15" t="s">
        <v>478</v>
      </c>
      <c r="S36" s="14" t="str">
        <f>_xll.PLContribFull(C36*100,"BID",R36,"Slot46","TICKER",3,,"Valid")</f>
        <v>-0.130 (12:14:42.762166)</v>
      </c>
      <c r="T36" s="14" t="str">
        <f>_xll.PLContribFull(J36*100,"ASK",R36,"Slot46","TICKER",3,,"Valid")</f>
        <v>0.070 (12:14:42.751168)</v>
      </c>
      <c r="U36" s="3" t="s">
        <v>488</v>
      </c>
      <c r="V36" s="14" t="str">
        <f>_xll.PLContribFull(D36*100,"BID",U36,"Slot46","TICKER",3,,"Valid")</f>
        <v>-0.240 (12:14:42.771168)</v>
      </c>
      <c r="W36" s="5" t="str">
        <f>_xll.PLContribFull(K36*100,"ASK",U36,"Slot46","TICKER",3,,"Valid")</f>
        <v>0.160 (12:14:42.775167)</v>
      </c>
      <c r="X36" s="15" t="s">
        <v>498</v>
      </c>
      <c r="Y36" s="14" t="str">
        <f>_xll.PLContribFull(E36*100,"BID",X36,"Slot46","TICKER",3,,"Valid")</f>
        <v>0.020 (12:14:42.746167)</v>
      </c>
      <c r="Z36" s="14" t="str">
        <f>_xll.PLContribFull(L36*100,"ASK",X36,"Slot46","TICKER",3,,"Valid")</f>
        <v>0.220 (12:14:42.765166)</v>
      </c>
      <c r="AA36" s="3" t="s">
        <v>508</v>
      </c>
      <c r="AB36" s="14" t="str">
        <f>_xll.PLContribFull(F36*100,"BID",AA36,"Slot46","TICKER",3,,"Valid")</f>
        <v>0.200 (12:14:42.746167)</v>
      </c>
      <c r="AC36" s="5" t="str">
        <f>_xll.PLContribFull(M36*100,"ASK",AA36,"Slot46","TICKER",3,,"Valid")</f>
        <v>0.600 (12:14:42.758167)</v>
      </c>
      <c r="AD36" s="16"/>
    </row>
    <row r="37" spans="1:30" x14ac:dyDescent="0.2">
      <c r="A37" s="12" t="s">
        <v>9</v>
      </c>
      <c r="B37" s="11">
        <f>'G7 Input'!Q34</f>
        <v>4.2249999999999996E-2</v>
      </c>
      <c r="C37" s="11">
        <f>'G7 Input'!R34</f>
        <v>-1.4E-3</v>
      </c>
      <c r="D37" s="11">
        <f>'G7 Input'!S34</f>
        <v>-2.5999999999999999E-3</v>
      </c>
      <c r="E37" s="11">
        <f>'G7 Input'!T34</f>
        <v>4.0000000000000018E-4</v>
      </c>
      <c r="F37" s="11">
        <f>'G7 Input'!U34</f>
        <v>2.5000000000000005E-3</v>
      </c>
      <c r="H37" s="10" t="s">
        <v>9</v>
      </c>
      <c r="I37" s="11">
        <f>'G7 Input'!X34</f>
        <v>4.6350000000000002E-2</v>
      </c>
      <c r="J37" s="11">
        <f>'G7 Input'!Y34</f>
        <v>6.0000000000000006E-4</v>
      </c>
      <c r="K37" s="11">
        <f>'G7 Input'!Z34</f>
        <v>1.4000000000000002E-3</v>
      </c>
      <c r="L37" s="11">
        <f>'G7 Input'!AA34</f>
        <v>2.4000000000000002E-3</v>
      </c>
      <c r="M37" s="11">
        <f>'G7 Input'!AB34</f>
        <v>6.5000000000000006E-3</v>
      </c>
      <c r="O37" s="3" t="s">
        <v>469</v>
      </c>
      <c r="P37" s="14" t="str">
        <f>_xll.PLContribFull(B37*100,"BID",O37,"Slot46","TICKER",3,,"Valid")</f>
        <v>4.225 (12:14:42.767165)</v>
      </c>
      <c r="Q37" s="5" t="str">
        <f>_xll.PLContribFull(I37*100,"ASK",O37,"Slot46","TICKER",3,,"Valid")</f>
        <v>4.635 (12:14:42.777166)</v>
      </c>
      <c r="R37" s="15" t="s">
        <v>479</v>
      </c>
      <c r="S37" s="14" t="str">
        <f>_xll.PLContribFull(C37*100,"BID",R37,"Slot46","TICKER",3,,"Valid")</f>
        <v>-0.140 (12:14:42.770167)</v>
      </c>
      <c r="T37" s="14" t="str">
        <f>_xll.PLContribFull(J37*100,"ASK",R37,"Slot46","TICKER",3,,"Valid")</f>
        <v>0.060 (12:14:42.743167)</v>
      </c>
      <c r="U37" s="3" t="s">
        <v>489</v>
      </c>
      <c r="V37" s="14" t="str">
        <f>_xll.PLContribFull(D37*100,"BID",U37,"Slot46","TICKER",3,,"Valid")</f>
        <v>-0.260 (12:14:42.766166)</v>
      </c>
      <c r="W37" s="5" t="str">
        <f>_xll.PLContribFull(K37*100,"ASK",U37,"Slot46","TICKER",3,,"Valid")</f>
        <v>0.140 (12:14:42.764166)</v>
      </c>
      <c r="X37" s="15" t="s">
        <v>499</v>
      </c>
      <c r="Y37" s="14" t="str">
        <f>_xll.PLContribFull(E37*100,"BID",X37,"Slot46","TICKER",3,,"Valid")</f>
        <v>0.040 (12:14:42.761166)</v>
      </c>
      <c r="Z37" s="14" t="str">
        <f>_xll.PLContribFull(L37*100,"ASK",X37,"Slot46","TICKER",3,,"Valid")</f>
        <v>0.240 (12:14:42.750168)</v>
      </c>
      <c r="AA37" s="3" t="s">
        <v>509</v>
      </c>
      <c r="AB37" s="14" t="str">
        <f>_xll.PLContribFull(F37*100,"BID",AA37,"Slot46","TICKER",3,,"Valid")</f>
        <v>0.250 (12:14:42.766166)</v>
      </c>
      <c r="AC37" s="5" t="str">
        <f>_xll.PLContribFull(M37*100,"ASK",AA37,"Slot46","TICKER",3,,"Valid")</f>
        <v>0.650 (12:14:42.765166)</v>
      </c>
      <c r="AD37" s="16"/>
    </row>
    <row r="38" spans="1:30" x14ac:dyDescent="0.2">
      <c r="A38" s="12" t="s">
        <v>10</v>
      </c>
      <c r="B38" s="11">
        <f>'G7 Input'!Q35</f>
        <v>4.2500000000000003E-2</v>
      </c>
      <c r="C38" s="11">
        <f>'G7 Input'!R35</f>
        <v>-1.4E-3</v>
      </c>
      <c r="D38" s="11">
        <f>'G7 Input'!S35</f>
        <v>-2.7000000000000001E-3</v>
      </c>
      <c r="E38" s="11">
        <f>'G7 Input'!T35</f>
        <v>5.0000000000000001E-4</v>
      </c>
      <c r="F38" s="11">
        <f>'G7 Input'!U35</f>
        <v>3.0000000000000001E-3</v>
      </c>
      <c r="H38" s="10" t="s">
        <v>10</v>
      </c>
      <c r="I38" s="11">
        <f>'G7 Input'!X35</f>
        <v>4.6500000000000007E-2</v>
      </c>
      <c r="J38" s="11">
        <f>'G7 Input'!Y35</f>
        <v>6.0000000000000006E-4</v>
      </c>
      <c r="K38" s="11">
        <f>'G7 Input'!Z35</f>
        <v>1.2999999999999999E-3</v>
      </c>
      <c r="L38" s="11">
        <f>'G7 Input'!AA35</f>
        <v>2.5000000000000001E-3</v>
      </c>
      <c r="M38" s="11">
        <f>'G7 Input'!AB35</f>
        <v>7.0000000000000001E-3</v>
      </c>
      <c r="O38" s="3" t="s">
        <v>470</v>
      </c>
      <c r="P38" s="14" t="str">
        <f>_xll.PLContribFull(B38*100,"BID",O38,"Slot46","TICKER",3,,"Valid")</f>
        <v>4.250 (12:14:42.773167)</v>
      </c>
      <c r="Q38" s="5" t="str">
        <f>_xll.PLContribFull(I38*100,"ASK",O38,"Slot46","TICKER",3,,"Valid")</f>
        <v>4.650 (12:14:42.759166)</v>
      </c>
      <c r="R38" s="15" t="s">
        <v>480</v>
      </c>
      <c r="S38" s="14" t="str">
        <f>_xll.PLContribFull(C38*100,"BID",R38,"Slot46","TICKER",3,,"Valid")</f>
        <v>-0.140 (12:14:42.777166)</v>
      </c>
      <c r="T38" s="14" t="str">
        <f>_xll.PLContribFull(J38*100,"ASK",R38,"Slot46","TICKER",3,,"Valid")</f>
        <v>0.060 (12:14:42.766166)</v>
      </c>
      <c r="U38" s="3" t="s">
        <v>490</v>
      </c>
      <c r="V38" s="14" t="str">
        <f>_xll.PLContribFull(D38*100,"BID",U38,"Slot46","TICKER",3,,"Valid")</f>
        <v>-0.270 (12:14:42.749167)</v>
      </c>
      <c r="W38" s="5" t="str">
        <f>_xll.PLContribFull(K38*100,"ASK",U38,"Slot46","TICKER",3,,"Valid")</f>
        <v>0.130 (12:14:42.761166)</v>
      </c>
      <c r="X38" s="15" t="s">
        <v>500</v>
      </c>
      <c r="Y38" s="14" t="str">
        <f>_xll.PLContribFull(E38*100,"BID",X38,"Slot46","TICKER",3,,"Valid")</f>
        <v>0.050 (12:14:42.771168)</v>
      </c>
      <c r="Z38" s="14" t="str">
        <f>_xll.PLContribFull(L38*100,"ASK",X38,"Slot46","TICKER",3,,"Valid")</f>
        <v>0.250 (12:14:42.777166)</v>
      </c>
      <c r="AA38" s="3" t="s">
        <v>510</v>
      </c>
      <c r="AB38" s="14" t="str">
        <f>_xll.PLContribFull(F38*100,"BID",AA38,"Slot46","TICKER",3,,"Valid")</f>
        <v>0.300 (12:14:42.764166)</v>
      </c>
      <c r="AC38" s="5" t="str">
        <f>_xll.PLContribFull(M38*100,"ASK",AA38,"Slot46","TICKER",3,,"Valid")</f>
        <v>0.700 (12:14:42.742167)</v>
      </c>
      <c r="AD38" s="16"/>
    </row>
    <row r="39" spans="1:30" x14ac:dyDescent="0.2">
      <c r="A39" s="12" t="s">
        <v>11</v>
      </c>
      <c r="B39" s="11">
        <f>'G7 Input'!Q36</f>
        <v>4.3799999999999992E-2</v>
      </c>
      <c r="C39" s="11">
        <f>'G7 Input'!R36</f>
        <v>-8.0000000000000004E-4</v>
      </c>
      <c r="D39" s="11">
        <f>'G7 Input'!S36</f>
        <v>-1.5E-3</v>
      </c>
      <c r="E39" s="11">
        <f>'G7 Input'!T36</f>
        <v>7.9999999999999993E-4</v>
      </c>
      <c r="F39" s="11">
        <f>'G7 Input'!U36</f>
        <v>4.0000000000000001E-3</v>
      </c>
      <c r="H39" s="10" t="s">
        <v>11</v>
      </c>
      <c r="I39" s="11">
        <f>'G7 Input'!X36</f>
        <v>4.7399999999999998E-2</v>
      </c>
      <c r="J39" s="11">
        <f>'G7 Input'!Y36</f>
        <v>1.2000000000000001E-3</v>
      </c>
      <c r="K39" s="11">
        <f>'G7 Input'!Z36</f>
        <v>2.5000000000000001E-3</v>
      </c>
      <c r="L39" s="11">
        <f>'G7 Input'!AA36</f>
        <v>2.8E-3</v>
      </c>
      <c r="M39" s="11">
        <f>'G7 Input'!AB36</f>
        <v>8.0000000000000002E-3</v>
      </c>
      <c r="O39" s="3" t="s">
        <v>471</v>
      </c>
      <c r="P39" s="14" t="str">
        <f>_xll.PLContribFull(B39*100,"BID",O39,"Slot46","TICKER",3,,"Valid")</f>
        <v>4.380 (12:14:42.761166)</v>
      </c>
      <c r="Q39" s="5" t="str">
        <f>_xll.PLContribFull(I39*100,"ASK",O39,"Slot46","TICKER",3,,"Valid")</f>
        <v>4.740 (12:14:42.760167)</v>
      </c>
      <c r="R39" s="15" t="s">
        <v>481</v>
      </c>
      <c r="S39" s="14" t="str">
        <f>_xll.PLContribFull(C39*100,"BID",R39,"Slot46","TICKER",3,,"Valid")</f>
        <v>-0.080 (12:14:42.756167)</v>
      </c>
      <c r="T39" s="14" t="str">
        <f>_xll.PLContribFull(J39*100,"ASK",R39,"Slot46","TICKER",3,,"Valid")</f>
        <v>0.120 (12:14:42.762166)</v>
      </c>
      <c r="U39" s="3" t="s">
        <v>491</v>
      </c>
      <c r="V39" s="14" t="str">
        <f>_xll.PLContribFull(D39*100,"BID",U39,"Slot46","TICKER",3,,"Valid")</f>
        <v>-0.150 (12:14:42.750168)</v>
      </c>
      <c r="W39" s="5" t="str">
        <f>_xll.PLContribFull(K39*100,"ASK",U39,"Slot46","TICKER",3,,"Valid")</f>
        <v>0.250 (12:14:42.764166)</v>
      </c>
      <c r="X39" s="15" t="s">
        <v>501</v>
      </c>
      <c r="Y39" s="14" t="str">
        <f>_xll.PLContribFull(E39*100,"BID",X39,"Slot46","TICKER",3,,"Valid")</f>
        <v>0.080 (12:14:42.766166)</v>
      </c>
      <c r="Z39" s="14" t="str">
        <f>_xll.PLContribFull(L39*100,"ASK",X39,"Slot46","TICKER",3,,"Valid")</f>
        <v>0.280 (12:14:42.745167)</v>
      </c>
      <c r="AA39" s="3" t="s">
        <v>511</v>
      </c>
      <c r="AB39" s="14" t="str">
        <f>_xll.PLContribFull(F39*100,"BID",AA39,"Slot46","TICKER",3,,"Valid")</f>
        <v>0.400 (12:14:42.749167)</v>
      </c>
      <c r="AC39" s="5" t="str">
        <f>_xll.PLContribFull(M39*100,"ASK",AA39,"Slot46","TICKER",3,,"Valid")</f>
        <v>0.800 (12:14:42.769168)</v>
      </c>
      <c r="AD39" s="16"/>
    </row>
    <row r="40" spans="1:30" x14ac:dyDescent="0.2">
      <c r="A40" s="12" t="s">
        <v>12</v>
      </c>
      <c r="B40" s="11">
        <f>'G7 Input'!Q37</f>
        <v>4.5799999999999993E-2</v>
      </c>
      <c r="C40" s="11">
        <f>'G7 Input'!R37</f>
        <v>-8.0000000000000004E-4</v>
      </c>
      <c r="D40" s="11">
        <f>'G7 Input'!S37</f>
        <v>-1.4000000000000002E-3</v>
      </c>
      <c r="E40" s="11">
        <f>'G7 Input'!T37</f>
        <v>1E-3</v>
      </c>
      <c r="F40" s="11">
        <f>'G7 Input'!U37</f>
        <v>4.8999999999999998E-3</v>
      </c>
      <c r="H40" s="10" t="s">
        <v>12</v>
      </c>
      <c r="I40" s="11">
        <f>'G7 Input'!X37</f>
        <v>4.9399999999999999E-2</v>
      </c>
      <c r="J40" s="11">
        <f>'G7 Input'!Y37</f>
        <v>1.2000000000000001E-3</v>
      </c>
      <c r="K40" s="11">
        <f>'G7 Input'!Z37</f>
        <v>2.5999999999999999E-3</v>
      </c>
      <c r="L40" s="11">
        <f>'G7 Input'!AA37</f>
        <v>3.0000000000000001E-3</v>
      </c>
      <c r="M40" s="11">
        <f>'G7 Input'!AB37</f>
        <v>8.8999999999999999E-3</v>
      </c>
      <c r="O40" s="3" t="s">
        <v>472</v>
      </c>
      <c r="P40" s="14" t="str">
        <f>_xll.PLContribFull(B40*100,"BID",O40,"Slot46","TICKER",3,,"Valid")</f>
        <v>4.580 (12:14:42.761166)</v>
      </c>
      <c r="Q40" s="5" t="str">
        <f>_xll.PLContribFull(I40*100,"ASK",O40,"Slot46","TICKER",3,,"Valid")</f>
        <v>4.940 (12:14:42.771168)</v>
      </c>
      <c r="R40" s="15" t="s">
        <v>482</v>
      </c>
      <c r="S40" s="14" t="str">
        <f>_xll.PLContribFull(C40*100,"BID",R40,"Slot46","TICKER",3,,"Valid")</f>
        <v>-0.080 (12:14:42.766166)</v>
      </c>
      <c r="T40" s="14" t="str">
        <f>_xll.PLContribFull(J40*100,"ASK",R40,"Slot46","TICKER",3,,"Valid")</f>
        <v>0.120 (12:14:42.761166)</v>
      </c>
      <c r="U40" s="3" t="s">
        <v>492</v>
      </c>
      <c r="V40" s="14" t="str">
        <f>_xll.PLContribFull(D40*100,"BID",U40,"Slot46","TICKER",3,,"Valid")</f>
        <v>-0.140 (12:14:42.746167)</v>
      </c>
      <c r="W40" s="5" t="str">
        <f>_xll.PLContribFull(K40*100,"ASK",U40,"Slot46","TICKER",3,,"Valid")</f>
        <v>0.260 (12:14:42.769168)</v>
      </c>
      <c r="X40" s="15" t="s">
        <v>502</v>
      </c>
      <c r="Y40" s="14" t="str">
        <f>_xll.PLContribFull(E40*100,"BID",X40,"Slot46","TICKER",3,,"Valid")</f>
        <v>0.100 (12:14:42.762166)</v>
      </c>
      <c r="Z40" s="14" t="str">
        <f>_xll.PLContribFull(L40*100,"ASK",X40,"Slot46","TICKER",3,,"Valid")</f>
        <v>0.300 (12:14:42.763166)</v>
      </c>
      <c r="AA40" s="3" t="s">
        <v>512</v>
      </c>
      <c r="AB40" s="14" t="str">
        <f>_xll.PLContribFull(F40*100,"BID",AA40,"Slot46","TICKER",3,,"Valid")</f>
        <v>0.490 (12:14:42.777166)</v>
      </c>
      <c r="AC40" s="5" t="str">
        <f>_xll.PLContribFull(M40*100,"ASK",AA40,"Slot46","TICKER",3,,"Valid")</f>
        <v>0.890 (12:14:42.776167)</v>
      </c>
      <c r="AD40" s="16"/>
    </row>
    <row r="41" spans="1:30" x14ac:dyDescent="0.2">
      <c r="A41" s="12" t="s">
        <v>13</v>
      </c>
      <c r="B41" s="11">
        <f>'G7 Input'!Q38</f>
        <v>4.7949999999999993E-2</v>
      </c>
      <c r="C41" s="11">
        <f>'G7 Input'!R38</f>
        <v>-8.0000000000000004E-4</v>
      </c>
      <c r="D41" s="11">
        <f>'G7 Input'!S38</f>
        <v>-1.2000000000000001E-3</v>
      </c>
      <c r="E41" s="11">
        <f>'G7 Input'!T38</f>
        <v>1.2000000000000001E-3</v>
      </c>
      <c r="F41" s="11">
        <f>'G7 Input'!U38</f>
        <v>5.8000000000000005E-3</v>
      </c>
      <c r="H41" s="10" t="s">
        <v>13</v>
      </c>
      <c r="I41" s="11">
        <f>'G7 Input'!X38</f>
        <v>5.1449999999999996E-2</v>
      </c>
      <c r="J41" s="11">
        <f>'G7 Input'!Y38</f>
        <v>1.2000000000000001E-3</v>
      </c>
      <c r="K41" s="11">
        <f>'G7 Input'!Z38</f>
        <v>2.8E-3</v>
      </c>
      <c r="L41" s="11">
        <f>'G7 Input'!AA38</f>
        <v>3.2000000000000002E-3</v>
      </c>
      <c r="M41" s="11">
        <f>'G7 Input'!AB38</f>
        <v>9.7999999999999997E-3</v>
      </c>
      <c r="O41" s="3" t="s">
        <v>473</v>
      </c>
      <c r="P41" s="14" t="str">
        <f>_xll.PLContribFull(B41*100,"BID",O41,"Slot46","TICKER",3,,"Valid")</f>
        <v>4.795 (12:14:42.767165)</v>
      </c>
      <c r="Q41" s="5" t="str">
        <f>_xll.PLContribFull(I41*100,"ASK",O41,"Slot46","TICKER",3,,"Valid")</f>
        <v>5.145 (12:14:42.773167)</v>
      </c>
      <c r="R41" s="15" t="s">
        <v>483</v>
      </c>
      <c r="S41" s="14" t="str">
        <f>_xll.PLContribFull(C41*100,"BID",R41,"Slot46","TICKER",3,,"Valid")</f>
        <v>-0.080 (12:14:42.778167)</v>
      </c>
      <c r="T41" s="14" t="str">
        <f>_xll.PLContribFull(J41*100,"ASK",R41,"Slot46","TICKER",3,,"Valid")</f>
        <v>0.120 (12:14:42.778167)</v>
      </c>
      <c r="U41" s="3" t="s">
        <v>493</v>
      </c>
      <c r="V41" s="14" t="str">
        <f>_xll.PLContribFull(D41*100,"BID",U41,"Slot46","TICKER",3,,"Valid")</f>
        <v>-0.120 (12:14:42.777166)</v>
      </c>
      <c r="W41" s="5" t="str">
        <f>_xll.PLContribFull(K41*100,"ASK",U41,"Slot46","TICKER",3,,"Valid")</f>
        <v>0.280 (12:14:42.768166)</v>
      </c>
      <c r="X41" s="15" t="s">
        <v>503</v>
      </c>
      <c r="Y41" s="14" t="str">
        <f>_xll.PLContribFull(E41*100,"BID",X41,"Slot46","TICKER",3,,"Valid")</f>
        <v>0.120 (12:14:42.766166)</v>
      </c>
      <c r="Z41" s="14" t="str">
        <f>_xll.PLContribFull(L41*100,"ASK",X41,"Slot46","TICKER",3,,"Valid")</f>
        <v>0.320 (12:14:42.763166)</v>
      </c>
      <c r="AA41" s="3" t="s">
        <v>513</v>
      </c>
      <c r="AB41" s="14" t="str">
        <f>_xll.PLContribFull(F41*100,"BID",AA41,"Slot46","TICKER",3,,"Valid")</f>
        <v>0.580 (12:14:42.760167)</v>
      </c>
      <c r="AC41" s="5" t="str">
        <f>_xll.PLContribFull(M41*100,"ASK",AA41,"Slot46","TICKER",3,,"Valid")</f>
        <v>0.980 (12:14:42.766166)</v>
      </c>
      <c r="AD41" s="16"/>
    </row>
    <row r="42" spans="1:30" x14ac:dyDescent="0.2">
      <c r="A42" s="12" t="s">
        <v>14</v>
      </c>
      <c r="B42" s="11">
        <f>'G7 Input'!Q39</f>
        <v>5.0100000000000006E-2</v>
      </c>
      <c r="C42" s="11">
        <f>'G7 Input'!R39</f>
        <v>-7.000000000000001E-4</v>
      </c>
      <c r="D42" s="11">
        <f>'G7 Input'!S39</f>
        <v>-8.9999999999999998E-4</v>
      </c>
      <c r="E42" s="11">
        <f>'G7 Input'!T39</f>
        <v>1.5E-3</v>
      </c>
      <c r="F42" s="11">
        <f>'G7 Input'!U39</f>
        <v>7.3000000000000009E-3</v>
      </c>
      <c r="H42" s="10" t="s">
        <v>14</v>
      </c>
      <c r="I42" s="11">
        <f>'G7 Input'!X39</f>
        <v>5.3900000000000003E-2</v>
      </c>
      <c r="J42" s="11">
        <f>'G7 Input'!Y39</f>
        <v>1.2999999999999999E-3</v>
      </c>
      <c r="K42" s="11">
        <f>'G7 Input'!Z39</f>
        <v>3.1000000000000003E-3</v>
      </c>
      <c r="L42" s="11">
        <f>'G7 Input'!AA39</f>
        <v>3.5000000000000001E-3</v>
      </c>
      <c r="M42" s="11">
        <f>'G7 Input'!AB39</f>
        <v>1.1300000000000001E-2</v>
      </c>
      <c r="O42" s="3" t="s">
        <v>474</v>
      </c>
      <c r="P42" s="14" t="str">
        <f>_xll.PLContribFull(B42*100,"BID",O42,"Slot46","TICKER",3,,"Valid")</f>
        <v>5.010 (12:14:42.778167)</v>
      </c>
      <c r="Q42" s="5" t="str">
        <f>_xll.PLContribFull(I42*100,"ASK",O42,"Slot46","TICKER",3,,"Valid")</f>
        <v>5.390 (12:14:42.771168)</v>
      </c>
      <c r="R42" s="15" t="s">
        <v>484</v>
      </c>
      <c r="S42" s="14" t="str">
        <f>_xll.PLContribFull(C42*100,"BID",R42,"Slot46","TICKER",3,,"Valid")</f>
        <v>-0.070 (12:14:42.778167)</v>
      </c>
      <c r="T42" s="14" t="str">
        <f>_xll.PLContribFull(J42*100,"ASK",R42,"Slot46","TICKER",3,,"Valid")</f>
        <v>0.130 (12:14:42.778167)</v>
      </c>
      <c r="U42" s="3" t="s">
        <v>494</v>
      </c>
      <c r="V42" s="14" t="str">
        <f>_xll.PLContribFull(D42*100,"BID",U42,"Slot46","TICKER",3,,"Valid")</f>
        <v>-0.090 (12:14:42.769168)</v>
      </c>
      <c r="W42" s="5" t="str">
        <f>_xll.PLContribFull(K42*100,"ASK",U42,"Slot46","TICKER",3,,"Valid")</f>
        <v>0.310 (12:14:42.764166)</v>
      </c>
      <c r="X42" s="15" t="s">
        <v>504</v>
      </c>
      <c r="Y42" s="14" t="str">
        <f>_xll.PLContribFull(E42*100,"BID",X42,"Slot46","TICKER",3,,"Valid")</f>
        <v>0.150 (12:14:42.746167)</v>
      </c>
      <c r="Z42" s="14" t="str">
        <f>_xll.PLContribFull(L42*100,"ASK",X42,"Slot46","TICKER",3,,"Valid")</f>
        <v>0.350 (12:14:42.770167)</v>
      </c>
      <c r="AA42" s="3" t="s">
        <v>514</v>
      </c>
      <c r="AB42" s="14" t="str">
        <f>_xll.PLContribFull(F42*100,"BID",AA42,"Slot46","TICKER",3,,"Valid")</f>
        <v>0.730 (12:14:42.749167)</v>
      </c>
      <c r="AC42" s="5" t="str">
        <f>_xll.PLContribFull(M42*100,"ASK",AA42,"Slot46","TICKER",3,,"Valid")</f>
        <v>1.130 (12:14:42.764166)</v>
      </c>
      <c r="AD42" s="16"/>
    </row>
    <row r="43" spans="1:30" x14ac:dyDescent="0.2">
      <c r="A43" s="12" t="s">
        <v>876</v>
      </c>
      <c r="B43" s="11">
        <f>'G7 Input'!Q40</f>
        <v>5.2449999999999997E-2</v>
      </c>
      <c r="C43" s="11">
        <f>'G7 Input'!R40</f>
        <v>0</v>
      </c>
      <c r="D43" s="11">
        <f>'G7 Input'!S40</f>
        <v>5.0000000000000001E-4</v>
      </c>
      <c r="E43" s="11">
        <f>'G7 Input'!T40</f>
        <v>1.5E-3</v>
      </c>
      <c r="F43" s="11">
        <f>'G7 Input'!U40</f>
        <v>7.3999999999999986E-3</v>
      </c>
      <c r="H43" s="10" t="s">
        <v>876</v>
      </c>
      <c r="I43" s="11">
        <f>'G7 Input'!X40</f>
        <v>5.6149999999999992E-2</v>
      </c>
      <c r="J43" s="11">
        <f>'G7 Input'!Y40</f>
        <v>2E-3</v>
      </c>
      <c r="K43" s="11">
        <f>'G7 Input'!Z40</f>
        <v>4.5000000000000005E-3</v>
      </c>
      <c r="L43" s="11">
        <f>'G7 Input'!AA40</f>
        <v>3.5000000000000001E-3</v>
      </c>
      <c r="M43" s="11">
        <f>'G7 Input'!AB40</f>
        <v>1.1399999999999999E-2</v>
      </c>
      <c r="O43" s="3" t="s">
        <v>882</v>
      </c>
      <c r="P43" s="14" t="str">
        <f>_xll.PLContribFull(B43*100,"BID",O43,"Slot46","TICKER",3,,"Valid")</f>
        <v>5.245 (12:14:42.762166)</v>
      </c>
      <c r="Q43" s="5" t="str">
        <f>_xll.PLContribFull(I43*100,"ASK",O43,"Slot46","TICKER",3,,"Valid")</f>
        <v>5.615 (12:14:42.776167)</v>
      </c>
      <c r="R43" s="15" t="s">
        <v>883</v>
      </c>
      <c r="S43" s="14" t="str">
        <f>_xll.PLContribFull(C43*100,"BID",R43,"Slot46","TICKER",3,,"Valid")</f>
        <v>0.000 (12:14:42.767165)</v>
      </c>
      <c r="T43" s="14" t="str">
        <f>_xll.PLContribFull(J43*100,"ASK",R43,"Slot46","TICKER",3,,"Valid")</f>
        <v>0.200 (12:14:42.778167)</v>
      </c>
      <c r="U43" s="3" t="s">
        <v>884</v>
      </c>
      <c r="V43" s="14" t="str">
        <f>_xll.PLContribFull(D43*100,"BID",U43,"Slot46","TICKER",3,,"Valid")</f>
        <v>0.050 (12:14:42.764166)</v>
      </c>
      <c r="W43" s="5" t="str">
        <f>_xll.PLContribFull(K43*100,"ASK",U43,"Slot46","TICKER",3,,"Valid")</f>
        <v>0.450 (12:14:42.766166)</v>
      </c>
      <c r="X43" s="15" t="s">
        <v>885</v>
      </c>
      <c r="Y43" s="14" t="str">
        <f>_xll.PLContribFull(E43*100,"BID",X43,"Slot46","TICKER",3,,"Valid")</f>
        <v>0.150 (12:14:42.761166)</v>
      </c>
      <c r="Z43" s="14" t="str">
        <f>_xll.PLContribFull(L43*100,"ASK",X43,"Slot46","TICKER",3,,"Valid")</f>
        <v>0.350 (12:14:42.762166)</v>
      </c>
      <c r="AA43" s="3" t="s">
        <v>886</v>
      </c>
      <c r="AB43" s="14" t="str">
        <f>_xll.PLContribFull(F43*100,"BID",AA43,"Slot46","TICKER",3,,"Valid")</f>
        <v>0.740 (12:14:42.760167)</v>
      </c>
      <c r="AC43" s="5" t="str">
        <f>_xll.PLContribFull(M43*100,"ASK",AA43,"Slot46","TICKER",3,,"Valid")</f>
        <v>1.140 (12:14:42.761166)</v>
      </c>
      <c r="AD43" s="16"/>
    </row>
    <row r="44" spans="1:30" x14ac:dyDescent="0.2"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8"/>
      <c r="AC44" s="18"/>
    </row>
    <row r="46" spans="1:30" x14ac:dyDescent="0.25">
      <c r="A46" s="10" t="s">
        <v>355</v>
      </c>
      <c r="O46" s="3" t="s">
        <v>67</v>
      </c>
      <c r="P46" s="15" t="s">
        <v>68</v>
      </c>
      <c r="Q46" s="6"/>
      <c r="R46" s="15" t="s">
        <v>67</v>
      </c>
      <c r="S46" s="15" t="s">
        <v>68</v>
      </c>
      <c r="T46" s="15"/>
      <c r="U46" s="3" t="s">
        <v>67</v>
      </c>
      <c r="V46" s="15" t="s">
        <v>68</v>
      </c>
      <c r="W46" s="6"/>
      <c r="X46" s="15" t="s">
        <v>67</v>
      </c>
      <c r="Y46" s="15" t="s">
        <v>68</v>
      </c>
      <c r="Z46" s="15"/>
      <c r="AA46" s="3" t="s">
        <v>67</v>
      </c>
      <c r="AB46" s="15" t="s">
        <v>68</v>
      </c>
      <c r="AC46" s="6"/>
    </row>
    <row r="47" spans="1:30" ht="14.25" x14ac:dyDescent="0.25">
      <c r="A47" s="12" t="s">
        <v>331</v>
      </c>
      <c r="B47" s="12" t="s">
        <v>0</v>
      </c>
      <c r="C47" s="12" t="s">
        <v>1</v>
      </c>
      <c r="D47" s="12" t="s">
        <v>2</v>
      </c>
      <c r="E47" s="12" t="s">
        <v>3</v>
      </c>
      <c r="F47" s="12" t="s">
        <v>4</v>
      </c>
      <c r="H47" s="10" t="s">
        <v>16</v>
      </c>
      <c r="I47" s="10" t="s">
        <v>0</v>
      </c>
      <c r="J47" s="10" t="s">
        <v>1</v>
      </c>
      <c r="K47" s="10" t="s">
        <v>2</v>
      </c>
      <c r="L47" s="10" t="s">
        <v>3</v>
      </c>
      <c r="M47" s="10" t="s">
        <v>4</v>
      </c>
      <c r="O47" s="3" t="s">
        <v>66</v>
      </c>
      <c r="P47" s="13" t="s">
        <v>15</v>
      </c>
      <c r="Q47" s="4" t="s">
        <v>16</v>
      </c>
      <c r="R47" s="15" t="s">
        <v>1</v>
      </c>
      <c r="S47" s="13" t="s">
        <v>15</v>
      </c>
      <c r="T47" s="13" t="s">
        <v>16</v>
      </c>
      <c r="U47" s="3" t="s">
        <v>2</v>
      </c>
      <c r="V47" s="13" t="s">
        <v>15</v>
      </c>
      <c r="W47" s="4" t="s">
        <v>16</v>
      </c>
      <c r="X47" s="15" t="s">
        <v>3</v>
      </c>
      <c r="Y47" s="13" t="s">
        <v>15</v>
      </c>
      <c r="Z47" s="13" t="s">
        <v>16</v>
      </c>
      <c r="AA47" s="3" t="s">
        <v>4</v>
      </c>
      <c r="AB47" s="13" t="s">
        <v>15</v>
      </c>
      <c r="AC47" s="4" t="s">
        <v>16</v>
      </c>
      <c r="AD47" s="2"/>
    </row>
    <row r="48" spans="1:30" x14ac:dyDescent="0.2">
      <c r="A48" s="12" t="s">
        <v>5</v>
      </c>
      <c r="B48" s="11">
        <f>'G7 Input'!Q44</f>
        <v>5.9499999999999987E-3</v>
      </c>
      <c r="C48" s="11">
        <f>'G7 Input'!R44</f>
        <v>-4.9000000000000007E-3</v>
      </c>
      <c r="D48" s="11">
        <f>'G7 Input'!S44</f>
        <v>-9.7000000000000003E-3</v>
      </c>
      <c r="E48" s="11">
        <f>'G7 Input'!T44</f>
        <v>-5.4000000000000003E-3</v>
      </c>
      <c r="F48" s="11">
        <f>'G7 Input'!U44</f>
        <v>-8.9000000000000017E-3</v>
      </c>
      <c r="H48" s="10" t="s">
        <v>5</v>
      </c>
      <c r="I48" s="11">
        <f>'G7 Input'!X44</f>
        <v>0.10024999999999999</v>
      </c>
      <c r="J48" s="11">
        <f>'G7 Input'!Y44</f>
        <v>4.1000000000000003E-3</v>
      </c>
      <c r="K48" s="11">
        <f>'G7 Input'!Z44</f>
        <v>8.3000000000000018E-3</v>
      </c>
      <c r="L48" s="11">
        <f>'G7 Input'!AA44</f>
        <v>7.6000000000000009E-3</v>
      </c>
      <c r="M48" s="11">
        <f>'G7 Input'!AB44</f>
        <v>1.7100000000000001E-2</v>
      </c>
      <c r="O48" s="3" t="s">
        <v>576</v>
      </c>
      <c r="P48" s="14" t="str">
        <f>_xll.PLContribFull(B48*100,"BID",O48,"Slot46","TICKER",3,,"Valid")</f>
        <v>0.595 (12:14:42.774166)</v>
      </c>
      <c r="Q48" s="5" t="str">
        <f>_xll.PLContribFull(I48*100,"ASK",O48,"Slot46","TICKER",3,,"Valid")</f>
        <v>10.025 (12:14:42.775167)</v>
      </c>
      <c r="R48" s="15" t="s">
        <v>586</v>
      </c>
      <c r="S48" s="14" t="str">
        <f>_xll.PLContribFull(C48*100,"BID",R48,"Slot46","TICKER",3,,"Valid")</f>
        <v>-0.490 (12:14:42.761166)</v>
      </c>
      <c r="T48" s="14" t="str">
        <f>_xll.PLContribFull(J48*100,"ASK",R48,"Slot46","TICKER",3,,"Valid")</f>
        <v>0.410 (12:14:42.769168)</v>
      </c>
      <c r="U48" s="3" t="s">
        <v>596</v>
      </c>
      <c r="V48" s="14" t="str">
        <f>_xll.PLContribFull(D48*100,"BID",U48,"Slot46","TICKER",3,,"Valid")</f>
        <v>-0.970 (12:14:42.755167)</v>
      </c>
      <c r="W48" s="5" t="str">
        <f>_xll.PLContribFull(K48*100,"ASK",U48,"Slot46","TICKER",3,,"Valid")</f>
        <v>0.830 (12:14:42.758167)</v>
      </c>
      <c r="X48" s="15" t="s">
        <v>606</v>
      </c>
      <c r="Y48" s="14" t="str">
        <f>_xll.PLContribFull(E48*100,"BID",X48,"Slot46","TICKER",3,,"Valid")</f>
        <v>-0.540 (12:14:42.762166)</v>
      </c>
      <c r="Z48" s="14" t="str">
        <f>_xll.PLContribFull(L48*100,"ASK",X48,"Slot46","TICKER",3,,"Valid")</f>
        <v>0.760 (12:14:42.753167)</v>
      </c>
      <c r="AA48" s="3" t="s">
        <v>616</v>
      </c>
      <c r="AB48" s="14" t="str">
        <f>_xll.PLContribFull(F48*100,"BID",AA48,"Slot46","TICKER",3,,"Valid")</f>
        <v>-0.890 (12:14:42.768166)</v>
      </c>
      <c r="AC48" s="5" t="str">
        <f>_xll.PLContribFull(M48*100,"ASK",AA48,"Slot46","TICKER",3,,"Valid")</f>
        <v>1.710 (12:14:42.769168)</v>
      </c>
      <c r="AD48" s="16"/>
    </row>
    <row r="49" spans="1:30" x14ac:dyDescent="0.2">
      <c r="A49" s="12" t="s">
        <v>6</v>
      </c>
      <c r="B49" s="11">
        <f>'G7 Input'!Q45</f>
        <v>2.6200000000000001E-2</v>
      </c>
      <c r="C49" s="11">
        <f>'G7 Input'!R45</f>
        <v>-2.2000000000000001E-3</v>
      </c>
      <c r="D49" s="11">
        <f>'G7 Input'!S45</f>
        <v>-4.4000000000000003E-3</v>
      </c>
      <c r="E49" s="11">
        <f>'G7 Input'!T45</f>
        <v>-1E-3</v>
      </c>
      <c r="F49" s="11">
        <f>'G7 Input'!U45</f>
        <v>-2.0000000000000009E-4</v>
      </c>
      <c r="H49" s="10" t="s">
        <v>6</v>
      </c>
      <c r="I49" s="11">
        <f>'G7 Input'!X45</f>
        <v>6.6599999999999993E-2</v>
      </c>
      <c r="J49" s="11">
        <f>'G7 Input'!Y45</f>
        <v>1.8E-3</v>
      </c>
      <c r="K49" s="11">
        <f>'G7 Input'!Z45</f>
        <v>3.5999999999999999E-3</v>
      </c>
      <c r="L49" s="11">
        <f>'G7 Input'!AA45</f>
        <v>3.0000000000000001E-3</v>
      </c>
      <c r="M49" s="11">
        <f>'G7 Input'!AB45</f>
        <v>7.7999999999999996E-3</v>
      </c>
      <c r="O49" s="3" t="s">
        <v>577</v>
      </c>
      <c r="P49" s="14" t="str">
        <f>_xll.PLContribFull(B49*100,"BID",O49,"Slot46","TICKER",3,,"Valid")</f>
        <v>2.620 (12:14:42.775167)</v>
      </c>
      <c r="Q49" s="5" t="str">
        <f>_xll.PLContribFull(I49*100,"ASK",O49,"Slot46","TICKER",3,,"Valid")</f>
        <v>6.660 (12:14:42.763166)</v>
      </c>
      <c r="R49" s="15" t="s">
        <v>587</v>
      </c>
      <c r="S49" s="14" t="str">
        <f>_xll.PLContribFull(C49*100,"BID",R49,"Slot46","TICKER",3,,"Valid")</f>
        <v>-0.220 (12:14:42.776167)</v>
      </c>
      <c r="T49" s="14" t="str">
        <f>_xll.PLContribFull(J49*100,"ASK",R49,"Slot46","TICKER",3,,"Valid")</f>
        <v>0.180 (12:14:42.749167)</v>
      </c>
      <c r="U49" s="3" t="s">
        <v>597</v>
      </c>
      <c r="V49" s="14" t="str">
        <f>_xll.PLContribFull(D49*100,"BID",U49,"Slot46","TICKER",3,,"Valid")</f>
        <v>-0.440 (12:14:42.747168)</v>
      </c>
      <c r="W49" s="5" t="str">
        <f>_xll.PLContribFull(K49*100,"ASK",U49,"Slot46","TICKER",3,,"Valid")</f>
        <v>0.360 (12:14:42.769168)</v>
      </c>
      <c r="X49" s="15" t="s">
        <v>607</v>
      </c>
      <c r="Y49" s="14" t="str">
        <f>_xll.PLContribFull(E49*100,"BID",X49,"Slot46","TICKER",3,,"Valid")</f>
        <v>-0.100 (12:14:42.774166)</v>
      </c>
      <c r="Z49" s="14" t="str">
        <f>_xll.PLContribFull(L49*100,"ASK",X49,"Slot46","TICKER",3,,"Valid")</f>
        <v>0.300 (12:14:42.744167)</v>
      </c>
      <c r="AA49" s="3" t="s">
        <v>617</v>
      </c>
      <c r="AB49" s="14" t="str">
        <f>_xll.PLContribFull(F49*100,"BID",AA49,"Slot46","TICKER",3,,"Valid")</f>
        <v>-0.020 (12:14:42.763166)</v>
      </c>
      <c r="AC49" s="5" t="str">
        <f>_xll.PLContribFull(M49*100,"ASK",AA49,"Slot46","TICKER",3,,"Valid")</f>
        <v>0.780 (12:14:42.762166)</v>
      </c>
      <c r="AD49" s="16"/>
    </row>
    <row r="50" spans="1:30" x14ac:dyDescent="0.2">
      <c r="A50" s="12" t="s">
        <v>7</v>
      </c>
      <c r="B50" s="11">
        <f>'G7 Input'!Q46</f>
        <v>3.1349999999999996E-2</v>
      </c>
      <c r="C50" s="11">
        <f>'G7 Input'!R46</f>
        <v>-8.9999999999999998E-4</v>
      </c>
      <c r="D50" s="11">
        <f>'G7 Input'!S46</f>
        <v>-1.8E-3</v>
      </c>
      <c r="E50" s="11">
        <f>'G7 Input'!T46</f>
        <v>1.0000000000000005E-4</v>
      </c>
      <c r="F50" s="11">
        <f>'G7 Input'!U46</f>
        <v>2E-3</v>
      </c>
      <c r="H50" s="10" t="s">
        <v>7</v>
      </c>
      <c r="I50" s="11">
        <f>'G7 Input'!X46</f>
        <v>5.525E-2</v>
      </c>
      <c r="J50" s="11">
        <f>'G7 Input'!Y46</f>
        <v>1.1000000000000001E-3</v>
      </c>
      <c r="K50" s="11">
        <f>'G7 Input'!Z46</f>
        <v>2.2000000000000001E-3</v>
      </c>
      <c r="L50" s="11">
        <f>'G7 Input'!AA46</f>
        <v>2.1000000000000003E-3</v>
      </c>
      <c r="M50" s="11">
        <f>'G7 Input'!AB46</f>
        <v>6.0000000000000001E-3</v>
      </c>
      <c r="O50" s="3" t="s">
        <v>578</v>
      </c>
      <c r="P50" s="14" t="str">
        <f>_xll.PLContribFull(B50*100,"BID",O50,"Slot46","TICKER",3,,"Valid")</f>
        <v>3.135 (12:14:42.764166)</v>
      </c>
      <c r="Q50" s="5" t="str">
        <f>_xll.PLContribFull(I50*100,"ASK",O50,"Slot46","TICKER",3,,"Valid")</f>
        <v>5.525 (12:14:42.771168)</v>
      </c>
      <c r="R50" s="15" t="s">
        <v>588</v>
      </c>
      <c r="S50" s="14" t="str">
        <f>_xll.PLContribFull(C50*100,"BID",R50,"Slot46","TICKER",3,,"Valid")</f>
        <v>-0.090 (12:14:42.771168)</v>
      </c>
      <c r="T50" s="14" t="str">
        <f>_xll.PLContribFull(J50*100,"ASK",R50,"Slot46","TICKER",3,,"Valid")</f>
        <v>0.110 (12:14:42.760167)</v>
      </c>
      <c r="U50" s="3" t="s">
        <v>598</v>
      </c>
      <c r="V50" s="14" t="str">
        <f>_xll.PLContribFull(D50*100,"BID",U50,"Slot46","TICKER",3,,"Valid")</f>
        <v>-0.180 (12:14:42.775167)</v>
      </c>
      <c r="W50" s="5" t="str">
        <f>_xll.PLContribFull(K50*100,"ASK",U50,"Slot46","TICKER",3,,"Valid")</f>
        <v>0.220 (12:14:42.767165)</v>
      </c>
      <c r="X50" s="15" t="s">
        <v>608</v>
      </c>
      <c r="Y50" s="14" t="str">
        <f>_xll.PLContribFull(E50*100,"BID",X50,"Slot46","TICKER",3,,"Valid")</f>
        <v>0.010 (12:14:42.751168)</v>
      </c>
      <c r="Z50" s="14" t="str">
        <f>_xll.PLContribFull(L50*100,"ASK",X50,"Slot46","TICKER",3,,"Valid")</f>
        <v>0.210 (12:14:42.766166)</v>
      </c>
      <c r="AA50" s="3" t="s">
        <v>618</v>
      </c>
      <c r="AB50" s="14" t="str">
        <f>_xll.PLContribFull(F50*100,"BID",AA50,"Slot46","TICKER",3,,"Valid")</f>
        <v>0.200 (12:14:42.753167)</v>
      </c>
      <c r="AC50" s="5" t="str">
        <f>_xll.PLContribFull(M50*100,"ASK",AA50,"Slot46","TICKER",3,,"Valid")</f>
        <v>0.600 (12:14:42.777166)</v>
      </c>
      <c r="AD50" s="16"/>
    </row>
    <row r="51" spans="1:30" x14ac:dyDescent="0.2">
      <c r="A51" s="12" t="s">
        <v>8</v>
      </c>
      <c r="B51" s="11">
        <f>'G7 Input'!Q47</f>
        <v>3.6650000000000002E-2</v>
      </c>
      <c r="C51" s="11">
        <f>'G7 Input'!R47</f>
        <v>-7.000000000000001E-4</v>
      </c>
      <c r="D51" s="11">
        <f>'G7 Input'!S47</f>
        <v>-1.4000000000000002E-3</v>
      </c>
      <c r="E51" s="11">
        <f>'G7 Input'!T47</f>
        <v>1.9999999999999987E-4</v>
      </c>
      <c r="F51" s="11">
        <f>'G7 Input'!U47</f>
        <v>2.1999999999999997E-3</v>
      </c>
      <c r="H51" s="10" t="s">
        <v>8</v>
      </c>
      <c r="I51" s="11">
        <f>'G7 Input'!X47</f>
        <v>4.9949999999999994E-2</v>
      </c>
      <c r="J51" s="11">
        <f>'G7 Input'!Y47</f>
        <v>1.2999999999999999E-3</v>
      </c>
      <c r="K51" s="11">
        <f>'G7 Input'!Z47</f>
        <v>2.5999999999999999E-3</v>
      </c>
      <c r="L51" s="11">
        <f>'G7 Input'!AA47</f>
        <v>2.1999999999999997E-3</v>
      </c>
      <c r="M51" s="11">
        <f>'G7 Input'!AB47</f>
        <v>6.1999999999999998E-3</v>
      </c>
      <c r="O51" s="3" t="s">
        <v>579</v>
      </c>
      <c r="P51" s="14" t="str">
        <f>_xll.PLContribFull(B51*100,"BID",O51,"Slot46","TICKER",3,,"Valid")</f>
        <v>3.665 (12:14:42.762166)</v>
      </c>
      <c r="Q51" s="5" t="str">
        <f>_xll.PLContribFull(I51*100,"ASK",O51,"Slot46","TICKER",3,,"Valid")</f>
        <v>4.995 (12:14:42.770167)</v>
      </c>
      <c r="R51" s="15" t="s">
        <v>589</v>
      </c>
      <c r="S51" s="14" t="str">
        <f>_xll.PLContribFull(C51*100,"BID",R51,"Slot46","TICKER",3,,"Valid")</f>
        <v>-0.070 (12:14:42.767165)</v>
      </c>
      <c r="T51" s="14" t="str">
        <f>_xll.PLContribFull(J51*100,"ASK",R51,"Slot46","TICKER",3,,"Valid")</f>
        <v>0.130 (12:14:42.774166)</v>
      </c>
      <c r="U51" s="3" t="s">
        <v>599</v>
      </c>
      <c r="V51" s="14" t="str">
        <f>_xll.PLContribFull(D51*100,"BID",U51,"Slot46","TICKER",3,,"Valid")</f>
        <v>-0.140 (12:14:42.745167)</v>
      </c>
      <c r="W51" s="5" t="str">
        <f>_xll.PLContribFull(K51*100,"ASK",U51,"Slot46","TICKER",3,,"Valid")</f>
        <v>0.260 (12:14:42.776167)</v>
      </c>
      <c r="X51" s="15" t="s">
        <v>609</v>
      </c>
      <c r="Y51" s="14" t="str">
        <f>_xll.PLContribFull(E51*100,"BID",X51,"Slot46","TICKER",3,,"Valid")</f>
        <v>0.020 (12:14:42.773167)</v>
      </c>
      <c r="Z51" s="14" t="str">
        <f>_xll.PLContribFull(L51*100,"ASK",X51,"Slot46","TICKER",3,,"Valid")</f>
        <v>0.220 (12:14:42.768166)</v>
      </c>
      <c r="AA51" s="3" t="s">
        <v>619</v>
      </c>
      <c r="AB51" s="14" t="str">
        <f>_xll.PLContribFull(F51*100,"BID",AA51,"Slot46","TICKER",3,,"Valid")</f>
        <v>0.220 (12:14:42.774166)</v>
      </c>
      <c r="AC51" s="5" t="str">
        <f>_xll.PLContribFull(M51*100,"ASK",AA51,"Slot46","TICKER",3,,"Valid")</f>
        <v>0.620 (12:14:42.776167)</v>
      </c>
      <c r="AD51" s="16"/>
    </row>
    <row r="52" spans="1:30" x14ac:dyDescent="0.2">
      <c r="A52" s="12" t="s">
        <v>9</v>
      </c>
      <c r="B52" s="11">
        <f>'G7 Input'!Q48</f>
        <v>3.755E-2</v>
      </c>
      <c r="C52" s="11">
        <f>'G7 Input'!R48</f>
        <v>-7.000000000000001E-4</v>
      </c>
      <c r="D52" s="11">
        <f>'G7 Input'!S48</f>
        <v>-1.2999999999999999E-3</v>
      </c>
      <c r="E52" s="11">
        <f>'G7 Input'!T48</f>
        <v>2.9999999999999992E-4</v>
      </c>
      <c r="F52" s="11">
        <f>'G7 Input'!U48</f>
        <v>2.6999999999999993E-3</v>
      </c>
      <c r="H52" s="10" t="s">
        <v>9</v>
      </c>
      <c r="I52" s="11">
        <f>'G7 Input'!X48</f>
        <v>4.9850000000000005E-2</v>
      </c>
      <c r="J52" s="11">
        <f>'G7 Input'!Y48</f>
        <v>1.2999999999999999E-3</v>
      </c>
      <c r="K52" s="11">
        <f>'G7 Input'!Z48</f>
        <v>2.7000000000000001E-3</v>
      </c>
      <c r="L52" s="11">
        <f>'G7 Input'!AA48</f>
        <v>2.3E-3</v>
      </c>
      <c r="M52" s="11">
        <f>'G7 Input'!AB48</f>
        <v>6.6999999999999994E-3</v>
      </c>
      <c r="O52" s="3" t="s">
        <v>580</v>
      </c>
      <c r="P52" s="14" t="str">
        <f>_xll.PLContribFull(B52*100,"BID",O52,"Slot46","TICKER",3,,"Valid")</f>
        <v>3.755 (12:14:42.766166)</v>
      </c>
      <c r="Q52" s="5" t="str">
        <f>_xll.PLContribFull(I52*100,"ASK",O52,"Slot46","TICKER",3,,"Valid")</f>
        <v>4.985 (12:14:42.767165)</v>
      </c>
      <c r="R52" s="15" t="s">
        <v>590</v>
      </c>
      <c r="S52" s="14" t="str">
        <f>_xll.PLContribFull(C52*100,"BID",R52,"Slot46","TICKER",3,,"Valid")</f>
        <v>-0.070 (12:14:42.764166)</v>
      </c>
      <c r="T52" s="14" t="str">
        <f>_xll.PLContribFull(J52*100,"ASK",R52,"Slot46","TICKER",3,,"Valid")</f>
        <v>0.130 (12:14:42.760167)</v>
      </c>
      <c r="U52" s="3" t="s">
        <v>600</v>
      </c>
      <c r="V52" s="14" t="str">
        <f>_xll.PLContribFull(D52*100,"BID",U52,"Slot46","TICKER",3,,"Valid")</f>
        <v>-0.130 (12:14:42.766166)</v>
      </c>
      <c r="W52" s="5" t="str">
        <f>_xll.PLContribFull(K52*100,"ASK",U52,"Slot46","TICKER",3,,"Valid")</f>
        <v>0.270 (12:14:42.756167)</v>
      </c>
      <c r="X52" s="15" t="s">
        <v>610</v>
      </c>
      <c r="Y52" s="14" t="str">
        <f>_xll.PLContribFull(E52*100,"BID",X52,"Slot46","TICKER",3,,"Valid")</f>
        <v>0.030 (12:14:42.768166)</v>
      </c>
      <c r="Z52" s="14" t="str">
        <f>_xll.PLContribFull(L52*100,"ASK",X52,"Slot46","TICKER",3,,"Valid")</f>
        <v>0.230 (12:14:42.761166)</v>
      </c>
      <c r="AA52" s="3" t="s">
        <v>620</v>
      </c>
      <c r="AB52" s="14" t="str">
        <f>_xll.PLContribFull(F52*100,"BID",AA52,"Slot46","TICKER",3,,"Valid")</f>
        <v>0.270 (12:14:42.754169)</v>
      </c>
      <c r="AC52" s="5" t="str">
        <f>_xll.PLContribFull(M52*100,"ASK",AA52,"Slot46","TICKER",3,,"Valid")</f>
        <v>0.670 (12:14:42.770167)</v>
      </c>
      <c r="AD52" s="16"/>
    </row>
    <row r="53" spans="1:30" x14ac:dyDescent="0.2">
      <c r="A53" s="12" t="s">
        <v>10</v>
      </c>
      <c r="B53" s="11">
        <f>'G7 Input'!Q49</f>
        <v>3.8149999999999996E-2</v>
      </c>
      <c r="C53" s="11">
        <f>'G7 Input'!R49</f>
        <v>-6.0000000000000006E-4</v>
      </c>
      <c r="D53" s="11">
        <f>'G7 Input'!S49</f>
        <v>-1.2000000000000001E-3</v>
      </c>
      <c r="E53" s="11">
        <f>'G7 Input'!T49</f>
        <v>4.0000000000000018E-4</v>
      </c>
      <c r="F53" s="11">
        <f>'G7 Input'!U49</f>
        <v>3.1999999999999997E-3</v>
      </c>
      <c r="H53" s="10" t="s">
        <v>10</v>
      </c>
      <c r="I53" s="11">
        <f>'G7 Input'!X49</f>
        <v>5.0450000000000002E-2</v>
      </c>
      <c r="J53" s="11">
        <f>'G7 Input'!Y49</f>
        <v>1.4E-3</v>
      </c>
      <c r="K53" s="11">
        <f>'G7 Input'!Z49</f>
        <v>2.8E-3</v>
      </c>
      <c r="L53" s="11">
        <f>'G7 Input'!AA49</f>
        <v>2.4000000000000002E-3</v>
      </c>
      <c r="M53" s="11">
        <f>'G7 Input'!AB49</f>
        <v>7.1999999999999998E-3</v>
      </c>
      <c r="O53" s="3" t="s">
        <v>581</v>
      </c>
      <c r="P53" s="14" t="str">
        <f>_xll.PLContribFull(B53*100,"BID",O53,"Slot46","TICKER",3,,"Valid")</f>
        <v>3.815 (12:14:42.770167)</v>
      </c>
      <c r="Q53" s="5" t="str">
        <f>_xll.PLContribFull(I53*100,"ASK",O53,"Slot46","TICKER",3,,"Valid")</f>
        <v>5.045 (12:14:42.777166)</v>
      </c>
      <c r="R53" s="15" t="s">
        <v>591</v>
      </c>
      <c r="S53" s="14" t="str">
        <f>_xll.PLContribFull(C53*100,"BID",R53,"Slot46","TICKER",3,,"Valid")</f>
        <v>-0.060 (12:14:42.774166)</v>
      </c>
      <c r="T53" s="14" t="str">
        <f>_xll.PLContribFull(J53*100,"ASK",R53,"Slot46","TICKER",3,,"Valid")</f>
        <v>0.140 (12:14:42.770167)</v>
      </c>
      <c r="U53" s="3" t="s">
        <v>601</v>
      </c>
      <c r="V53" s="14" t="str">
        <f>_xll.PLContribFull(D53*100,"BID",U53,"Slot46","TICKER",3,,"Valid")</f>
        <v>-0.120 (12:14:42.776167)</v>
      </c>
      <c r="W53" s="5" t="str">
        <f>_xll.PLContribFull(K53*100,"ASK",U53,"Slot46","TICKER",3,,"Valid")</f>
        <v>0.280 (12:14:42.769168)</v>
      </c>
      <c r="X53" s="15" t="s">
        <v>611</v>
      </c>
      <c r="Y53" s="14" t="str">
        <f>_xll.PLContribFull(E53*100,"BID",X53,"Slot46","TICKER",3,,"Valid")</f>
        <v>0.040 (12:14:42.754169)</v>
      </c>
      <c r="Z53" s="14" t="str">
        <f>_xll.PLContribFull(L53*100,"ASK",X53,"Slot46","TICKER",3,,"Valid")</f>
        <v>0.240 (12:14:42.760167)</v>
      </c>
      <c r="AA53" s="3" t="s">
        <v>621</v>
      </c>
      <c r="AB53" s="14" t="str">
        <f>_xll.PLContribFull(F53*100,"BID",AA53,"Slot46","TICKER",3,,"Valid")</f>
        <v>0.320 (12:14:42.777166)</v>
      </c>
      <c r="AC53" s="5" t="str">
        <f>_xll.PLContribFull(M53*100,"ASK",AA53,"Slot46","TICKER",3,,"Valid")</f>
        <v>0.720 (12:14:42.778167)</v>
      </c>
      <c r="AD53" s="16"/>
    </row>
    <row r="54" spans="1:30" x14ac:dyDescent="0.2">
      <c r="A54" s="12" t="s">
        <v>11</v>
      </c>
      <c r="B54" s="11">
        <f>'G7 Input'!Q50</f>
        <v>4.0399999999999991E-2</v>
      </c>
      <c r="C54" s="11">
        <f>'G7 Input'!R50</f>
        <v>-1.2000000000000001E-3</v>
      </c>
      <c r="D54" s="11">
        <f>'G7 Input'!S50</f>
        <v>-2.3E-3</v>
      </c>
      <c r="E54" s="11">
        <f>'G7 Input'!T50</f>
        <v>7.000000000000001E-4</v>
      </c>
      <c r="F54" s="11">
        <f>'G7 Input'!U50</f>
        <v>4.3E-3</v>
      </c>
      <c r="H54" s="10" t="s">
        <v>11</v>
      </c>
      <c r="I54" s="11">
        <f>'G7 Input'!X50</f>
        <v>5.099999999999999E-2</v>
      </c>
      <c r="J54" s="11">
        <f>'G7 Input'!Y50</f>
        <v>8.0000000000000004E-4</v>
      </c>
      <c r="K54" s="11">
        <f>'G7 Input'!Z50</f>
        <v>1.7000000000000001E-3</v>
      </c>
      <c r="L54" s="11">
        <f>'G7 Input'!AA50</f>
        <v>2.7000000000000001E-3</v>
      </c>
      <c r="M54" s="11">
        <f>'G7 Input'!AB50</f>
        <v>8.3000000000000001E-3</v>
      </c>
      <c r="O54" s="3" t="s">
        <v>582</v>
      </c>
      <c r="P54" s="14" t="str">
        <f>_xll.PLContribFull(B54*100,"BID",O54,"Slot46","TICKER",3,,"Valid")</f>
        <v>4.040 (12:14:42.764166)</v>
      </c>
      <c r="Q54" s="5" t="str">
        <f>_xll.PLContribFull(I54*100,"ASK",O54,"Slot46","TICKER",3,,"Valid")</f>
        <v>5.100 (12:14:42.774166)</v>
      </c>
      <c r="R54" s="15" t="s">
        <v>592</v>
      </c>
      <c r="S54" s="14" t="str">
        <f>_xll.PLContribFull(C54*100,"BID",R54,"Slot46","TICKER",3,,"Valid")</f>
        <v>-0.120 (12:14:42.774166)</v>
      </c>
      <c r="T54" s="14" t="str">
        <f>_xll.PLContribFull(J54*100,"ASK",R54,"Slot46","TICKER",3,,"Valid")</f>
        <v>0.080 (12:14:42.775167)</v>
      </c>
      <c r="U54" s="3" t="s">
        <v>602</v>
      </c>
      <c r="V54" s="14" t="str">
        <f>_xll.PLContribFull(D54*100,"BID",U54,"Slot46","TICKER",3,,"Valid")</f>
        <v>-0.230 (12:14:42.763166)</v>
      </c>
      <c r="W54" s="5" t="str">
        <f>_xll.PLContribFull(K54*100,"ASK",U54,"Slot46","TICKER",3,,"Valid")</f>
        <v>0.170 (12:14:42.768166)</v>
      </c>
      <c r="X54" s="15" t="s">
        <v>612</v>
      </c>
      <c r="Y54" s="14" t="str">
        <f>_xll.PLContribFull(E54*100,"BID",X54,"Slot46","TICKER",3,,"Valid")</f>
        <v>0.070 (12:14:42.762166)</v>
      </c>
      <c r="Z54" s="14" t="str">
        <f>_xll.PLContribFull(L54*100,"ASK",X54,"Slot46","TICKER",3,,"Valid")</f>
        <v>0.270 (12:14:42.766166)</v>
      </c>
      <c r="AA54" s="3" t="s">
        <v>622</v>
      </c>
      <c r="AB54" s="14" t="str">
        <f>_xll.PLContribFull(F54*100,"BID",AA54,"Slot46","TICKER",3,,"Valid")</f>
        <v>0.430 (12:14:42.752166)</v>
      </c>
      <c r="AC54" s="5" t="str">
        <f>_xll.PLContribFull(M54*100,"ASK",AA54,"Slot46","TICKER",3,,"Valid")</f>
        <v>0.830 (12:14:42.768166)</v>
      </c>
      <c r="AD54" s="16"/>
    </row>
    <row r="55" spans="1:30" x14ac:dyDescent="0.2">
      <c r="A55" s="12" t="s">
        <v>12</v>
      </c>
      <c r="B55" s="11">
        <f>'G7 Input'!Q51</f>
        <v>4.3150000000000001E-2</v>
      </c>
      <c r="C55" s="11">
        <f>'G7 Input'!R51</f>
        <v>-1.2000000000000001E-3</v>
      </c>
      <c r="D55" s="11">
        <f>'G7 Input'!S51</f>
        <v>-2.2000000000000001E-3</v>
      </c>
      <c r="E55" s="11">
        <f>'G7 Input'!T51</f>
        <v>1.0999999999999998E-3</v>
      </c>
      <c r="F55" s="11">
        <f>'G7 Input'!U51</f>
        <v>5.5999999999999999E-3</v>
      </c>
      <c r="H55" s="10" t="s">
        <v>12</v>
      </c>
      <c r="I55" s="11">
        <f>'G7 Input'!X51</f>
        <v>5.3450000000000004E-2</v>
      </c>
      <c r="J55" s="11">
        <f>'G7 Input'!Y51</f>
        <v>8.0000000000000004E-4</v>
      </c>
      <c r="K55" s="11">
        <f>'G7 Input'!Z51</f>
        <v>1.8E-3</v>
      </c>
      <c r="L55" s="11">
        <f>'G7 Input'!AA51</f>
        <v>3.0999999999999999E-3</v>
      </c>
      <c r="M55" s="11">
        <f>'G7 Input'!AB51</f>
        <v>9.6000000000000009E-3</v>
      </c>
      <c r="O55" s="3" t="s">
        <v>583</v>
      </c>
      <c r="P55" s="14" t="str">
        <f>_xll.PLContribFull(B55*100,"BID",O55,"Slot46","TICKER",3,,"Valid")</f>
        <v>4.315 (12:14:42.771168)</v>
      </c>
      <c r="Q55" s="5" t="str">
        <f>_xll.PLContribFull(I55*100,"ASK",O55,"Slot46","TICKER",3,,"Valid")</f>
        <v>5.345 (12:14:42.761166)</v>
      </c>
      <c r="R55" s="15" t="s">
        <v>593</v>
      </c>
      <c r="S55" s="14" t="str">
        <f>_xll.PLContribFull(C55*100,"BID",R55,"Slot46","TICKER",3,,"Valid")</f>
        <v>-0.120 (12:14:42.750168)</v>
      </c>
      <c r="T55" s="14" t="str">
        <f>_xll.PLContribFull(J55*100,"ASK",R55,"Slot46","TICKER",3,,"Valid")</f>
        <v>0.080 (12:14:42.776167)</v>
      </c>
      <c r="U55" s="3" t="s">
        <v>603</v>
      </c>
      <c r="V55" s="14" t="str">
        <f>_xll.PLContribFull(D55*100,"BID",U55,"Slot46","TICKER",3,,"Valid")</f>
        <v>-0.220 (12:14:42.767165)</v>
      </c>
      <c r="W55" s="5" t="str">
        <f>_xll.PLContribFull(K55*100,"ASK",U55,"Slot46","TICKER",3,,"Valid")</f>
        <v>0.180 (12:14:42.764166)</v>
      </c>
      <c r="X55" s="15" t="s">
        <v>613</v>
      </c>
      <c r="Y55" s="14" t="str">
        <f>_xll.PLContribFull(E55*100,"BID",X55,"Slot46","TICKER",3,,"Valid")</f>
        <v>0.110 (12:14:42.754169)</v>
      </c>
      <c r="Z55" s="14" t="str">
        <f>_xll.PLContribFull(L55*100,"ASK",X55,"Slot46","TICKER",3,,"Valid")</f>
        <v>0.310 (12:14:42.777166)</v>
      </c>
      <c r="AA55" s="3" t="s">
        <v>623</v>
      </c>
      <c r="AB55" s="14" t="str">
        <f>_xll.PLContribFull(F55*100,"BID",AA55,"Slot46","TICKER",3,,"Valid")</f>
        <v>0.560 (12:14:42.774166)</v>
      </c>
      <c r="AC55" s="5" t="str">
        <f>_xll.PLContribFull(M55*100,"ASK",AA55,"Slot46","TICKER",3,,"Valid")</f>
        <v>0.960 (12:14:42.770167)</v>
      </c>
      <c r="AD55" s="16"/>
    </row>
    <row r="56" spans="1:30" x14ac:dyDescent="0.2">
      <c r="A56" s="12" t="s">
        <v>13</v>
      </c>
      <c r="B56" s="11">
        <f>'G7 Input'!Q52</f>
        <v>4.4549999999999992E-2</v>
      </c>
      <c r="C56" s="11">
        <f>'G7 Input'!R52</f>
        <v>-1.2000000000000001E-3</v>
      </c>
      <c r="D56" s="11">
        <f>'G7 Input'!S52</f>
        <v>-2.2000000000000001E-3</v>
      </c>
      <c r="E56" s="11">
        <f>'G7 Input'!T52</f>
        <v>1.2000000000000001E-3</v>
      </c>
      <c r="F56" s="11">
        <f>'G7 Input'!U52</f>
        <v>6.3E-3</v>
      </c>
      <c r="H56" s="10" t="s">
        <v>13</v>
      </c>
      <c r="I56" s="11">
        <f>'G7 Input'!X52</f>
        <v>5.4849999999999996E-2</v>
      </c>
      <c r="J56" s="11">
        <f>'G7 Input'!Y52</f>
        <v>8.0000000000000004E-4</v>
      </c>
      <c r="K56" s="11">
        <f>'G7 Input'!Z52</f>
        <v>1.8E-3</v>
      </c>
      <c r="L56" s="11">
        <f>'G7 Input'!AA52</f>
        <v>3.2000000000000002E-3</v>
      </c>
      <c r="M56" s="11">
        <f>'G7 Input'!AB52</f>
        <v>1.03E-2</v>
      </c>
      <c r="O56" s="3" t="s">
        <v>584</v>
      </c>
      <c r="P56" s="14" t="str">
        <f>_xll.PLContribFull(B56*100,"BID",O56,"Slot46","TICKER",3,,"Valid")</f>
        <v>4.455 (12:14:42.762166)</v>
      </c>
      <c r="Q56" s="5" t="str">
        <f>_xll.PLContribFull(I56*100,"ASK",O56,"Slot46","TICKER",3,,"Valid")</f>
        <v>5.485 (12:14:42.760167)</v>
      </c>
      <c r="R56" s="15" t="s">
        <v>594</v>
      </c>
      <c r="S56" s="14" t="str">
        <f>_xll.PLContribFull(C56*100,"BID",R56,"Slot46","TICKER",3,,"Valid")</f>
        <v>-0.120 (12:14:42.750168)</v>
      </c>
      <c r="T56" s="14" t="str">
        <f>_xll.PLContribFull(J56*100,"ASK",R56,"Slot46","TICKER",3,,"Valid")</f>
        <v>0.080 (12:14:42.767165)</v>
      </c>
      <c r="U56" s="3" t="s">
        <v>604</v>
      </c>
      <c r="V56" s="14" t="str">
        <f>_xll.PLContribFull(D56*100,"BID",U56,"Slot46","TICKER",3,,"Valid")</f>
        <v>-0.220 (12:14:42.741170)</v>
      </c>
      <c r="W56" s="5" t="str">
        <f>_xll.PLContribFull(K56*100,"ASK",U56,"Slot46","TICKER",3,,"Valid")</f>
        <v>0.180 (12:14:42.762166)</v>
      </c>
      <c r="X56" s="15" t="s">
        <v>614</v>
      </c>
      <c r="Y56" s="14" t="str">
        <f>_xll.PLContribFull(E56*100,"BID",X56,"Slot46","TICKER",3,,"Valid")</f>
        <v>0.120 (12:14:42.777166)</v>
      </c>
      <c r="Z56" s="14" t="str">
        <f>_xll.PLContribFull(L56*100,"ASK",X56,"Slot46","TICKER",3,,"Valid")</f>
        <v>0.320 (12:14:42.755167)</v>
      </c>
      <c r="AA56" s="3" t="s">
        <v>624</v>
      </c>
      <c r="AB56" s="14" t="str">
        <f>_xll.PLContribFull(F56*100,"BID",AA56,"Slot46","TICKER",3,,"Valid")</f>
        <v>0.630 (12:14:42.761166)</v>
      </c>
      <c r="AC56" s="5" t="str">
        <f>_xll.PLContribFull(M56*100,"ASK",AA56,"Slot46","TICKER",3,,"Valid")</f>
        <v>1.030 (12:14:42.743167)</v>
      </c>
      <c r="AD56" s="16"/>
    </row>
    <row r="57" spans="1:30" x14ac:dyDescent="0.2">
      <c r="A57" s="12" t="s">
        <v>14</v>
      </c>
      <c r="B57" s="11">
        <f>'G7 Input'!Q53</f>
        <v>4.5949999999999998E-2</v>
      </c>
      <c r="C57" s="11">
        <f>'G7 Input'!R53</f>
        <v>-1.2999999999999999E-3</v>
      </c>
      <c r="D57" s="11">
        <f>'G7 Input'!S53</f>
        <v>-1.9E-3</v>
      </c>
      <c r="E57" s="11">
        <f>'G7 Input'!T53</f>
        <v>1.5E-3</v>
      </c>
      <c r="F57" s="11">
        <f>'G7 Input'!U53</f>
        <v>7.3999999999999986E-3</v>
      </c>
      <c r="H57" s="10" t="s">
        <v>14</v>
      </c>
      <c r="I57" s="11">
        <f>'G7 Input'!X53</f>
        <v>5.7849999999999992E-2</v>
      </c>
      <c r="J57" s="11">
        <f>'G7 Input'!Y53</f>
        <v>7.000000000000001E-4</v>
      </c>
      <c r="K57" s="11">
        <f>'G7 Input'!Z53</f>
        <v>2.0999999999999999E-3</v>
      </c>
      <c r="L57" s="11">
        <f>'G7 Input'!AA53</f>
        <v>3.5000000000000001E-3</v>
      </c>
      <c r="M57" s="11">
        <f>'G7 Input'!AB53</f>
        <v>1.1399999999999999E-2</v>
      </c>
      <c r="O57" s="3" t="s">
        <v>585</v>
      </c>
      <c r="P57" s="14" t="str">
        <f>_xll.PLContribFull(B57*100,"BID",O57,"Slot46","TICKER",3,,"Valid")</f>
        <v>4.595 (12:14:42.759166)</v>
      </c>
      <c r="Q57" s="5" t="str">
        <f>_xll.PLContribFull(I57*100,"ASK",O57,"Slot46","TICKER",3,,"Valid")</f>
        <v>5.785 (12:14:42.759166)</v>
      </c>
      <c r="R57" s="15" t="s">
        <v>595</v>
      </c>
      <c r="S57" s="14" t="str">
        <f>_xll.PLContribFull(C57*100,"BID",R57,"Slot46","TICKER",3,,"Valid")</f>
        <v>-0.130 (12:14:42.759166)</v>
      </c>
      <c r="T57" s="14" t="str">
        <f>_xll.PLContribFull(J57*100,"ASK",R57,"Slot46","TICKER",3,,"Valid")</f>
        <v>0.070 (12:14:42.755167)</v>
      </c>
      <c r="U57" s="3" t="s">
        <v>605</v>
      </c>
      <c r="V57" s="14" t="str">
        <f>_xll.PLContribFull(D57*100,"BID",U57,"Slot46","TICKER",3,,"Valid")</f>
        <v>-0.190 (12:14:42.748167)</v>
      </c>
      <c r="W57" s="5" t="str">
        <f>_xll.PLContribFull(K57*100,"ASK",U57,"Slot46","TICKER",3,,"Valid")</f>
        <v>0.210 (12:14:42.759166)</v>
      </c>
      <c r="X57" s="15" t="s">
        <v>615</v>
      </c>
      <c r="Y57" s="14" t="str">
        <f>_xll.PLContribFull(E57*100,"BID",X57,"Slot46","TICKER",3,,"Valid")</f>
        <v>0.150 (12:14:42.776167)</v>
      </c>
      <c r="Z57" s="14" t="str">
        <f>_xll.PLContribFull(L57*100,"ASK",X57,"Slot46","TICKER",3,,"Valid")</f>
        <v>0.350 (12:14:42.767165)</v>
      </c>
      <c r="AA57" s="3" t="s">
        <v>625</v>
      </c>
      <c r="AB57" s="14" t="str">
        <f>_xll.PLContribFull(F57*100,"BID",AA57,"Slot46","TICKER",3,,"Valid")</f>
        <v>0.740 (12:14:42.759166)</v>
      </c>
      <c r="AC57" s="5" t="str">
        <f>_xll.PLContribFull(M57*100,"ASK",AA57,"Slot46","TICKER",3,,"Valid")</f>
        <v>1.140 (12:14:42.754169)</v>
      </c>
      <c r="AD57" s="16"/>
    </row>
    <row r="58" spans="1:30" x14ac:dyDescent="0.2">
      <c r="A58" s="12" t="s">
        <v>876</v>
      </c>
      <c r="B58" s="11">
        <f>'G7 Input'!Q54</f>
        <v>4.8349999999999997E-2</v>
      </c>
      <c r="C58" s="11">
        <f>'G7 Input'!R54</f>
        <v>-1.9E-3</v>
      </c>
      <c r="D58" s="11">
        <f>'G7 Input'!S54</f>
        <v>-3.1999999999999997E-3</v>
      </c>
      <c r="E58" s="11">
        <f>'G7 Input'!T54</f>
        <v>1.5E-3</v>
      </c>
      <c r="F58" s="11">
        <f>'G7 Input'!U54</f>
        <v>7.3999999999999986E-3</v>
      </c>
      <c r="H58" s="10" t="s">
        <v>876</v>
      </c>
      <c r="I58" s="11">
        <f>'G7 Input'!X54</f>
        <v>6.0049999999999999E-2</v>
      </c>
      <c r="J58" s="11">
        <f>'G7 Input'!Y54</f>
        <v>1.0000000000000005E-4</v>
      </c>
      <c r="K58" s="11">
        <f>'G7 Input'!Z54</f>
        <v>8.0000000000000015E-4</v>
      </c>
      <c r="L58" s="11">
        <f>'G7 Input'!AA54</f>
        <v>3.5000000000000001E-3</v>
      </c>
      <c r="M58" s="11">
        <f>'G7 Input'!AB54</f>
        <v>1.1399999999999999E-2</v>
      </c>
      <c r="O58" s="3" t="s">
        <v>927</v>
      </c>
      <c r="P58" s="14" t="str">
        <f>_xll.PLContribFull(B58*100,"BID",O58,"Slot46","TICKER",3,,"Valid")</f>
        <v>4.835 (12:14:42.765166)</v>
      </c>
      <c r="Q58" s="5" t="str">
        <f>_xll.PLContribFull(I58*100,"ASK",O58,"Slot46","TICKER",3,,"Valid")</f>
        <v>6.005 (12:14:42.770167)</v>
      </c>
      <c r="R58" s="15" t="s">
        <v>928</v>
      </c>
      <c r="S58" s="14" t="str">
        <f>_xll.PLContribFull(C58*100,"BID",R58,"Slot46","TICKER",3,,"Valid")</f>
        <v>-0.190 (12:14:42.760167)</v>
      </c>
      <c r="T58" s="14" t="str">
        <f>_xll.PLContribFull(J58*100,"ASK",R58,"Slot46","TICKER",3,,"Valid")</f>
        <v>0.010 (12:14:42.753167)</v>
      </c>
      <c r="U58" s="3" t="s">
        <v>929</v>
      </c>
      <c r="V58" s="14" t="str">
        <f>_xll.PLContribFull(D58*100,"BID",U58,"Slot46","TICKER",3,,"Valid")</f>
        <v>-0.320 (12:14:42.768166)</v>
      </c>
      <c r="W58" s="5" t="str">
        <f>_xll.PLContribFull(K58*100,"ASK",U58,"Slot46","TICKER",3,,"Valid")</f>
        <v>0.080 (12:14:42.772166)</v>
      </c>
      <c r="X58" s="15" t="s">
        <v>930</v>
      </c>
      <c r="Y58" s="14" t="str">
        <f>_xll.PLContribFull(E58*100,"BID",X58,"Slot46","TICKER",3,,"Valid")</f>
        <v>0.150 (12:14:42.771168)</v>
      </c>
      <c r="Z58" s="14" t="str">
        <f>_xll.PLContribFull(L58*100,"ASK",X58,"Slot46","TICKER",3,,"Valid")</f>
        <v>0.350 (12:14:42.773167)</v>
      </c>
      <c r="AA58" s="3" t="s">
        <v>931</v>
      </c>
      <c r="AB58" s="14" t="str">
        <f>_xll.PLContribFull(F58*100,"BID",AA58,"Slot46","TICKER",3,,"Valid")</f>
        <v>0.740 (12:14:42.776167)</v>
      </c>
      <c r="AC58" s="5" t="str">
        <f>_xll.PLContribFull(M58*100,"ASK",AA58,"Slot46","TICKER",3,,"Valid")</f>
        <v>1.140 (12:14:42.776167)</v>
      </c>
      <c r="AD58" s="16"/>
    </row>
    <row r="59" spans="1:30" x14ac:dyDescent="0.2"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8"/>
      <c r="AC59" s="18"/>
    </row>
    <row r="61" spans="1:30" x14ac:dyDescent="0.25">
      <c r="A61" s="10" t="s">
        <v>336</v>
      </c>
      <c r="O61" s="3" t="s">
        <v>67</v>
      </c>
      <c r="P61" s="15" t="s">
        <v>68</v>
      </c>
      <c r="Q61" s="6"/>
      <c r="R61" s="15" t="s">
        <v>67</v>
      </c>
      <c r="S61" s="15" t="s">
        <v>68</v>
      </c>
      <c r="T61" s="15"/>
      <c r="U61" s="3" t="s">
        <v>67</v>
      </c>
      <c r="V61" s="15" t="s">
        <v>68</v>
      </c>
      <c r="W61" s="6"/>
      <c r="X61" s="15" t="s">
        <v>67</v>
      </c>
      <c r="Y61" s="15" t="s">
        <v>68</v>
      </c>
      <c r="Z61" s="15"/>
      <c r="AA61" s="3" t="s">
        <v>67</v>
      </c>
      <c r="AB61" s="15" t="s">
        <v>68</v>
      </c>
      <c r="AC61" s="6"/>
    </row>
    <row r="62" spans="1:30" ht="14.25" x14ac:dyDescent="0.25">
      <c r="A62" s="12" t="s">
        <v>331</v>
      </c>
      <c r="B62" s="12" t="s">
        <v>0</v>
      </c>
      <c r="C62" s="12" t="s">
        <v>1</v>
      </c>
      <c r="D62" s="12" t="s">
        <v>2</v>
      </c>
      <c r="E62" s="12" t="s">
        <v>3</v>
      </c>
      <c r="F62" s="12" t="s">
        <v>4</v>
      </c>
      <c r="H62" s="10" t="s">
        <v>332</v>
      </c>
      <c r="I62" s="10" t="s">
        <v>0</v>
      </c>
      <c r="J62" s="10" t="s">
        <v>1</v>
      </c>
      <c r="K62" s="10" t="s">
        <v>2</v>
      </c>
      <c r="L62" s="10" t="s">
        <v>3</v>
      </c>
      <c r="M62" s="10" t="s">
        <v>4</v>
      </c>
      <c r="O62" s="3" t="s">
        <v>66</v>
      </c>
      <c r="P62" s="13" t="s">
        <v>15</v>
      </c>
      <c r="Q62" s="4" t="s">
        <v>16</v>
      </c>
      <c r="R62" s="15" t="s">
        <v>1</v>
      </c>
      <c r="S62" s="13" t="s">
        <v>15</v>
      </c>
      <c r="T62" s="13" t="s">
        <v>16</v>
      </c>
      <c r="U62" s="3" t="s">
        <v>2</v>
      </c>
      <c r="V62" s="13" t="s">
        <v>15</v>
      </c>
      <c r="W62" s="4" t="s">
        <v>16</v>
      </c>
      <c r="X62" s="15" t="s">
        <v>3</v>
      </c>
      <c r="Y62" s="13" t="s">
        <v>15</v>
      </c>
      <c r="Z62" s="13" t="s">
        <v>16</v>
      </c>
      <c r="AA62" s="3" t="s">
        <v>4</v>
      </c>
      <c r="AB62" s="13" t="s">
        <v>15</v>
      </c>
      <c r="AC62" s="4" t="s">
        <v>16</v>
      </c>
      <c r="AD62" s="2"/>
    </row>
    <row r="63" spans="1:30" x14ac:dyDescent="0.2">
      <c r="A63" s="12" t="s">
        <v>5</v>
      </c>
      <c r="B63" s="11">
        <f>'G7 Input'!Q58</f>
        <v>3.1499999999999993E-2</v>
      </c>
      <c r="C63" s="11">
        <f>'G7 Input'!R58</f>
        <v>-8.199999999999999E-3</v>
      </c>
      <c r="D63" s="11">
        <f>'G7 Input'!S58</f>
        <v>-1.3899999999999999E-2</v>
      </c>
      <c r="E63" s="11">
        <f>'G7 Input'!T58</f>
        <v>-6.1999999999999989E-3</v>
      </c>
      <c r="F63" s="11">
        <f>'G7 Input'!U58</f>
        <v>-4.4999999999999997E-3</v>
      </c>
      <c r="H63" s="10" t="s">
        <v>5</v>
      </c>
      <c r="I63" s="11">
        <f>'G7 Input'!X58</f>
        <v>4.7099999999999996E-2</v>
      </c>
      <c r="J63" s="11">
        <f>'G7 Input'!Y58</f>
        <v>5.7999999999999996E-3</v>
      </c>
      <c r="K63" s="11">
        <f>'G7 Input'!Z58</f>
        <v>9.1000000000000004E-3</v>
      </c>
      <c r="L63" s="11">
        <f>'G7 Input'!AA58</f>
        <v>7.7999999999999996E-3</v>
      </c>
      <c r="M63" s="11">
        <f>'G7 Input'!AB58</f>
        <v>1.0499999999999999E-2</v>
      </c>
      <c r="O63" s="3" t="s">
        <v>365</v>
      </c>
      <c r="P63" s="14" t="str">
        <f>_xll.PLContribFull(B63*100,"BID",O63,"Slot46","TICKER",3,,"Valid")</f>
        <v>3.150 (12:14:42.763166)</v>
      </c>
      <c r="Q63" s="5" t="str">
        <f>_xll.PLContribFull(I63*100,"ASK",O63,"Slot46","TICKER",3,,"Valid")</f>
        <v>4.710 (12:14:42.767165)</v>
      </c>
      <c r="R63" s="15" t="s">
        <v>375</v>
      </c>
      <c r="S63" s="14" t="str">
        <f>_xll.PLContribFull(C63*100,"BID",R63,"Slot46","TICKER",3,,"Valid")</f>
        <v>-0.820 (12:14:42.768166)</v>
      </c>
      <c r="T63" s="14" t="str">
        <f>_xll.PLContribFull(J63*100,"ASK",R63,"Slot46","TICKER",3,,"Valid")</f>
        <v>0.580 (12:14:42.765166)</v>
      </c>
      <c r="U63" s="3" t="s">
        <v>385</v>
      </c>
      <c r="V63" s="14" t="str">
        <f>_xll.PLContribFull(D63*100,"BID",U63,"Slot46","TICKER",3,,"Valid")</f>
        <v>-1.390 (12:14:42.767165)</v>
      </c>
      <c r="W63" s="5" t="str">
        <f>_xll.PLContribFull(K63*100,"ASK",U63,"Slot46","TICKER",3,,"Valid")</f>
        <v>0.910 (12:14:42.754169)</v>
      </c>
      <c r="X63" s="15" t="s">
        <v>395</v>
      </c>
      <c r="Y63" s="14" t="str">
        <f>_xll.PLContribFull(E63*100,"BID",X63,"Slot46","TICKER",3,,"Valid")</f>
        <v>-0.620 (12:14:42.769168)</v>
      </c>
      <c r="Z63" s="14" t="str">
        <f>_xll.PLContribFull(L63*100,"ASK",X63,"Slot46","TICKER",3,,"Valid")</f>
        <v>0.780 (12:14:42.764166)</v>
      </c>
      <c r="AA63" s="3" t="s">
        <v>405</v>
      </c>
      <c r="AB63" s="14" t="str">
        <f>_xll.PLContribFull(F63*100,"BID",AA63,"Slot46","TICKER",3,,"Valid")</f>
        <v>-0.450 (12:14:42.762166)</v>
      </c>
      <c r="AC63" s="5" t="str">
        <f>_xll.PLContribFull(M63*100,"ASK",AA63,"Slot46","TICKER",3,,"Valid")</f>
        <v>1.050 (12:14:42.771168)</v>
      </c>
      <c r="AD63" s="16"/>
    </row>
    <row r="64" spans="1:30" x14ac:dyDescent="0.2">
      <c r="A64" s="12" t="s">
        <v>6</v>
      </c>
      <c r="B64" s="11">
        <f>'G7 Input'!Q59</f>
        <v>4.215E-2</v>
      </c>
      <c r="C64" s="11">
        <f>'G7 Input'!R59</f>
        <v>-4.0000000000000001E-3</v>
      </c>
      <c r="D64" s="11">
        <f>'G7 Input'!S59</f>
        <v>-6.7000000000000002E-3</v>
      </c>
      <c r="E64" s="11">
        <f>'G7 Input'!T59</f>
        <v>-1.4E-3</v>
      </c>
      <c r="F64" s="11">
        <f>'G7 Input'!U59</f>
        <v>1.2999999999999999E-3</v>
      </c>
      <c r="H64" s="10" t="s">
        <v>6</v>
      </c>
      <c r="I64" s="11">
        <f>'G7 Input'!X59</f>
        <v>4.8849999999999998E-2</v>
      </c>
      <c r="J64" s="11">
        <f>'G7 Input'!Y59</f>
        <v>1E-3</v>
      </c>
      <c r="K64" s="11">
        <f>'G7 Input'!Z59</f>
        <v>1.2999999999999999E-3</v>
      </c>
      <c r="L64" s="11">
        <f>'G7 Input'!AA59</f>
        <v>3.5999999999999999E-3</v>
      </c>
      <c r="M64" s="11">
        <f>'G7 Input'!AB59</f>
        <v>6.3E-3</v>
      </c>
      <c r="O64" s="3" t="s">
        <v>366</v>
      </c>
      <c r="P64" s="14" t="str">
        <f>_xll.PLContribFull(B64*100,"BID",O64,"Slot46","TICKER",3,,"Valid")</f>
        <v>4.215 (12:14:42.769168)</v>
      </c>
      <c r="Q64" s="5" t="str">
        <f>_xll.PLContribFull(I64*100,"ASK",O64,"Slot46","TICKER",3,,"Valid")</f>
        <v>4.885 (12:14:42.776167)</v>
      </c>
      <c r="R64" s="15" t="s">
        <v>376</v>
      </c>
      <c r="S64" s="14" t="str">
        <f>_xll.PLContribFull(C64*100,"BID",R64,"Slot46","TICKER",3,,"Valid")</f>
        <v>-0.400 (12:14:42.749167)</v>
      </c>
      <c r="T64" s="14" t="str">
        <f>_xll.PLContribFull(J64*100,"ASK",R64,"Slot46","TICKER",3,,"Valid")</f>
        <v>0.100 (12:14:42.761166)</v>
      </c>
      <c r="U64" s="3" t="s">
        <v>386</v>
      </c>
      <c r="V64" s="14" t="str">
        <f>_xll.PLContribFull(D64*100,"BID",U64,"Slot46","TICKER",3,,"Valid")</f>
        <v>-0.670 (12:14:42.769168)</v>
      </c>
      <c r="W64" s="5" t="str">
        <f>_xll.PLContribFull(K64*100,"ASK",U64,"Slot46","TICKER",3,,"Valid")</f>
        <v>0.130 (12:14:42.776167)</v>
      </c>
      <c r="X64" s="15" t="s">
        <v>396</v>
      </c>
      <c r="Y64" s="14" t="str">
        <f>_xll.PLContribFull(E64*100,"BID",X64,"Slot46","TICKER",3,,"Valid")</f>
        <v>-0.140 (12:14:42.777166)</v>
      </c>
      <c r="Z64" s="14" t="str">
        <f>_xll.PLContribFull(L64*100,"ASK",X64,"Slot46","TICKER",3,,"Valid")</f>
        <v>0.360 (12:14:42.754169)</v>
      </c>
      <c r="AA64" s="3" t="s">
        <v>406</v>
      </c>
      <c r="AB64" s="14" t="str">
        <f>_xll.PLContribFull(F64*100,"BID",AA64,"Slot46","TICKER",3,,"Valid")</f>
        <v>0.130 (12:14:42.778167)</v>
      </c>
      <c r="AC64" s="5" t="str">
        <f>_xll.PLContribFull(M64*100,"ASK",AA64,"Slot46","TICKER",3,,"Valid")</f>
        <v>0.630 (12:14:42.776167)</v>
      </c>
      <c r="AD64" s="16"/>
    </row>
    <row r="65" spans="1:30" x14ac:dyDescent="0.2">
      <c r="A65" s="12" t="s">
        <v>7</v>
      </c>
      <c r="B65" s="11">
        <f>'G7 Input'!Q60</f>
        <v>4.6550000000000008E-2</v>
      </c>
      <c r="C65" s="11">
        <f>'G7 Input'!R60</f>
        <v>-3.1000000000000003E-3</v>
      </c>
      <c r="D65" s="11">
        <f>'G7 Input'!S60</f>
        <v>-5.4999999999999997E-3</v>
      </c>
      <c r="E65" s="11">
        <f>'G7 Input'!T60</f>
        <v>-3.0000000000000014E-4</v>
      </c>
      <c r="F65" s="11">
        <f>'G7 Input'!U60</f>
        <v>2.4000000000000002E-3</v>
      </c>
      <c r="H65" s="10" t="s">
        <v>7</v>
      </c>
      <c r="I65" s="11">
        <f>'G7 Input'!X60</f>
        <v>5.1650000000000001E-2</v>
      </c>
      <c r="J65" s="11">
        <f>'G7 Input'!Y60</f>
        <v>-1.0000000000000005E-4</v>
      </c>
      <c r="K65" s="11">
        <f>'G7 Input'!Z60</f>
        <v>-5.0000000000000001E-4</v>
      </c>
      <c r="L65" s="11">
        <f>'G7 Input'!AA60</f>
        <v>2.7000000000000001E-3</v>
      </c>
      <c r="M65" s="11">
        <f>'G7 Input'!AB60</f>
        <v>6.4000000000000003E-3</v>
      </c>
      <c r="O65" s="3" t="s">
        <v>367</v>
      </c>
      <c r="P65" s="14" t="str">
        <f>_xll.PLContribFull(B65*100,"BID",O65,"Slot46","TICKER",3,,"Valid")</f>
        <v>4.655 (12:14:42.776167)</v>
      </c>
      <c r="Q65" s="5" t="str">
        <f>_xll.PLContribFull(I65*100,"ASK",O65,"Slot46","TICKER",3,,"Valid")</f>
        <v>5.165 (12:14:42.778167)</v>
      </c>
      <c r="R65" s="15" t="s">
        <v>377</v>
      </c>
      <c r="S65" s="14" t="str">
        <f>_xll.PLContribFull(C65*100,"BID",R65,"Slot46","TICKER",3,,"Valid")</f>
        <v>-0.310 (12:14:42.775167)</v>
      </c>
      <c r="T65" s="14" t="str">
        <f>_xll.PLContribFull(J65*100,"ASK",R65,"Slot46","TICKER",3,,"Valid")</f>
        <v>-0.010 (12:14:42.766166)</v>
      </c>
      <c r="U65" s="3" t="s">
        <v>387</v>
      </c>
      <c r="V65" s="14" t="str">
        <f>_xll.PLContribFull(D65*100,"BID",U65,"Slot46","TICKER",3,,"Valid")</f>
        <v>-0.550 (12:14:42.762166)</v>
      </c>
      <c r="W65" s="5" t="str">
        <f>_xll.PLContribFull(K65*100,"ASK",U65,"Slot46","TICKER",3,,"Valid")</f>
        <v>-0.050 (12:14:42.778167)</v>
      </c>
      <c r="X65" s="15" t="s">
        <v>397</v>
      </c>
      <c r="Y65" s="14" t="str">
        <f>_xll.PLContribFull(E65*100,"BID",X65,"Slot46","TICKER",3,,"Valid")</f>
        <v>-0.030 (12:14:42.776167)</v>
      </c>
      <c r="Z65" s="14" t="str">
        <f>_xll.PLContribFull(L65*100,"ASK",X65,"Slot46","TICKER",3,,"Valid")</f>
        <v>0.270 (12:14:42.772166)</v>
      </c>
      <c r="AA65" s="3" t="s">
        <v>407</v>
      </c>
      <c r="AB65" s="14" t="str">
        <f>_xll.PLContribFull(F65*100,"BID",AA65,"Slot46","TICKER",3,,"Valid")</f>
        <v>0.240 (12:14:42.763166)</v>
      </c>
      <c r="AC65" s="5" t="str">
        <f>_xll.PLContribFull(M65*100,"ASK",AA65,"Slot46","TICKER",3,,"Valid")</f>
        <v>0.640 (12:14:42.766166)</v>
      </c>
      <c r="AD65" s="16"/>
    </row>
    <row r="66" spans="1:30" x14ac:dyDescent="0.2">
      <c r="A66" s="12" t="s">
        <v>8</v>
      </c>
      <c r="B66" s="11">
        <f>'G7 Input'!Q61</f>
        <v>4.6249999999999999E-2</v>
      </c>
      <c r="C66" s="11">
        <f>'G7 Input'!R61</f>
        <v>-2.7000000000000001E-3</v>
      </c>
      <c r="D66" s="11">
        <f>'G7 Input'!S61</f>
        <v>-4.7000000000000002E-3</v>
      </c>
      <c r="E66" s="11">
        <f>'G7 Input'!T61</f>
        <v>4.0000000000000018E-4</v>
      </c>
      <c r="F66" s="11">
        <f>'G7 Input'!U61</f>
        <v>4.0000000000000001E-3</v>
      </c>
      <c r="H66" s="10" t="s">
        <v>8</v>
      </c>
      <c r="I66" s="11">
        <f>'G7 Input'!X61</f>
        <v>4.9350000000000005E-2</v>
      </c>
      <c r="J66" s="11">
        <f>'G7 Input'!Y61</f>
        <v>-7.000000000000001E-4</v>
      </c>
      <c r="K66" s="11">
        <f>'G7 Input'!Z61</f>
        <v>-1.7000000000000001E-3</v>
      </c>
      <c r="L66" s="11">
        <f>'G7 Input'!AA61</f>
        <v>2.4000000000000002E-3</v>
      </c>
      <c r="M66" s="11">
        <f>'G7 Input'!AB61</f>
        <v>6.0000000000000001E-3</v>
      </c>
      <c r="O66" s="3" t="s">
        <v>368</v>
      </c>
      <c r="P66" s="14" t="str">
        <f>_xll.PLContribFull(B66*100,"BID",O66,"Slot46","TICKER",3,,"Valid")</f>
        <v>4.625 (12:14:42.770167)</v>
      </c>
      <c r="Q66" s="5" t="str">
        <f>_xll.PLContribFull(I66*100,"ASK",O66,"Slot46","TICKER",3,,"Valid")</f>
        <v>4.935 (12:14:42.759166)</v>
      </c>
      <c r="R66" s="15" t="s">
        <v>378</v>
      </c>
      <c r="S66" s="14" t="str">
        <f>_xll.PLContribFull(C66*100,"BID",R66,"Slot46","TICKER",3,,"Valid")</f>
        <v>-0.270 (12:14:42.777166)</v>
      </c>
      <c r="T66" s="14" t="str">
        <f>_xll.PLContribFull(J66*100,"ASK",R66,"Slot46","TICKER",3,,"Valid")</f>
        <v>-0.070 (12:14:42.767165)</v>
      </c>
      <c r="U66" s="3" t="s">
        <v>388</v>
      </c>
      <c r="V66" s="14" t="str">
        <f>_xll.PLContribFull(D66*100,"BID",U66,"Slot46","TICKER",3,,"Valid")</f>
        <v>-0.470 (12:14:42.768166)</v>
      </c>
      <c r="W66" s="5" t="str">
        <f>_xll.PLContribFull(K66*100,"ASK",U66,"Slot46","TICKER",3,,"Valid")</f>
        <v>-0.170 (12:14:42.775167)</v>
      </c>
      <c r="X66" s="15" t="s">
        <v>398</v>
      </c>
      <c r="Y66" s="14" t="str">
        <f>_xll.PLContribFull(E66*100,"BID",X66,"Slot46","TICKER",3,,"Valid")</f>
        <v>0.040 (12:14:42.773167)</v>
      </c>
      <c r="Z66" s="14" t="str">
        <f>_xll.PLContribFull(L66*100,"ASK",X66,"Slot46","TICKER",3,,"Valid")</f>
        <v>0.240 (12:14:42.766166)</v>
      </c>
      <c r="AA66" s="3" t="s">
        <v>408</v>
      </c>
      <c r="AB66" s="14" t="str">
        <f>_xll.PLContribFull(F66*100,"BID",AA66,"Slot46","TICKER",3,,"Valid")</f>
        <v>0.400 (12:14:42.754169)</v>
      </c>
      <c r="AC66" s="5" t="str">
        <f>_xll.PLContribFull(M66*100,"ASK",AA66,"Slot46","TICKER",3,,"Valid")</f>
        <v>0.600 (12:14:42.775167)</v>
      </c>
      <c r="AD66" s="16"/>
    </row>
    <row r="67" spans="1:30" x14ac:dyDescent="0.2">
      <c r="A67" s="12" t="s">
        <v>9</v>
      </c>
      <c r="B67" s="11">
        <f>'G7 Input'!Q62</f>
        <v>4.8300000000000003E-2</v>
      </c>
      <c r="C67" s="11">
        <f>'G7 Input'!R62</f>
        <v>-2.8E-3</v>
      </c>
      <c r="D67" s="11">
        <f>'G7 Input'!S62</f>
        <v>-4.8999999999999998E-3</v>
      </c>
      <c r="E67" s="11">
        <f>'G7 Input'!T62</f>
        <v>6.0000000000000006E-4</v>
      </c>
      <c r="F67" s="11">
        <f>'G7 Input'!U62</f>
        <v>4.8999999999999998E-3</v>
      </c>
      <c r="H67" s="10" t="s">
        <v>9</v>
      </c>
      <c r="I67" s="11">
        <f>'G7 Input'!X62</f>
        <v>5.1700000000000003E-2</v>
      </c>
      <c r="J67" s="11">
        <f>'G7 Input'!Y62</f>
        <v>-7.9999999999999993E-4</v>
      </c>
      <c r="K67" s="11">
        <f>'G7 Input'!Z62</f>
        <v>-1.9000000000000002E-3</v>
      </c>
      <c r="L67" s="11">
        <f>'G7 Input'!AA62</f>
        <v>2.5999999999999999E-3</v>
      </c>
      <c r="M67" s="11">
        <f>'G7 Input'!AB62</f>
        <v>6.8999999999999999E-3</v>
      </c>
      <c r="O67" s="3" t="s">
        <v>369</v>
      </c>
      <c r="P67" s="14" t="str">
        <f>_xll.PLContribFull(B67*100,"BID",O67,"Slot46","TICKER",3,,"Valid")</f>
        <v>4.830 (12:14:42.776167)</v>
      </c>
      <c r="Q67" s="5" t="str">
        <f>_xll.PLContribFull(I67*100,"ASK",O67,"Slot46","TICKER",3,,"Valid")</f>
        <v>5.170 (12:14:42.777166)</v>
      </c>
      <c r="R67" s="15" t="s">
        <v>379</v>
      </c>
      <c r="S67" s="14" t="str">
        <f>_xll.PLContribFull(C67*100,"BID",R67,"Slot46","TICKER",3,,"Valid")</f>
        <v>-0.280 (12:14:42.768166)</v>
      </c>
      <c r="T67" s="14" t="str">
        <f>_xll.PLContribFull(J67*100,"ASK",R67,"Slot46","TICKER",3,,"Valid")</f>
        <v>-0.080 (12:14:42.764166)</v>
      </c>
      <c r="U67" s="3" t="s">
        <v>389</v>
      </c>
      <c r="V67" s="14" t="str">
        <f>_xll.PLContribFull(D67*100,"BID",U67,"Slot46","TICKER",3,,"Valid")</f>
        <v>-0.490 (12:14:42.767165)</v>
      </c>
      <c r="W67" s="5" t="str">
        <f>_xll.PLContribFull(K67*100,"ASK",U67,"Slot46","TICKER",3,,"Valid")</f>
        <v>-0.190 (12:14:42.778167)</v>
      </c>
      <c r="X67" s="15" t="s">
        <v>399</v>
      </c>
      <c r="Y67" s="14" t="str">
        <f>_xll.PLContribFull(E67*100,"BID",X67,"Slot46","TICKER",3,,"Valid")</f>
        <v>0.060 (12:14:42.773167)</v>
      </c>
      <c r="Z67" s="14" t="str">
        <f>_xll.PLContribFull(L67*100,"ASK",X67,"Slot46","TICKER",3,,"Valid")</f>
        <v>0.260 (12:14:42.774166)</v>
      </c>
      <c r="AA67" s="3" t="s">
        <v>409</v>
      </c>
      <c r="AB67" s="14" t="str">
        <f>_xll.PLContribFull(F67*100,"BID",AA67,"Slot46","TICKER",3,,"Valid")</f>
        <v>0.490 (12:14:42.777166)</v>
      </c>
      <c r="AC67" s="5" t="str">
        <f>_xll.PLContribFull(M67*100,"ASK",AA67,"Slot46","TICKER",3,,"Valid")</f>
        <v>0.690 (12:14:42.776167)</v>
      </c>
      <c r="AD67" s="16"/>
    </row>
    <row r="68" spans="1:30" x14ac:dyDescent="0.2">
      <c r="A68" s="12" t="s">
        <v>10</v>
      </c>
      <c r="B68" s="11">
        <f>'G7 Input'!Q63</f>
        <v>4.9149999999999999E-2</v>
      </c>
      <c r="C68" s="11">
        <f>'G7 Input'!R63</f>
        <v>-2.8E-3</v>
      </c>
      <c r="D68" s="11">
        <f>'G7 Input'!S63</f>
        <v>-4.9999999999999992E-3</v>
      </c>
      <c r="E68" s="11">
        <f>'G7 Input'!T63</f>
        <v>8.9999999999999998E-4</v>
      </c>
      <c r="F68" s="11">
        <f>'G7 Input'!U63</f>
        <v>5.8000000000000005E-3</v>
      </c>
      <c r="H68" s="10" t="s">
        <v>10</v>
      </c>
      <c r="I68" s="11">
        <f>'G7 Input'!X63</f>
        <v>5.2049999999999999E-2</v>
      </c>
      <c r="J68" s="11">
        <f>'G7 Input'!Y63</f>
        <v>-7.9999999999999993E-4</v>
      </c>
      <c r="K68" s="11">
        <f>'G7 Input'!Z63</f>
        <v>-1.9999999999999996E-3</v>
      </c>
      <c r="L68" s="11">
        <f>'G7 Input'!AA63</f>
        <v>2.8999999999999998E-3</v>
      </c>
      <c r="M68" s="11">
        <f>'G7 Input'!AB63</f>
        <v>7.8000000000000005E-3</v>
      </c>
      <c r="O68" s="3" t="s">
        <v>370</v>
      </c>
      <c r="P68" s="14" t="str">
        <f>_xll.PLContribFull(B68*100,"BID",O68,"Slot46","TICKER",3,,"Valid")</f>
        <v>4.915 (12:14:42.770167)</v>
      </c>
      <c r="Q68" s="5" t="str">
        <f>_xll.PLContribFull(I68*100,"ASK",O68,"Slot46","TICKER",3,,"Valid")</f>
        <v>5.205 (12:14:42.761166)</v>
      </c>
      <c r="R68" s="15" t="s">
        <v>380</v>
      </c>
      <c r="S68" s="14" t="str">
        <f>_xll.PLContribFull(C68*100,"BID",R68,"Slot46","TICKER",3,,"Valid")</f>
        <v>-0.280 (12:14:42.775167)</v>
      </c>
      <c r="T68" s="14" t="str">
        <f>_xll.PLContribFull(J68*100,"ASK",R68,"Slot46","TICKER",3,,"Valid")</f>
        <v>-0.080 (12:14:42.759166)</v>
      </c>
      <c r="U68" s="3" t="s">
        <v>390</v>
      </c>
      <c r="V68" s="14" t="str">
        <f>_xll.PLContribFull(D68*100,"BID",U68,"Slot46","TICKER",3,,"Valid")</f>
        <v>-0.500 (12:14:42.767165)</v>
      </c>
      <c r="W68" s="5" t="str">
        <f>_xll.PLContribFull(K68*100,"ASK",U68,"Slot46","TICKER",3,,"Valid")</f>
        <v>-0.200 (12:14:42.770167)</v>
      </c>
      <c r="X68" s="15" t="s">
        <v>400</v>
      </c>
      <c r="Y68" s="14" t="str">
        <f>_xll.PLContribFull(E68*100,"BID",X68,"Slot46","TICKER",3,,"Valid")</f>
        <v>0.090 (12:14:42.769168)</v>
      </c>
      <c r="Z68" s="14" t="str">
        <f>_xll.PLContribFull(L68*100,"ASK",X68,"Slot46","TICKER",3,,"Valid")</f>
        <v>0.290 (12:14:42.778167)</v>
      </c>
      <c r="AA68" s="3" t="s">
        <v>410</v>
      </c>
      <c r="AB68" s="14" t="str">
        <f>_xll.PLContribFull(F68*100,"BID",AA68,"Slot46","TICKER",3,,"Valid")</f>
        <v>0.580 (12:14:42.755167)</v>
      </c>
      <c r="AC68" s="5" t="str">
        <f>_xll.PLContribFull(M68*100,"ASK",AA68,"Slot46","TICKER",3,,"Valid")</f>
        <v>0.780 (12:14:42.759166)</v>
      </c>
      <c r="AD68" s="16"/>
    </row>
    <row r="69" spans="1:30" x14ac:dyDescent="0.2">
      <c r="A69" s="12" t="s">
        <v>11</v>
      </c>
      <c r="B69" s="11">
        <f>'G7 Input'!Q64</f>
        <v>5.2249999999999998E-2</v>
      </c>
      <c r="C69" s="11">
        <f>'G7 Input'!R64</f>
        <v>-2.7000000000000001E-3</v>
      </c>
      <c r="D69" s="11">
        <f>'G7 Input'!S64</f>
        <v>-4.3E-3</v>
      </c>
      <c r="E69" s="11">
        <f>'G7 Input'!T64</f>
        <v>1.2999999999999999E-3</v>
      </c>
      <c r="F69" s="11">
        <f>'G7 Input'!U64</f>
        <v>7.5000000000000006E-3</v>
      </c>
      <c r="H69" s="10" t="s">
        <v>11</v>
      </c>
      <c r="I69" s="11">
        <f>'G7 Input'!X64</f>
        <v>5.5149999999999998E-2</v>
      </c>
      <c r="J69" s="11">
        <f>'G7 Input'!Y64</f>
        <v>-7.000000000000001E-4</v>
      </c>
      <c r="K69" s="11">
        <f>'G7 Input'!Z64</f>
        <v>-2.3E-3</v>
      </c>
      <c r="L69" s="11">
        <f>'G7 Input'!AA64</f>
        <v>3.3E-3</v>
      </c>
      <c r="M69" s="11">
        <f>'G7 Input'!AB64</f>
        <v>9.5000000000000015E-3</v>
      </c>
      <c r="O69" s="3" t="s">
        <v>371</v>
      </c>
      <c r="P69" s="14" t="str">
        <f>_xll.PLContribFull(B69*100,"BID",O69,"Slot46","TICKER",3,,"Valid")</f>
        <v>5.225 (12:14:42.775167)</v>
      </c>
      <c r="Q69" s="5" t="str">
        <f>_xll.PLContribFull(I69*100,"ASK",O69,"Slot46","TICKER",3,,"Valid")</f>
        <v>5.515 (12:14:42.772166)</v>
      </c>
      <c r="R69" s="15" t="s">
        <v>381</v>
      </c>
      <c r="S69" s="14" t="str">
        <f>_xll.PLContribFull(C69*100,"BID",R69,"Slot46","TICKER",3,,"Valid")</f>
        <v>-0.270 (12:14:42.774166)</v>
      </c>
      <c r="T69" s="14" t="str">
        <f>_xll.PLContribFull(J69*100,"ASK",R69,"Slot46","TICKER",3,,"Valid")</f>
        <v>-0.070 (12:14:42.776167)</v>
      </c>
      <c r="U69" s="3" t="s">
        <v>391</v>
      </c>
      <c r="V69" s="14" t="str">
        <f>_xll.PLContribFull(D69*100,"BID",U69,"Slot46","TICKER",3,,"Valid")</f>
        <v>-0.430 (12:14:42.777166)</v>
      </c>
      <c r="W69" s="5" t="str">
        <f>_xll.PLContribFull(K69*100,"ASK",U69,"Slot46","TICKER",3,,"Valid")</f>
        <v>-0.230 (12:14:42.776167)</v>
      </c>
      <c r="X69" s="15" t="s">
        <v>401</v>
      </c>
      <c r="Y69" s="14" t="str">
        <f>_xll.PLContribFull(E69*100,"BID",X69,"Slot46","TICKER",3,,"Valid")</f>
        <v>0.130 (12:14:42.775167)</v>
      </c>
      <c r="Z69" s="14" t="str">
        <f>_xll.PLContribFull(L69*100,"ASK",X69,"Slot46","TICKER",3,,"Valid")</f>
        <v>0.330 (12:14:42.772166)</v>
      </c>
      <c r="AA69" s="3" t="s">
        <v>411</v>
      </c>
      <c r="AB69" s="14" t="str">
        <f>_xll.PLContribFull(F69*100,"BID",AA69,"Slot46","TICKER",3,,"Valid")</f>
        <v>0.750 (12:14:42.768166)</v>
      </c>
      <c r="AC69" s="5" t="str">
        <f>_xll.PLContribFull(M69*100,"ASK",AA69,"Slot46","TICKER",3,,"Valid")</f>
        <v>0.950 (12:14:42.744167)</v>
      </c>
      <c r="AD69" s="16"/>
    </row>
    <row r="70" spans="1:30" x14ac:dyDescent="0.2">
      <c r="A70" s="12" t="s">
        <v>12</v>
      </c>
      <c r="B70" s="11">
        <f>'G7 Input'!Q65</f>
        <v>5.6899999999999999E-2</v>
      </c>
      <c r="C70" s="11">
        <f>'G7 Input'!R65</f>
        <v>-2.8E-3</v>
      </c>
      <c r="D70" s="11">
        <f>'G7 Input'!S65</f>
        <v>-4.8999999999999998E-3</v>
      </c>
      <c r="E70" s="11">
        <f>'G7 Input'!T65</f>
        <v>1.5E-3</v>
      </c>
      <c r="F70" s="11">
        <f>'G7 Input'!U65</f>
        <v>8.3999999999999977E-3</v>
      </c>
      <c r="H70" s="10" t="s">
        <v>12</v>
      </c>
      <c r="I70" s="11">
        <f>'G7 Input'!X65</f>
        <v>5.9699999999999996E-2</v>
      </c>
      <c r="J70" s="11">
        <f>'G7 Input'!Y65</f>
        <v>-7.9999999999999993E-4</v>
      </c>
      <c r="K70" s="11">
        <f>'G7 Input'!Z65</f>
        <v>-1.9000000000000002E-3</v>
      </c>
      <c r="L70" s="11">
        <f>'G7 Input'!AA65</f>
        <v>3.5000000000000001E-3</v>
      </c>
      <c r="M70" s="11">
        <f>'G7 Input'!AB65</f>
        <v>1.04E-2</v>
      </c>
      <c r="O70" s="3" t="s">
        <v>372</v>
      </c>
      <c r="P70" s="14" t="str">
        <f>_xll.PLContribFull(B70*100,"BID",O70,"Slot46","TICKER",3,,"Valid")</f>
        <v>5.690 (12:14:42.772166)</v>
      </c>
      <c r="Q70" s="5" t="str">
        <f>_xll.PLContribFull(I70*100,"ASK",O70,"Slot46","TICKER",3,,"Valid")</f>
        <v>5.970 (12:14:42.776167)</v>
      </c>
      <c r="R70" s="15" t="s">
        <v>382</v>
      </c>
      <c r="S70" s="14" t="str">
        <f>_xll.PLContribFull(C70*100,"BID",R70,"Slot46","TICKER",3,,"Valid")</f>
        <v>-0.280 (12:14:42.770167)</v>
      </c>
      <c r="T70" s="14" t="str">
        <f>_xll.PLContribFull(J70*100,"ASK",R70,"Slot46","TICKER",3,,"Valid")</f>
        <v>-0.080 (12:14:42.743167)</v>
      </c>
      <c r="U70" s="3" t="s">
        <v>392</v>
      </c>
      <c r="V70" s="14" t="str">
        <f>_xll.PLContribFull(D70*100,"BID",U70,"Slot46","TICKER",3,,"Valid")</f>
        <v>-0.490 (12:14:42.759166)</v>
      </c>
      <c r="W70" s="5" t="str">
        <f>_xll.PLContribFull(K70*100,"ASK",U70,"Slot46","TICKER",3,,"Valid")</f>
        <v>-0.190 (12:14:42.773167)</v>
      </c>
      <c r="X70" s="15" t="s">
        <v>402</v>
      </c>
      <c r="Y70" s="14" t="str">
        <f>_xll.PLContribFull(E70*100,"BID",X70,"Slot46","TICKER",3,,"Valid")</f>
        <v>0.150 (12:14:42.774166)</v>
      </c>
      <c r="Z70" s="14" t="str">
        <f>_xll.PLContribFull(L70*100,"ASK",X70,"Slot46","TICKER",3,,"Valid")</f>
        <v>0.350 (12:14:42.771168)</v>
      </c>
      <c r="AA70" s="3" t="s">
        <v>412</v>
      </c>
      <c r="AB70" s="14" t="str">
        <f>_xll.PLContribFull(F70*100,"BID",AA70,"Slot46","TICKER",3,,"Valid")</f>
        <v>0.840 (12:14:42.767165)</v>
      </c>
      <c r="AC70" s="5" t="str">
        <f>_xll.PLContribFull(M70*100,"ASK",AA70,"Slot46","TICKER",3,,"Valid")</f>
        <v>1.040 (12:14:42.765166)</v>
      </c>
      <c r="AD70" s="16"/>
    </row>
    <row r="71" spans="1:30" x14ac:dyDescent="0.2">
      <c r="A71" s="12" t="s">
        <v>13</v>
      </c>
      <c r="B71" s="11">
        <f>'G7 Input'!Q66</f>
        <v>5.9049999999999998E-2</v>
      </c>
      <c r="C71" s="11">
        <f>'G7 Input'!R66</f>
        <v>-2.8999999999999998E-3</v>
      </c>
      <c r="D71" s="11">
        <f>'G7 Input'!S66</f>
        <v>-4.4999999999999997E-3</v>
      </c>
      <c r="E71" s="11">
        <f>'G7 Input'!T66</f>
        <v>1.8999999999999998E-3</v>
      </c>
      <c r="F71" s="11">
        <f>'G7 Input'!U66</f>
        <v>9.8999999999999991E-3</v>
      </c>
      <c r="H71" s="10" t="s">
        <v>13</v>
      </c>
      <c r="I71" s="11">
        <f>'G7 Input'!X66</f>
        <v>6.1950000000000005E-2</v>
      </c>
      <c r="J71" s="11">
        <f>'G7 Input'!Y66</f>
        <v>-8.9999999999999998E-4</v>
      </c>
      <c r="K71" s="11">
        <f>'G7 Input'!Z66</f>
        <v>-2.4999999999999996E-3</v>
      </c>
      <c r="L71" s="11">
        <f>'G7 Input'!AA66</f>
        <v>3.8999999999999998E-3</v>
      </c>
      <c r="M71" s="11">
        <f>'G7 Input'!AB66</f>
        <v>1.1900000000000001E-2</v>
      </c>
      <c r="O71" s="3" t="s">
        <v>373</v>
      </c>
      <c r="P71" s="14" t="str">
        <f>_xll.PLContribFull(B71*100,"BID",O71,"Slot46","TICKER",3,,"Valid")</f>
        <v>5.905 (12:14:42.765166)</v>
      </c>
      <c r="Q71" s="5" t="str">
        <f>_xll.PLContribFull(I71*100,"ASK",O71,"Slot46","TICKER",3,,"Valid")</f>
        <v>6.195 (12:14:42.767165)</v>
      </c>
      <c r="R71" s="15" t="s">
        <v>383</v>
      </c>
      <c r="S71" s="14" t="str">
        <f>_xll.PLContribFull(C71*100,"BID",R71,"Slot46","TICKER",3,,"Valid")</f>
        <v>-0.290 (12:14:42.771168)</v>
      </c>
      <c r="T71" s="14" t="str">
        <f>_xll.PLContribFull(J71*100,"ASK",R71,"Slot46","TICKER",3,,"Valid")</f>
        <v>-0.090 (12:14:42.774166)</v>
      </c>
      <c r="U71" s="3" t="s">
        <v>393</v>
      </c>
      <c r="V71" s="14" t="str">
        <f>_xll.PLContribFull(D71*100,"BID",U71,"Slot46","TICKER",3,,"Valid")</f>
        <v>-0.450 (12:14:42.776167)</v>
      </c>
      <c r="W71" s="5" t="str">
        <f>_xll.PLContribFull(K71*100,"ASK",U71,"Slot46","TICKER",3,,"Valid")</f>
        <v>-0.250 (12:14:42.743167)</v>
      </c>
      <c r="X71" s="15" t="s">
        <v>403</v>
      </c>
      <c r="Y71" s="14" t="str">
        <f>_xll.PLContribFull(E71*100,"BID",X71,"Slot46","TICKER",3,,"Valid")</f>
        <v>0.190 (12:14:42.769168)</v>
      </c>
      <c r="Z71" s="14" t="str">
        <f>_xll.PLContribFull(L71*100,"ASK",X71,"Slot46","TICKER",3,,"Valid")</f>
        <v>0.390 (12:14:42.775167)</v>
      </c>
      <c r="AA71" s="3" t="s">
        <v>413</v>
      </c>
      <c r="AB71" s="14" t="str">
        <f>_xll.PLContribFull(F71*100,"BID",AA71,"Slot46","TICKER",3,,"Valid")</f>
        <v>0.990 (12:14:42.763166)</v>
      </c>
      <c r="AC71" s="5" t="str">
        <f>_xll.PLContribFull(M71*100,"ASK",AA71,"Slot46","TICKER",3,,"Valid")</f>
        <v>1.190 (12:14:42.775167)</v>
      </c>
      <c r="AD71" s="16"/>
    </row>
    <row r="72" spans="1:30" x14ac:dyDescent="0.2">
      <c r="A72" s="12" t="s">
        <v>14</v>
      </c>
      <c r="B72" s="11">
        <f>'G7 Input'!Q67</f>
        <v>6.3799999999999996E-2</v>
      </c>
      <c r="C72" s="11">
        <f>'G7 Input'!R67</f>
        <v>-3.0000000000000001E-3</v>
      </c>
      <c r="D72" s="11">
        <f>'G7 Input'!S67</f>
        <v>-4.9999999999999992E-3</v>
      </c>
      <c r="E72" s="11">
        <f>'G7 Input'!T67</f>
        <v>2.7000000000000001E-3</v>
      </c>
      <c r="F72" s="11">
        <f>'G7 Input'!U67</f>
        <v>1.2400000000000001E-2</v>
      </c>
      <c r="H72" s="10" t="s">
        <v>14</v>
      </c>
      <c r="I72" s="11">
        <f>'G7 Input'!X67</f>
        <v>6.7399999999999988E-2</v>
      </c>
      <c r="J72" s="11">
        <f>'G7 Input'!Y67</f>
        <v>-1E-3</v>
      </c>
      <c r="K72" s="11">
        <f>'G7 Input'!Z67</f>
        <v>-1.9999999999999996E-3</v>
      </c>
      <c r="L72" s="11">
        <f>'G7 Input'!AA67</f>
        <v>4.7000000000000002E-3</v>
      </c>
      <c r="M72" s="11">
        <f>'G7 Input'!AB67</f>
        <v>1.44E-2</v>
      </c>
      <c r="O72" s="3" t="s">
        <v>374</v>
      </c>
      <c r="P72" s="14" t="str">
        <f>_xll.PLContribFull(B72*100,"BID",O72,"Slot46","TICKER",3,,"Valid")</f>
        <v>6.380 (12:14:42.762166)</v>
      </c>
      <c r="Q72" s="5" t="str">
        <f>_xll.PLContribFull(I72*100,"ASK",O72,"Slot46","TICKER",3,,"Valid")</f>
        <v>6.740 (12:14:42.759166)</v>
      </c>
      <c r="R72" s="15" t="s">
        <v>384</v>
      </c>
      <c r="S72" s="14" t="str">
        <f>_xll.PLContribFull(C72*100,"BID",R72,"Slot46","TICKER",3,,"Valid")</f>
        <v>-0.300 (12:14:42.772166)</v>
      </c>
      <c r="T72" s="14" t="str">
        <f>_xll.PLContribFull(J72*100,"ASK",R72,"Slot46","TICKER",3,,"Valid")</f>
        <v>-0.100 (12:14:42.745167)</v>
      </c>
      <c r="U72" s="3" t="s">
        <v>394</v>
      </c>
      <c r="V72" s="14" t="str">
        <f>_xll.PLContribFull(D72*100,"BID",U72,"Slot46","TICKER",3,,"Valid")</f>
        <v>-0.500 (12:14:42.762166)</v>
      </c>
      <c r="W72" s="5" t="str">
        <f>_xll.PLContribFull(K72*100,"ASK",U72,"Slot46","TICKER",3,,"Valid")</f>
        <v>-0.200 (12:14:42.765166)</v>
      </c>
      <c r="X72" s="15" t="s">
        <v>404</v>
      </c>
      <c r="Y72" s="14" t="str">
        <f>_xll.PLContribFull(E72*100,"BID",X72,"Slot46","TICKER",3,,"Valid")</f>
        <v>0.270 (12:14:42.769168)</v>
      </c>
      <c r="Z72" s="14" t="str">
        <f>_xll.PLContribFull(L72*100,"ASK",X72,"Slot46","TICKER",3,,"Valid")</f>
        <v>0.470 (12:14:42.763166)</v>
      </c>
      <c r="AA72" s="3" t="s">
        <v>414</v>
      </c>
      <c r="AB72" s="14" t="str">
        <f>_xll.PLContribFull(F72*100,"BID",AA72,"Slot46","TICKER",3,,"Valid")</f>
        <v>1.240 (12:14:42.778167)</v>
      </c>
      <c r="AC72" s="5" t="str">
        <f>_xll.PLContribFull(M72*100,"ASK",AA72,"Slot46","TICKER",3,,"Valid")</f>
        <v>1.440 (12:14:42.776167)</v>
      </c>
      <c r="AD72" s="16"/>
    </row>
    <row r="73" spans="1:30" x14ac:dyDescent="0.2">
      <c r="A73" s="12" t="s">
        <v>876</v>
      </c>
      <c r="B73" s="11">
        <f>'G7 Input'!Q68</f>
        <v>6.6500000000000004E-2</v>
      </c>
      <c r="C73" s="11">
        <f>'G7 Input'!R68</f>
        <v>-2.7000000000000001E-3</v>
      </c>
      <c r="D73" s="11">
        <f>'G7 Input'!S68</f>
        <v>-4.5000000000000005E-3</v>
      </c>
      <c r="E73" s="11">
        <f>'G7 Input'!T68</f>
        <v>2.3E-3</v>
      </c>
      <c r="F73" s="11">
        <f>'G7 Input'!U68</f>
        <v>1.09E-2</v>
      </c>
      <c r="H73" s="10" t="s">
        <v>876</v>
      </c>
      <c r="I73" s="11">
        <f>'G7 Input'!X68</f>
        <v>7.0899999999999991E-2</v>
      </c>
      <c r="J73" s="11">
        <f>'G7 Input'!Y68</f>
        <v>-7.000000000000001E-4</v>
      </c>
      <c r="K73" s="11">
        <f>'G7 Input'!Z68</f>
        <v>-1.5E-3</v>
      </c>
      <c r="L73" s="11">
        <f>'G7 Input'!AA68</f>
        <v>4.3E-3</v>
      </c>
      <c r="M73" s="11">
        <f>'G7 Input'!AB68</f>
        <v>1.2899999999999998E-2</v>
      </c>
      <c r="O73" s="3" t="s">
        <v>887</v>
      </c>
      <c r="P73" s="14" t="str">
        <f>_xll.PLContribFull(B73*100,"BID",O73,"Slot46","TICKER",3,,"Valid")</f>
        <v>6.650 (12:14:42.767165)</v>
      </c>
      <c r="Q73" s="5" t="str">
        <f>_xll.PLContribFull(I73*100,"ASK",O73,"Slot46","TICKER",3,,"Valid")</f>
        <v>7.090 (12:14:42.778167)</v>
      </c>
      <c r="R73" s="15" t="s">
        <v>888</v>
      </c>
      <c r="S73" s="14" t="str">
        <f>_xll.PLContribFull(C73*100,"BID",R73,"Slot46","TICKER",3,,"Valid")</f>
        <v>-0.270 (12:14:42.763166)</v>
      </c>
      <c r="T73" s="14" t="str">
        <f>_xll.PLContribFull(J73*100,"ASK",R73,"Slot46","TICKER",3,,"Valid")</f>
        <v>-0.070 (12:14:42.752166)</v>
      </c>
      <c r="U73" s="3" t="s">
        <v>889</v>
      </c>
      <c r="V73" s="14" t="str">
        <f>_xll.PLContribFull(D73*100,"BID",U73,"Slot46","TICKER",3,,"Valid")</f>
        <v>-0.450 (12:14:42.763166)</v>
      </c>
      <c r="W73" s="5" t="str">
        <f>_xll.PLContribFull(K73*100,"ASK",U73,"Slot46","TICKER",3,,"Valid")</f>
        <v>-0.150 (12:14:42.766166)</v>
      </c>
      <c r="X73" s="15" t="s">
        <v>890</v>
      </c>
      <c r="Y73" s="14" t="str">
        <f>_xll.PLContribFull(E73*100,"BID",X73,"Slot46","TICKER",3,,"Valid")</f>
        <v>0.230 (12:14:42.776167)</v>
      </c>
      <c r="Z73" s="14" t="str">
        <f>_xll.PLContribFull(L73*100,"ASK",X73,"Slot46","TICKER",3,,"Valid")</f>
        <v>0.430 (12:14:42.775167)</v>
      </c>
      <c r="AA73" s="3" t="s">
        <v>891</v>
      </c>
      <c r="AB73" s="14" t="str">
        <f>_xll.PLContribFull(F73*100,"BID",AA73,"Slot46","TICKER",3,,"Valid")</f>
        <v>1.090 (12:14:42.754169)</v>
      </c>
      <c r="AC73" s="5" t="str">
        <f>_xll.PLContribFull(M73*100,"ASK",AA73,"Slot46","TICKER",3,,"Valid")</f>
        <v>1.290 (12:14:42.774166)</v>
      </c>
      <c r="AD73" s="16"/>
    </row>
    <row r="74" spans="1:30" x14ac:dyDescent="0.2"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8"/>
      <c r="AC74" s="18"/>
    </row>
    <row r="76" spans="1:30" x14ac:dyDescent="0.25">
      <c r="A76" s="10" t="s">
        <v>362</v>
      </c>
      <c r="O76" s="3" t="s">
        <v>67</v>
      </c>
      <c r="P76" s="15" t="s">
        <v>68</v>
      </c>
      <c r="Q76" s="6"/>
      <c r="R76" s="15" t="s">
        <v>67</v>
      </c>
      <c r="S76" s="15" t="s">
        <v>68</v>
      </c>
      <c r="T76" s="15"/>
      <c r="U76" s="3" t="s">
        <v>67</v>
      </c>
      <c r="V76" s="15" t="s">
        <v>68</v>
      </c>
      <c r="W76" s="6"/>
      <c r="X76" s="15" t="s">
        <v>67</v>
      </c>
      <c r="Y76" s="15" t="s">
        <v>68</v>
      </c>
      <c r="Z76" s="15"/>
      <c r="AA76" s="3" t="s">
        <v>67</v>
      </c>
      <c r="AB76" s="15" t="s">
        <v>68</v>
      </c>
      <c r="AC76" s="6"/>
    </row>
    <row r="77" spans="1:30" ht="14.25" x14ac:dyDescent="0.25">
      <c r="A77" s="12" t="s">
        <v>331</v>
      </c>
      <c r="B77" s="12" t="s">
        <v>0</v>
      </c>
      <c r="C77" s="12" t="s">
        <v>1</v>
      </c>
      <c r="D77" s="12" t="s">
        <v>2</v>
      </c>
      <c r="E77" s="12" t="s">
        <v>3</v>
      </c>
      <c r="F77" s="12" t="s">
        <v>4</v>
      </c>
      <c r="H77" s="10" t="s">
        <v>16</v>
      </c>
      <c r="I77" s="10" t="s">
        <v>0</v>
      </c>
      <c r="J77" s="10" t="s">
        <v>1</v>
      </c>
      <c r="K77" s="10" t="s">
        <v>2</v>
      </c>
      <c r="L77" s="10" t="s">
        <v>3</v>
      </c>
      <c r="M77" s="10" t="s">
        <v>4</v>
      </c>
      <c r="O77" s="3" t="s">
        <v>66</v>
      </c>
      <c r="P77" s="13" t="s">
        <v>15</v>
      </c>
      <c r="Q77" s="4" t="s">
        <v>16</v>
      </c>
      <c r="R77" s="15" t="s">
        <v>1</v>
      </c>
      <c r="S77" s="13" t="s">
        <v>15</v>
      </c>
      <c r="T77" s="13" t="s">
        <v>16</v>
      </c>
      <c r="U77" s="3" t="s">
        <v>2</v>
      </c>
      <c r="V77" s="13" t="s">
        <v>15</v>
      </c>
      <c r="W77" s="4" t="s">
        <v>16</v>
      </c>
      <c r="X77" s="15" t="s">
        <v>3</v>
      </c>
      <c r="Y77" s="13" t="s">
        <v>15</v>
      </c>
      <c r="Z77" s="13" t="s">
        <v>16</v>
      </c>
      <c r="AA77" s="3" t="s">
        <v>4</v>
      </c>
      <c r="AB77" s="13" t="s">
        <v>15</v>
      </c>
      <c r="AC77" s="4" t="s">
        <v>16</v>
      </c>
      <c r="AD77" s="2"/>
    </row>
    <row r="78" spans="1:30" x14ac:dyDescent="0.2">
      <c r="A78" s="12" t="s">
        <v>5</v>
      </c>
      <c r="B78" s="11">
        <f>'G7 Input'!Q72</f>
        <v>2.5200000000000007E-2</v>
      </c>
      <c r="C78" s="11">
        <f>'G7 Input'!R72</f>
        <v>-8.3999999999999995E-3</v>
      </c>
      <c r="D78" s="11">
        <f>'G7 Input'!S72</f>
        <v>-1.41E-2</v>
      </c>
      <c r="E78" s="11">
        <f>'G7 Input'!T72</f>
        <v>-6.0999999999999995E-3</v>
      </c>
      <c r="F78" s="11">
        <f>'G7 Input'!U72</f>
        <v>-4.0999999999999995E-3</v>
      </c>
      <c r="H78" s="10" t="s">
        <v>5</v>
      </c>
      <c r="I78" s="11">
        <f>'G7 Input'!X72</f>
        <v>5.4600000000000003E-2</v>
      </c>
      <c r="J78" s="11">
        <f>'G7 Input'!Y72</f>
        <v>5.5999999999999991E-3</v>
      </c>
      <c r="K78" s="11">
        <f>'G7 Input'!Z72</f>
        <v>8.8999999999999999E-3</v>
      </c>
      <c r="L78" s="11">
        <f>'G7 Input'!AA72</f>
        <v>7.899999999999999E-3</v>
      </c>
      <c r="M78" s="11">
        <f>'G7 Input'!AB72</f>
        <v>1.09E-2</v>
      </c>
      <c r="O78" s="3" t="s">
        <v>262</v>
      </c>
      <c r="P78" s="14" t="str">
        <f>_xll.PLContribFull(B78*100,"BID",O78,"Slot46","TICKER",3,,"Valid")</f>
        <v>2.520 (12:14:42.773167)</v>
      </c>
      <c r="Q78" s="5" t="str">
        <f>_xll.PLContribFull(I78*100,"ASK",O78,"Slot46","TICKER",3,,"Valid")</f>
        <v>5.460 (12:14:42.761166)</v>
      </c>
      <c r="R78" s="15" t="s">
        <v>272</v>
      </c>
      <c r="S78" s="14" t="str">
        <f>_xll.PLContribFull(C78*100,"BID",R78,"Slot46","TICKER",3,,"Valid")</f>
        <v>-0.840 (12:14:42.764166)</v>
      </c>
      <c r="T78" s="14" t="str">
        <f>_xll.PLContribFull(J78*100,"ASK",R78,"Slot46","TICKER",3,,"Valid")</f>
        <v>0.560 (12:14:42.742167)</v>
      </c>
      <c r="U78" s="3" t="s">
        <v>281</v>
      </c>
      <c r="V78" s="14" t="str">
        <f>_xll.PLContribFull(D78*100,"BID",U78,"Slot46","TICKER",3,,"Valid")</f>
        <v>-1.410 (12:14:42.769168)</v>
      </c>
      <c r="W78" s="5" t="str">
        <f>_xll.PLContribFull(K78*100,"ASK",U78,"Slot46","TICKER",3,,"Valid")</f>
        <v>0.890 (12:14:42.775167)</v>
      </c>
      <c r="X78" s="15" t="s">
        <v>291</v>
      </c>
      <c r="Y78" s="14" t="str">
        <f>_xll.PLContribFull(E78*100,"BID",X78,"Slot46","TICKER",3,,"Valid")</f>
        <v>-0.610 (12:14:42.767165)</v>
      </c>
      <c r="Z78" s="14" t="str">
        <f>_xll.PLContribFull(L78*100,"ASK",X78,"Slot46","TICKER",3,,"Valid")</f>
        <v>0.790 (12:14:42.765166)</v>
      </c>
      <c r="AA78" s="3" t="s">
        <v>301</v>
      </c>
      <c r="AB78" s="14" t="str">
        <f>_xll.PLContribFull(F78*100,"BID",AA78,"Slot46","TICKER",3,,"Valid")</f>
        <v>-0.410 (12:14:42.761166)</v>
      </c>
      <c r="AC78" s="5" t="str">
        <f>_xll.PLContribFull(M78*100,"ASK",AA78,"Slot46","TICKER",3,,"Valid")</f>
        <v>1.090 (12:14:42.769168)</v>
      </c>
      <c r="AD78" s="16"/>
    </row>
    <row r="79" spans="1:30" x14ac:dyDescent="0.2">
      <c r="A79" s="12" t="s">
        <v>6</v>
      </c>
      <c r="B79" s="11">
        <f>'G7 Input'!Q73</f>
        <v>4.1550000000000004E-2</v>
      </c>
      <c r="C79" s="11">
        <f>'G7 Input'!R73</f>
        <v>-4.1000000000000003E-3</v>
      </c>
      <c r="D79" s="11">
        <f>'G7 Input'!S73</f>
        <v>-7.1000000000000004E-3</v>
      </c>
      <c r="E79" s="11">
        <f>'G7 Input'!T73</f>
        <v>-1.4E-3</v>
      </c>
      <c r="F79" s="11">
        <f>'G7 Input'!U73</f>
        <v>1.5999999999999994E-3</v>
      </c>
      <c r="H79" s="10" t="s">
        <v>6</v>
      </c>
      <c r="I79" s="11">
        <f>'G7 Input'!X73</f>
        <v>5.0449999999999995E-2</v>
      </c>
      <c r="J79" s="11">
        <f>'G7 Input'!Y73</f>
        <v>8.9999999999999998E-4</v>
      </c>
      <c r="K79" s="11">
        <f>'G7 Input'!Z73</f>
        <v>9.0000000000000019E-4</v>
      </c>
      <c r="L79" s="11">
        <f>'G7 Input'!AA73</f>
        <v>3.5999999999999999E-3</v>
      </c>
      <c r="M79" s="11">
        <f>'G7 Input'!AB73</f>
        <v>6.6E-3</v>
      </c>
      <c r="O79" s="3" t="s">
        <v>263</v>
      </c>
      <c r="P79" s="14" t="str">
        <f>_xll.PLContribFull(B79*100,"BID",O79,"Slot46","TICKER",3,,"Valid")</f>
        <v>4.155 (12:14:42.760167)</v>
      </c>
      <c r="Q79" s="5" t="str">
        <f>_xll.PLContribFull(I79*100,"ASK",O79,"Slot46","TICKER",3,,"Valid")</f>
        <v>5.045 (12:14:42.759166)</v>
      </c>
      <c r="R79" s="15" t="s">
        <v>273</v>
      </c>
      <c r="S79" s="14" t="str">
        <f>_xll.PLContribFull(C79*100,"BID",R79,"Slot46","TICKER",3,,"Valid")</f>
        <v>-0.410 (12:14:42.765166)</v>
      </c>
      <c r="T79" s="14" t="str">
        <f>_xll.PLContribFull(J79*100,"ASK",R79,"Slot46","TICKER",3,,"Valid")</f>
        <v>0.090 (12:14:42.759166)</v>
      </c>
      <c r="U79" s="3" t="s">
        <v>282</v>
      </c>
      <c r="V79" s="14" t="str">
        <f>_xll.PLContribFull(D79*100,"BID",U79,"Slot46","TICKER",3,,"Valid")</f>
        <v>-0.710 (12:14:42.749167)</v>
      </c>
      <c r="W79" s="5" t="str">
        <f>_xll.PLContribFull(K79*100,"ASK",U79,"Slot46","TICKER",3,,"Valid")</f>
        <v>0.090 (12:14:42.760167)</v>
      </c>
      <c r="X79" s="15" t="s">
        <v>292</v>
      </c>
      <c r="Y79" s="14" t="str">
        <f>_xll.PLContribFull(E79*100,"BID",X79,"Slot46","TICKER",3,,"Valid")</f>
        <v>-0.140 (12:14:42.767165)</v>
      </c>
      <c r="Z79" s="14" t="str">
        <f>_xll.PLContribFull(L79*100,"ASK",X79,"Slot46","TICKER",3,,"Valid")</f>
        <v>0.360 (12:14:42.748167)</v>
      </c>
      <c r="AA79" s="3" t="s">
        <v>302</v>
      </c>
      <c r="AB79" s="14" t="str">
        <f>_xll.PLContribFull(F79*100,"BID",AA79,"Slot46","TICKER",3,,"Valid")</f>
        <v>0.160 (12:14:42.765166)</v>
      </c>
      <c r="AC79" s="5" t="str">
        <f>_xll.PLContribFull(M79*100,"ASK",AA79,"Slot46","TICKER",3,,"Valid")</f>
        <v>0.660 (12:14:42.761166)</v>
      </c>
      <c r="AD79" s="16"/>
    </row>
    <row r="80" spans="1:30" x14ac:dyDescent="0.2">
      <c r="A80" s="12" t="s">
        <v>7</v>
      </c>
      <c r="B80" s="11">
        <f>'G7 Input'!Q74</f>
        <v>4.5349999999999994E-2</v>
      </c>
      <c r="C80" s="11">
        <f>'G7 Input'!R74</f>
        <v>-3.3E-3</v>
      </c>
      <c r="D80" s="11">
        <f>'G7 Input'!S74</f>
        <v>-6.0999999999999995E-3</v>
      </c>
      <c r="E80" s="11">
        <f>'G7 Input'!T74</f>
        <v>-9.9999999999999829E-5</v>
      </c>
      <c r="F80" s="11">
        <f>'G7 Input'!U74</f>
        <v>3.0000000000000001E-3</v>
      </c>
      <c r="H80" s="10" t="s">
        <v>7</v>
      </c>
      <c r="I80" s="11">
        <f>'G7 Input'!X74</f>
        <v>5.3449999999999991E-2</v>
      </c>
      <c r="J80" s="11">
        <f>'G7 Input'!Y74</f>
        <v>-2.9999999999999992E-4</v>
      </c>
      <c r="K80" s="11">
        <f>'G7 Input'!Z74</f>
        <v>-1.0999999999999998E-3</v>
      </c>
      <c r="L80" s="11">
        <f>'G7 Input'!AA74</f>
        <v>2.9000000000000002E-3</v>
      </c>
      <c r="M80" s="11">
        <f>'G7 Input'!AB74</f>
        <v>7.0000000000000001E-3</v>
      </c>
      <c r="O80" s="3" t="s">
        <v>264</v>
      </c>
      <c r="P80" s="14" t="str">
        <f>_xll.PLContribFull(B80*100,"BID",O80,"Slot46","TICKER",3,,"Valid")</f>
        <v>4.535 (12:14:42.778167)</v>
      </c>
      <c r="Q80" s="5" t="str">
        <f>_xll.PLContribFull(I80*100,"ASK",O80,"Slot46","TICKER",3,,"Valid")</f>
        <v>5.345 (12:14:42.768166)</v>
      </c>
      <c r="R80" s="15" t="s">
        <v>274</v>
      </c>
      <c r="S80" s="14" t="str">
        <f>_xll.PLContribFull(C80*100,"BID",R80,"Slot46","TICKER",3,,"Valid")</f>
        <v>-0.330 (12:14:42.760167)</v>
      </c>
      <c r="T80" s="14" t="str">
        <f>_xll.PLContribFull(J80*100,"ASK",R80,"Slot46","TICKER",3,,"Valid")</f>
        <v>-0.030 (12:14:42.748167)</v>
      </c>
      <c r="U80" s="3" t="s">
        <v>283</v>
      </c>
      <c r="V80" s="14" t="str">
        <f>_xll.PLContribFull(D80*100,"BID",U80,"Slot46","TICKER",3,,"Valid")</f>
        <v>-0.610 (12:14:42.762166)</v>
      </c>
      <c r="W80" s="5" t="str">
        <f>_xll.PLContribFull(K80*100,"ASK",U80,"Slot46","TICKER",3,,"Valid")</f>
        <v>-0.110 (12:14:42.770167)</v>
      </c>
      <c r="X80" s="15" t="s">
        <v>293</v>
      </c>
      <c r="Y80" s="14" t="str">
        <f>_xll.PLContribFull(E80*100,"BID",X80,"Slot46","TICKER",3,,"Valid")</f>
        <v>-0.010 (12:14:42.765166)</v>
      </c>
      <c r="Z80" s="14" t="str">
        <f>_xll.PLContribFull(L80*100,"ASK",X80,"Slot46","TICKER",3,,"Valid")</f>
        <v>0.290 (12:14:42.748167)</v>
      </c>
      <c r="AA80" s="3" t="s">
        <v>303</v>
      </c>
      <c r="AB80" s="14" t="str">
        <f>_xll.PLContribFull(F80*100,"BID",AA80,"Slot46","TICKER",3,,"Valid")</f>
        <v>0.300 (12:14:42.749167)</v>
      </c>
      <c r="AC80" s="5" t="str">
        <f>_xll.PLContribFull(M80*100,"ASK",AA80,"Slot46","TICKER",3,,"Valid")</f>
        <v>0.700 (12:14:42.779168)</v>
      </c>
      <c r="AD80" s="16"/>
    </row>
    <row r="81" spans="1:30" x14ac:dyDescent="0.2">
      <c r="A81" s="12" t="s">
        <v>8</v>
      </c>
      <c r="B81" s="11">
        <f>'G7 Input'!Q75</f>
        <v>4.505E-2</v>
      </c>
      <c r="C81" s="11">
        <f>'G7 Input'!R75</f>
        <v>-2.8E-3</v>
      </c>
      <c r="D81" s="11">
        <f>'G7 Input'!S75</f>
        <v>-5.1000000000000004E-3</v>
      </c>
      <c r="E81" s="11">
        <f>'G7 Input'!T75</f>
        <v>4.0000000000000018E-4</v>
      </c>
      <c r="F81" s="11">
        <f>'G7 Input'!U75</f>
        <v>4.1000000000000003E-3</v>
      </c>
      <c r="H81" s="10" t="s">
        <v>8</v>
      </c>
      <c r="I81" s="11">
        <f>'G7 Input'!X75</f>
        <v>5.0950000000000002E-2</v>
      </c>
      <c r="J81" s="11">
        <f>'G7 Input'!Y75</f>
        <v>-7.9999999999999993E-4</v>
      </c>
      <c r="K81" s="11">
        <f>'G7 Input'!Z75</f>
        <v>-2.0999999999999999E-3</v>
      </c>
      <c r="L81" s="11">
        <f>'G7 Input'!AA75</f>
        <v>2.4000000000000002E-3</v>
      </c>
      <c r="M81" s="11">
        <f>'G7 Input'!AB75</f>
        <v>6.1000000000000004E-3</v>
      </c>
      <c r="O81" s="3" t="s">
        <v>265</v>
      </c>
      <c r="P81" s="14" t="str">
        <f>_xll.PLContribFull(B81*100,"BID",O81,"Slot46","TICKER",3,,"Valid")</f>
        <v>4.505 (12:14:42.774166)</v>
      </c>
      <c r="Q81" s="5" t="str">
        <f>_xll.PLContribFull(I81*100,"ASK",O81,"Slot46","TICKER",3,,"Valid")</f>
        <v>5.095 (12:14:42.771168)</v>
      </c>
      <c r="R81" s="15" t="s">
        <v>275</v>
      </c>
      <c r="S81" s="14" t="str">
        <f>_xll.PLContribFull(C81*100,"BID",R81,"Slot46","TICKER",3,,"Valid")</f>
        <v>-0.280 (12:14:42.779168)</v>
      </c>
      <c r="T81" s="14" t="str">
        <f>_xll.PLContribFull(J81*100,"ASK",R81,"Slot46","TICKER",3,,"Valid")</f>
        <v>-0.080 (12:14:42.772166)</v>
      </c>
      <c r="U81" s="3" t="s">
        <v>284</v>
      </c>
      <c r="V81" s="14" t="str">
        <f>_xll.PLContribFull(D81*100,"BID",U81,"Slot46","TICKER",3,,"Valid")</f>
        <v>-0.510 (12:14:42.778167)</v>
      </c>
      <c r="W81" s="5" t="str">
        <f>_xll.PLContribFull(K81*100,"ASK",U81,"Slot46","TICKER",3,,"Valid")</f>
        <v>-0.210 (12:14:42.777166)</v>
      </c>
      <c r="X81" s="15" t="s">
        <v>294</v>
      </c>
      <c r="Y81" s="14" t="str">
        <f>_xll.PLContribFull(E81*100,"BID",X81,"Slot46","TICKER",3,,"Valid")</f>
        <v>0.040 (12:14:42.760167)</v>
      </c>
      <c r="Z81" s="14" t="str">
        <f>_xll.PLContribFull(L81*100,"ASK",X81,"Slot46","TICKER",3,,"Valid")</f>
        <v>0.240 (12:14:42.768166)</v>
      </c>
      <c r="AA81" s="3" t="s">
        <v>304</v>
      </c>
      <c r="AB81" s="14" t="str">
        <f>_xll.PLContribFull(F81*100,"BID",AA81,"Slot46","TICKER",3,,"Valid")</f>
        <v>0.410 (12:14:42.766166)</v>
      </c>
      <c r="AC81" s="5" t="str">
        <f>_xll.PLContribFull(M81*100,"ASK",AA81,"Slot46","TICKER",3,,"Valid")</f>
        <v>0.610 (12:14:42.765166)</v>
      </c>
      <c r="AD81" s="16"/>
    </row>
    <row r="82" spans="1:30" x14ac:dyDescent="0.2">
      <c r="A82" s="12" t="s">
        <v>9</v>
      </c>
      <c r="B82" s="11">
        <f>'G7 Input'!Q76</f>
        <v>4.7599999999999996E-2</v>
      </c>
      <c r="C82" s="11">
        <f>'G7 Input'!R76</f>
        <v>-3.0000000000000001E-3</v>
      </c>
      <c r="D82" s="11">
        <f>'G7 Input'!S76</f>
        <v>-5.4000000000000003E-3</v>
      </c>
      <c r="E82" s="11">
        <f>'G7 Input'!T76</f>
        <v>7.000000000000001E-4</v>
      </c>
      <c r="F82" s="11">
        <f>'G7 Input'!U76</f>
        <v>5.3E-3</v>
      </c>
      <c r="H82" s="10" t="s">
        <v>9</v>
      </c>
      <c r="I82" s="11">
        <f>'G7 Input'!X76</f>
        <v>5.3399999999999996E-2</v>
      </c>
      <c r="J82" s="11">
        <f>'G7 Input'!Y76</f>
        <v>-1E-3</v>
      </c>
      <c r="K82" s="11">
        <f>'G7 Input'!Z76</f>
        <v>-2.4000000000000002E-3</v>
      </c>
      <c r="L82" s="11">
        <f>'G7 Input'!AA76</f>
        <v>2.7000000000000001E-3</v>
      </c>
      <c r="M82" s="11">
        <f>'G7 Input'!AB76</f>
        <v>7.3000000000000001E-3</v>
      </c>
      <c r="O82" s="3" t="s">
        <v>266</v>
      </c>
      <c r="P82" s="14" t="str">
        <f>_xll.PLContribFull(B82*100,"BID",O82,"Slot46","TICKER",3,,"Valid")</f>
        <v>4.760 (12:14:42.770167)</v>
      </c>
      <c r="Q82" s="5" t="str">
        <f>_xll.PLContribFull(I82*100,"ASK",O82,"Slot46","TICKER",3,,"Valid")</f>
        <v>5.340 (12:14:42.772166)</v>
      </c>
      <c r="R82" s="15" t="s">
        <v>276</v>
      </c>
      <c r="S82" s="14" t="str">
        <f>_xll.PLContribFull(C82*100,"BID",R82,"Slot46","TICKER",3,,"Valid")</f>
        <v>-0.300 (12:14:42.746167)</v>
      </c>
      <c r="T82" s="14" t="str">
        <f>_xll.PLContribFull(J82*100,"ASK",R82,"Slot46","TICKER",3,,"Valid")</f>
        <v>-0.100 (12:14:42.762166)</v>
      </c>
      <c r="U82" s="3" t="s">
        <v>285</v>
      </c>
      <c r="V82" s="14" t="str">
        <f>_xll.PLContribFull(D82*100,"BID",U82,"Slot46","TICKER",3,,"Valid")</f>
        <v>-0.540 (12:14:42.764166)</v>
      </c>
      <c r="W82" s="5" t="str">
        <f>_xll.PLContribFull(K82*100,"ASK",U82,"Slot46","TICKER",3,,"Valid")</f>
        <v>-0.240 (12:14:42.744167)</v>
      </c>
      <c r="X82" s="15" t="s">
        <v>295</v>
      </c>
      <c r="Y82" s="14" t="str">
        <f>_xll.PLContribFull(E82*100,"BID",X82,"Slot46","TICKER",3,,"Valid")</f>
        <v>0.070 (12:14:42.768166)</v>
      </c>
      <c r="Z82" s="14" t="str">
        <f>_xll.PLContribFull(L82*100,"ASK",X82,"Slot46","TICKER",3,,"Valid")</f>
        <v>0.270 (12:14:42.775167)</v>
      </c>
      <c r="AA82" s="3" t="s">
        <v>305</v>
      </c>
      <c r="AB82" s="14" t="str">
        <f>_xll.PLContribFull(F82*100,"BID",AA82,"Slot46","TICKER",3,,"Valid")</f>
        <v>0.530 (12:14:42.765166)</v>
      </c>
      <c r="AC82" s="5" t="str">
        <f>_xll.PLContribFull(M82*100,"ASK",AA82,"Slot46","TICKER",3,,"Valid")</f>
        <v>0.730 (12:14:42.759166)</v>
      </c>
      <c r="AD82" s="16"/>
    </row>
    <row r="83" spans="1:30" x14ac:dyDescent="0.2">
      <c r="A83" s="12" t="s">
        <v>10</v>
      </c>
      <c r="B83" s="11">
        <f>'G7 Input'!Q77</f>
        <v>4.7749999999999994E-2</v>
      </c>
      <c r="C83" s="11">
        <f>'G7 Input'!R77</f>
        <v>-3.0999999999999999E-3</v>
      </c>
      <c r="D83" s="11">
        <f>'G7 Input'!S77</f>
        <v>-5.4999999999999997E-3</v>
      </c>
      <c r="E83" s="11">
        <f>'G7 Input'!T77</f>
        <v>8.9999999999999998E-4</v>
      </c>
      <c r="F83" s="11">
        <f>'G7 Input'!U77</f>
        <v>5.9999999999999993E-3</v>
      </c>
      <c r="H83" s="10" t="s">
        <v>10</v>
      </c>
      <c r="I83" s="11">
        <f>'G7 Input'!X77</f>
        <v>5.3649999999999996E-2</v>
      </c>
      <c r="J83" s="11">
        <f>'G7 Input'!Y77</f>
        <v>-1.0999999999999998E-3</v>
      </c>
      <c r="K83" s="11">
        <f>'G7 Input'!Z77</f>
        <v>-2.5000000000000001E-3</v>
      </c>
      <c r="L83" s="11">
        <f>'G7 Input'!AA77</f>
        <v>2.8999999999999998E-3</v>
      </c>
      <c r="M83" s="11">
        <f>'G7 Input'!AB77</f>
        <v>8.0000000000000002E-3</v>
      </c>
      <c r="O83" s="3" t="s">
        <v>267</v>
      </c>
      <c r="P83" s="14" t="str">
        <f>_xll.PLContribFull(B83*100,"BID",O83,"Slot46","TICKER",3,,"Valid")</f>
        <v>4.775 (12:14:42.772166)</v>
      </c>
      <c r="Q83" s="5" t="str">
        <f>_xll.PLContribFull(I83*100,"ASK",O83,"Slot46","TICKER",3,,"Valid")</f>
        <v>5.365 (12:14:42.764166)</v>
      </c>
      <c r="R83" s="15" t="s">
        <v>277</v>
      </c>
      <c r="S83" s="14" t="str">
        <f>_xll.PLContribFull(C83*100,"BID",R83,"Slot46","TICKER",3,,"Valid")</f>
        <v>-0.310 (12:14:42.776167)</v>
      </c>
      <c r="T83" s="14" t="str">
        <f>_xll.PLContribFull(J83*100,"ASK",R83,"Slot46","TICKER",3,,"Valid")</f>
        <v>-0.110 (12:14:42.772166)</v>
      </c>
      <c r="U83" s="3" t="s">
        <v>286</v>
      </c>
      <c r="V83" s="14" t="str">
        <f>_xll.PLContribFull(D83*100,"BID",U83,"Slot46","TICKER",3,,"Valid")</f>
        <v>-0.550 (12:14:42.774166)</v>
      </c>
      <c r="W83" s="5" t="str">
        <f>_xll.PLContribFull(K83*100,"ASK",U83,"Slot46","TICKER",3,,"Valid")</f>
        <v>-0.250 (12:14:42.773167)</v>
      </c>
      <c r="X83" s="15" t="s">
        <v>296</v>
      </c>
      <c r="Y83" s="14" t="str">
        <f>_xll.PLContribFull(E83*100,"BID",X83,"Slot46","TICKER",3,,"Valid")</f>
        <v>0.090 (12:14:42.764166)</v>
      </c>
      <c r="Z83" s="14" t="str">
        <f>_xll.PLContribFull(L83*100,"ASK",X83,"Slot46","TICKER",3,,"Valid")</f>
        <v>0.290 (12:14:42.763166)</v>
      </c>
      <c r="AA83" s="3" t="s">
        <v>306</v>
      </c>
      <c r="AB83" s="14" t="str">
        <f>_xll.PLContribFull(F83*100,"BID",AA83,"Slot46","TICKER",3,,"Valid")</f>
        <v>0.600 (12:14:42.775167)</v>
      </c>
      <c r="AC83" s="5" t="str">
        <f>_xll.PLContribFull(M83*100,"ASK",AA83,"Slot46","TICKER",3,,"Valid")</f>
        <v>0.800 (12:14:42.779168)</v>
      </c>
      <c r="AD83" s="16"/>
    </row>
    <row r="84" spans="1:30" x14ac:dyDescent="0.2">
      <c r="A84" s="12" t="s">
        <v>11</v>
      </c>
      <c r="B84" s="11">
        <f>'G7 Input'!Q78</f>
        <v>5.0849999999999999E-2</v>
      </c>
      <c r="C84" s="11">
        <f>'G7 Input'!R78</f>
        <v>-3.0999999999999999E-3</v>
      </c>
      <c r="D84" s="11">
        <f>'G7 Input'!S78</f>
        <v>-4.8999999999999998E-3</v>
      </c>
      <c r="E84" s="11">
        <f>'G7 Input'!T78</f>
        <v>1.2999999999999999E-3</v>
      </c>
      <c r="F84" s="11">
        <f>'G7 Input'!U78</f>
        <v>7.6999999999999994E-3</v>
      </c>
      <c r="H84" s="10" t="s">
        <v>11</v>
      </c>
      <c r="I84" s="11">
        <f>'G7 Input'!X78</f>
        <v>5.6750000000000002E-2</v>
      </c>
      <c r="J84" s="11">
        <f>'G7 Input'!Y78</f>
        <v>-1.0999999999999998E-3</v>
      </c>
      <c r="K84" s="11">
        <f>'G7 Input'!Z78</f>
        <v>-2.9000000000000002E-3</v>
      </c>
      <c r="L84" s="11">
        <f>'G7 Input'!AA78</f>
        <v>3.3E-3</v>
      </c>
      <c r="M84" s="11">
        <f>'G7 Input'!AB78</f>
        <v>9.7000000000000003E-3</v>
      </c>
      <c r="O84" s="3" t="s">
        <v>268</v>
      </c>
      <c r="P84" s="14" t="str">
        <f>_xll.PLContribFull(B84*100,"BID",O84,"Slot46","TICKER",3,,"Valid")</f>
        <v>5.085 (12:14:42.779168)</v>
      </c>
      <c r="Q84" s="5" t="str">
        <f>_xll.PLContribFull(I84*100,"ASK",O84,"Slot46","TICKER",3,,"Valid")</f>
        <v>5.675 (12:14:42.769168)</v>
      </c>
      <c r="R84" s="15" t="s">
        <v>278</v>
      </c>
      <c r="S84" s="14" t="str">
        <f>_xll.PLContribFull(C84*100,"BID",R84,"Slot46","TICKER",3,,"Valid")</f>
        <v>-0.310 (12:14:42.749167)</v>
      </c>
      <c r="T84" s="14" t="str">
        <f>_xll.PLContribFull(J84*100,"ASK",R84,"Slot46","TICKER",3,,"Valid")</f>
        <v>-0.110 (12:14:42.771168)</v>
      </c>
      <c r="U84" s="3" t="s">
        <v>287</v>
      </c>
      <c r="V84" s="14" t="str">
        <f>_xll.PLContribFull(D84*100,"BID",U84,"Slot46","TICKER",3,,"Valid")</f>
        <v>-0.490 (12:14:42.766166)</v>
      </c>
      <c r="W84" s="5" t="str">
        <f>_xll.PLContribFull(K84*100,"ASK",U84,"Slot46","TICKER",3,,"Valid")</f>
        <v>-0.290 (12:14:42.766166)</v>
      </c>
      <c r="X84" s="15" t="s">
        <v>297</v>
      </c>
      <c r="Y84" s="14" t="str">
        <f>_xll.PLContribFull(E84*100,"BID",X84,"Slot46","TICKER",3,,"Valid")</f>
        <v>0.130 (12:14:42.759166)</v>
      </c>
      <c r="Z84" s="14" t="str">
        <f>_xll.PLContribFull(L84*100,"ASK",X84,"Slot46","TICKER",3,,"Valid")</f>
        <v>0.330 (12:14:42.752166)</v>
      </c>
      <c r="AA84" s="3" t="s">
        <v>307</v>
      </c>
      <c r="AB84" s="14" t="str">
        <f>_xll.PLContribFull(F84*100,"BID",AA84,"Slot46","TICKER",3,,"Valid")</f>
        <v>0.770 (12:14:42.767165)</v>
      </c>
      <c r="AC84" s="5" t="str">
        <f>_xll.PLContribFull(M84*100,"ASK",AA84,"Slot46","TICKER",3,,"Valid")</f>
        <v>0.970 (12:14:42.742167)</v>
      </c>
      <c r="AD84" s="16"/>
    </row>
    <row r="85" spans="1:30" x14ac:dyDescent="0.2">
      <c r="A85" s="12" t="s">
        <v>12</v>
      </c>
      <c r="B85" s="11">
        <f>'G7 Input'!Q79</f>
        <v>5.5949999999999993E-2</v>
      </c>
      <c r="C85" s="11">
        <f>'G7 Input'!R79</f>
        <v>-3.3999999999999998E-3</v>
      </c>
      <c r="D85" s="11">
        <f>'G7 Input'!S79</f>
        <v>-5.9000000000000007E-3</v>
      </c>
      <c r="E85" s="11">
        <f>'G7 Input'!T79</f>
        <v>1.7000000000000001E-3</v>
      </c>
      <c r="F85" s="11">
        <f>'G7 Input'!U79</f>
        <v>9.5000000000000015E-3</v>
      </c>
      <c r="H85" s="10" t="s">
        <v>12</v>
      </c>
      <c r="I85" s="11">
        <f>'G7 Input'!X79</f>
        <v>6.1849999999999988E-2</v>
      </c>
      <c r="J85" s="11">
        <f>'G7 Input'!Y79</f>
        <v>-1.3999999999999998E-3</v>
      </c>
      <c r="K85" s="11">
        <f>'G7 Input'!Z79</f>
        <v>-2.9000000000000002E-3</v>
      </c>
      <c r="L85" s="11">
        <f>'G7 Input'!AA79</f>
        <v>3.7000000000000002E-3</v>
      </c>
      <c r="M85" s="11">
        <f>'G7 Input'!AB79</f>
        <v>1.15E-2</v>
      </c>
      <c r="O85" s="3" t="s">
        <v>269</v>
      </c>
      <c r="P85" s="14" t="str">
        <f>_xll.PLContribFull(B85*100,"BID",O85,"Slot46","TICKER",3,,"Valid")</f>
        <v>5.595 (12:14:42.766166)</v>
      </c>
      <c r="Q85" s="5" t="str">
        <f>_xll.PLContribFull(I85*100,"ASK",O85,"Slot46","TICKER",3,,"Valid")</f>
        <v>6.185 (12:14:42.777166)</v>
      </c>
      <c r="R85" s="15" t="s">
        <v>279</v>
      </c>
      <c r="S85" s="14" t="str">
        <f>_xll.PLContribFull(C85*100,"BID",R85,"Slot46","TICKER",3,,"Valid")</f>
        <v>-0.340 (12:14:42.763166)</v>
      </c>
      <c r="T85" s="14" t="str">
        <f>_xll.PLContribFull(J85*100,"ASK",R85,"Slot46","TICKER",3,,"Valid")</f>
        <v>-0.140 (12:14:42.759166)</v>
      </c>
      <c r="U85" s="3" t="s">
        <v>288</v>
      </c>
      <c r="V85" s="14" t="str">
        <f>_xll.PLContribFull(D85*100,"BID",U85,"Slot46","TICKER",3,,"Valid")</f>
        <v>-0.590 (12:14:42.755167)</v>
      </c>
      <c r="W85" s="5" t="str">
        <f>_xll.PLContribFull(K85*100,"ASK",U85,"Slot46","TICKER",3,,"Valid")</f>
        <v>-0.290 (12:14:42.765166)</v>
      </c>
      <c r="X85" s="15" t="s">
        <v>298</v>
      </c>
      <c r="Y85" s="14" t="str">
        <f>_xll.PLContribFull(E85*100,"BID",X85,"Slot46","TICKER",3,,"Valid")</f>
        <v>0.170 (12:14:42.773167)</v>
      </c>
      <c r="Z85" s="14" t="str">
        <f>_xll.PLContribFull(L85*100,"ASK",X85,"Slot46","TICKER",3,,"Valid")</f>
        <v>0.370 (12:14:42.767165)</v>
      </c>
      <c r="AA85" s="3" t="s">
        <v>308</v>
      </c>
      <c r="AB85" s="14" t="str">
        <f>_xll.PLContribFull(F85*100,"BID",AA85,"Slot46","TICKER",3,,"Valid")</f>
        <v>0.950 (12:14:42.770167)</v>
      </c>
      <c r="AC85" s="5" t="str">
        <f>_xll.PLContribFull(M85*100,"ASK",AA85,"Slot46","TICKER",3,,"Valid")</f>
        <v>1.150 (12:14:42.756167)</v>
      </c>
      <c r="AD85" s="16"/>
    </row>
    <row r="86" spans="1:30" x14ac:dyDescent="0.2">
      <c r="A86" s="12" t="s">
        <v>13</v>
      </c>
      <c r="B86" s="11">
        <f>'G7 Input'!Q80</f>
        <v>5.7699999999999987E-2</v>
      </c>
      <c r="C86" s="11">
        <f>'G7 Input'!R80</f>
        <v>-3.5000000000000001E-3</v>
      </c>
      <c r="D86" s="11">
        <f>'G7 Input'!S80</f>
        <v>-5.5000000000000005E-3</v>
      </c>
      <c r="E86" s="11">
        <f>'G7 Input'!T80</f>
        <v>1.8000000000000004E-3</v>
      </c>
      <c r="F86" s="11">
        <f>'G7 Input'!U80</f>
        <v>1.0200000000000001E-2</v>
      </c>
      <c r="H86" s="10" t="s">
        <v>13</v>
      </c>
      <c r="I86" s="11">
        <f>'G7 Input'!X80</f>
        <v>6.3699999999999993E-2</v>
      </c>
      <c r="J86" s="11">
        <f>'G7 Input'!Y80</f>
        <v>-1.5E-3</v>
      </c>
      <c r="K86" s="11">
        <f>'G7 Input'!Z80</f>
        <v>-3.5000000000000005E-3</v>
      </c>
      <c r="L86" s="11">
        <f>'G7 Input'!AA80</f>
        <v>3.8000000000000004E-3</v>
      </c>
      <c r="M86" s="11">
        <f>'G7 Input'!AB80</f>
        <v>1.2200000000000003E-2</v>
      </c>
      <c r="O86" s="3" t="s">
        <v>270</v>
      </c>
      <c r="P86" s="14" t="str">
        <f>_xll.PLContribFull(B86*100,"BID",O86,"Slot46","TICKER",3,,"Valid")</f>
        <v>5.770 (12:14:42.771168)</v>
      </c>
      <c r="Q86" s="5" t="str">
        <f>_xll.PLContribFull(I86*100,"ASK",O86,"Slot46","TICKER",3,,"Valid")</f>
        <v>6.370 (12:14:42.759166)</v>
      </c>
      <c r="R86" s="15" t="s">
        <v>280</v>
      </c>
      <c r="S86" s="14" t="str">
        <f>_xll.PLContribFull(C86*100,"BID",R86,"Slot46","TICKER",3,,"Valid")</f>
        <v>-0.350 (12:14:42.775167)</v>
      </c>
      <c r="T86" s="14" t="str">
        <f>_xll.PLContribFull(J86*100,"ASK",R86,"Slot46","TICKER",3,,"Valid")</f>
        <v>-0.150 (12:14:42.744167)</v>
      </c>
      <c r="U86" s="3" t="s">
        <v>289</v>
      </c>
      <c r="V86" s="14" t="str">
        <f>_xll.PLContribFull(D86*100,"BID",U86,"Slot46","TICKER",3,,"Valid")</f>
        <v>-0.550 (12:14:42.762166)</v>
      </c>
      <c r="W86" s="5" t="str">
        <f>_xll.PLContribFull(K86*100,"ASK",U86,"Slot46","TICKER",3,,"Valid")</f>
        <v>-0.350 (12:14:42.764166)</v>
      </c>
      <c r="X86" s="15" t="s">
        <v>299</v>
      </c>
      <c r="Y86" s="14" t="str">
        <f>_xll.PLContribFull(E86*100,"BID",X86,"Slot46","TICKER",3,,"Valid")</f>
        <v>0.180 (12:14:42.775167)</v>
      </c>
      <c r="Z86" s="14" t="str">
        <f>_xll.PLContribFull(L86*100,"ASK",X86,"Slot46","TICKER",3,,"Valid")</f>
        <v>0.380 (12:14:42.777166)</v>
      </c>
      <c r="AA86" s="3" t="s">
        <v>309</v>
      </c>
      <c r="AB86" s="14" t="str">
        <f>_xll.PLContribFull(F86*100,"BID",AA86,"Slot46","TICKER",3,,"Valid")</f>
        <v>1.020 (12:14:42.769168)</v>
      </c>
      <c r="AC86" s="5" t="str">
        <f>_xll.PLContribFull(M86*100,"ASK",AA86,"Slot46","TICKER",3,,"Valid")</f>
        <v>1.220 (12:14:42.774166)</v>
      </c>
      <c r="AD86" s="16"/>
    </row>
    <row r="87" spans="1:30" x14ac:dyDescent="0.2">
      <c r="A87" s="12" t="s">
        <v>14</v>
      </c>
      <c r="B87" s="11">
        <f>'G7 Input'!Q81</f>
        <v>5.9949999999999989E-2</v>
      </c>
      <c r="C87" s="11">
        <f>'G7 Input'!R81</f>
        <v>-4.0999999999999995E-3</v>
      </c>
      <c r="D87" s="11">
        <f>'G7 Input'!S81</f>
        <v>-6.6999999999999994E-3</v>
      </c>
      <c r="E87" s="11">
        <f>'G7 Input'!T81</f>
        <v>2.4999999999999996E-3</v>
      </c>
      <c r="F87" s="11">
        <f>'G7 Input'!U81</f>
        <v>1.26E-2</v>
      </c>
      <c r="H87" s="10" t="s">
        <v>14</v>
      </c>
      <c r="I87" s="11">
        <f>'G7 Input'!X81</f>
        <v>7.1249999999999994E-2</v>
      </c>
      <c r="J87" s="11">
        <f>'G7 Input'!Y81</f>
        <v>-2.0999999999999999E-3</v>
      </c>
      <c r="K87" s="11">
        <f>'G7 Input'!Z81</f>
        <v>-3.6999999999999997E-3</v>
      </c>
      <c r="L87" s="11">
        <f>'G7 Input'!AA81</f>
        <v>4.4999999999999997E-3</v>
      </c>
      <c r="M87" s="11">
        <f>'G7 Input'!AB81</f>
        <v>1.4600000000000002E-2</v>
      </c>
      <c r="O87" s="3" t="s">
        <v>271</v>
      </c>
      <c r="P87" s="14" t="str">
        <f>_xll.PLContribFull(B87*100,"BID",O87,"Slot46","TICKER",3,,"Valid")</f>
        <v>5.995 (12:14:42.775167)</v>
      </c>
      <c r="Q87" s="5" t="str">
        <f>_xll.PLContribFull(I87*100,"ASK",O87,"Slot46","TICKER",3,,"Valid")</f>
        <v>7.125 (12:14:42.767165)</v>
      </c>
      <c r="R87" s="15" t="s">
        <v>525</v>
      </c>
      <c r="S87" s="14" t="str">
        <f>_xll.PLContribFull(C87*100,"BID",R87,"Slot46","TICKER",3,,"Valid")</f>
        <v>-0.410 (12:14:42.774166)</v>
      </c>
      <c r="T87" s="14" t="str">
        <f>_xll.PLContribFull(J87*100,"ASK",R87,"Slot46","TICKER",3,,"Valid")</f>
        <v>-0.210 (12:14:42.767165)</v>
      </c>
      <c r="U87" s="3" t="s">
        <v>290</v>
      </c>
      <c r="V87" s="14" t="str">
        <f>_xll.PLContribFull(D87*100,"BID",U87,"Slot46","TICKER",3,,"Valid")</f>
        <v>-0.670 (12:14:42.775167)</v>
      </c>
      <c r="W87" s="5" t="str">
        <f>_xll.PLContribFull(K87*100,"ASK",U87,"Slot46","TICKER",3,,"Valid")</f>
        <v>-0.370 (12:14:42.766166)</v>
      </c>
      <c r="X87" s="15" t="s">
        <v>300</v>
      </c>
      <c r="Y87" s="14" t="str">
        <f>_xll.PLContribFull(E87*100,"BID",X87,"Slot46","TICKER",3,,"Valid")</f>
        <v>0.250 (12:14:42.744167)</v>
      </c>
      <c r="Z87" s="14" t="str">
        <f>_xll.PLContribFull(L87*100,"ASK",X87,"Slot46","TICKER",3,,"Valid")</f>
        <v>0.450 (12:14:42.775167)</v>
      </c>
      <c r="AA87" s="3" t="s">
        <v>310</v>
      </c>
      <c r="AB87" s="14" t="str">
        <f>_xll.PLContribFull(F87*100,"BID",AA87,"Slot46","TICKER",3,,"Valid")</f>
        <v>1.260 (12:14:42.768166)</v>
      </c>
      <c r="AC87" s="5" t="str">
        <f>_xll.PLContribFull(M87*100,"ASK",AA87,"Slot46","TICKER",3,,"Valid")</f>
        <v>1.460 (12:14:42.770167)</v>
      </c>
      <c r="AD87" s="16"/>
    </row>
    <row r="88" spans="1:30" x14ac:dyDescent="0.2">
      <c r="A88" s="12" t="s">
        <v>876</v>
      </c>
      <c r="B88" s="11">
        <f>'G7 Input'!Q82</f>
        <v>6.0999999999999999E-2</v>
      </c>
      <c r="C88" s="11">
        <f>'G7 Input'!R82</f>
        <v>-3.8999999999999998E-3</v>
      </c>
      <c r="D88" s="11">
        <f>'G7 Input'!S82</f>
        <v>-6.3E-3</v>
      </c>
      <c r="E88" s="11">
        <f>'G7 Input'!T82</f>
        <v>2.0999999999999999E-3</v>
      </c>
      <c r="F88" s="11">
        <f>'G7 Input'!U82</f>
        <v>1.09E-2</v>
      </c>
      <c r="H88" s="10" t="s">
        <v>876</v>
      </c>
      <c r="I88" s="11">
        <f>'G7 Input'!X82</f>
        <v>7.619999999999999E-2</v>
      </c>
      <c r="J88" s="11">
        <f>'G7 Input'!Y82</f>
        <v>-1.8999999999999998E-3</v>
      </c>
      <c r="K88" s="11">
        <f>'G7 Input'!Z82</f>
        <v>-3.2999999999999995E-3</v>
      </c>
      <c r="L88" s="11">
        <f>'G7 Input'!AA82</f>
        <v>4.0999999999999995E-3</v>
      </c>
      <c r="M88" s="11">
        <f>'G7 Input'!AB82</f>
        <v>1.2899999999999998E-2</v>
      </c>
      <c r="O88" s="3" t="s">
        <v>912</v>
      </c>
      <c r="P88" s="14" t="str">
        <f>_xll.PLContribFull(B88*100,"BID",O88,"Slot46","TICKER",3,,"Valid")</f>
        <v>6.100 (12:14:42.773167)</v>
      </c>
      <c r="Q88" s="5" t="str">
        <f>_xll.PLContribFull(I88*100,"ASK",O88,"Slot46","TICKER",3,,"Valid")</f>
        <v>7.620 (12:14:42.767165)</v>
      </c>
      <c r="R88" s="15" t="s">
        <v>913</v>
      </c>
      <c r="S88" s="14" t="str">
        <f>_xll.PLContribFull(C88*100,"BID",R88,"Slot46","TICKER",3,,"Valid")</f>
        <v>-0.390 (12:14:42.770167)</v>
      </c>
      <c r="T88" s="14" t="str">
        <f>_xll.PLContribFull(J88*100,"ASK",R88,"Slot46","TICKER",3,,"Valid")</f>
        <v>-0.190 (12:14:42.760167)</v>
      </c>
      <c r="U88" s="3" t="s">
        <v>914</v>
      </c>
      <c r="V88" s="14" t="str">
        <f>_xll.PLContribFull(D88*100,"BID",U88,"Slot46","TICKER",3,,"Valid")</f>
        <v>-0.630 (12:14:42.761166)</v>
      </c>
      <c r="W88" s="5" t="str">
        <f>_xll.PLContribFull(K88*100,"ASK",U88,"Slot46","TICKER",3,,"Valid")</f>
        <v>-0.330 (12:14:42.771168)</v>
      </c>
      <c r="X88" s="15" t="s">
        <v>915</v>
      </c>
      <c r="Y88" s="14" t="str">
        <f>_xll.PLContribFull(E88*100,"BID",X88,"Slot46","TICKER",3,,"Valid")</f>
        <v>0.210 (12:14:42.768166)</v>
      </c>
      <c r="Z88" s="14" t="str">
        <f>_xll.PLContribFull(L88*100,"ASK",X88,"Slot46","TICKER",3,,"Valid")</f>
        <v>0.410 (12:14:42.775167)</v>
      </c>
      <c r="AA88" s="3" t="s">
        <v>916</v>
      </c>
      <c r="AB88" s="14" t="str">
        <f>_xll.PLContribFull(F88*100,"BID",AA88,"Slot46","TICKER",3,,"Valid")</f>
        <v>1.090 (12:14:42.746167)</v>
      </c>
      <c r="AC88" s="5" t="str">
        <f>_xll.PLContribFull(M88*100,"ASK",AA88,"Slot46","TICKER",3,,"Valid")</f>
        <v>1.290 (12:14:42.774166)</v>
      </c>
      <c r="AD88" s="16"/>
    </row>
    <row r="89" spans="1:30" x14ac:dyDescent="0.2"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8"/>
      <c r="AC89" s="18"/>
    </row>
    <row r="90" spans="1:30" x14ac:dyDescent="0.2"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8"/>
      <c r="AC90" s="18"/>
    </row>
    <row r="91" spans="1:30" x14ac:dyDescent="0.25">
      <c r="A91" s="10" t="s">
        <v>337</v>
      </c>
      <c r="O91" s="3" t="s">
        <v>67</v>
      </c>
      <c r="P91" s="15" t="s">
        <v>68</v>
      </c>
      <c r="Q91" s="15"/>
      <c r="R91" s="3" t="s">
        <v>67</v>
      </c>
      <c r="S91" s="15" t="s">
        <v>68</v>
      </c>
      <c r="T91" s="15"/>
      <c r="U91" s="3" t="s">
        <v>67</v>
      </c>
      <c r="V91" s="15" t="s">
        <v>68</v>
      </c>
      <c r="W91" s="15"/>
      <c r="X91" s="3" t="s">
        <v>67</v>
      </c>
      <c r="Y91" s="15" t="s">
        <v>68</v>
      </c>
      <c r="Z91" s="6"/>
      <c r="AA91" s="3" t="s">
        <v>67</v>
      </c>
      <c r="AB91" s="15" t="s">
        <v>68</v>
      </c>
      <c r="AC91" s="6"/>
    </row>
    <row r="92" spans="1:30" ht="14.25" x14ac:dyDescent="0.25">
      <c r="A92" s="12" t="s">
        <v>331</v>
      </c>
      <c r="B92" s="12" t="s">
        <v>0</v>
      </c>
      <c r="C92" s="12" t="s">
        <v>1</v>
      </c>
      <c r="D92" s="12" t="s">
        <v>2</v>
      </c>
      <c r="E92" s="12" t="s">
        <v>3</v>
      </c>
      <c r="F92" s="12" t="s">
        <v>4</v>
      </c>
      <c r="H92" s="10" t="s">
        <v>332</v>
      </c>
      <c r="I92" s="10" t="s">
        <v>0</v>
      </c>
      <c r="J92" s="10" t="s">
        <v>1</v>
      </c>
      <c r="K92" s="10" t="s">
        <v>2</v>
      </c>
      <c r="L92" s="10" t="s">
        <v>3</v>
      </c>
      <c r="M92" s="10" t="s">
        <v>4</v>
      </c>
      <c r="O92" s="3" t="s">
        <v>66</v>
      </c>
      <c r="P92" s="13" t="s">
        <v>15</v>
      </c>
      <c r="Q92" s="13" t="s">
        <v>16</v>
      </c>
      <c r="R92" s="3" t="s">
        <v>1</v>
      </c>
      <c r="S92" s="13" t="s">
        <v>15</v>
      </c>
      <c r="T92" s="13" t="s">
        <v>16</v>
      </c>
      <c r="U92" s="3" t="s">
        <v>2</v>
      </c>
      <c r="V92" s="13" t="s">
        <v>15</v>
      </c>
      <c r="W92" s="13" t="s">
        <v>16</v>
      </c>
      <c r="X92" s="3" t="s">
        <v>3</v>
      </c>
      <c r="Y92" s="13" t="s">
        <v>15</v>
      </c>
      <c r="Z92" s="4" t="s">
        <v>16</v>
      </c>
      <c r="AA92" s="3" t="s">
        <v>4</v>
      </c>
      <c r="AB92" s="13" t="s">
        <v>15</v>
      </c>
      <c r="AC92" s="4" t="s">
        <v>16</v>
      </c>
      <c r="AD92" s="2"/>
    </row>
    <row r="93" spans="1:30" x14ac:dyDescent="0.2">
      <c r="A93" s="12" t="s">
        <v>5</v>
      </c>
      <c r="B93" s="11">
        <f>'G7 Input'!Q86</f>
        <v>3.6249999999999998E-2</v>
      </c>
      <c r="C93" s="11">
        <f>'G7 Input'!R86</f>
        <v>-1.89E-2</v>
      </c>
      <c r="D93" s="11">
        <f>'G7 Input'!S86</f>
        <v>-3.7699999999999997E-2</v>
      </c>
      <c r="E93" s="11">
        <f>'G7 Input'!T86</f>
        <v>-1.11E-2</v>
      </c>
      <c r="F93" s="11">
        <f>'G7 Input'!U86</f>
        <v>-2.07E-2</v>
      </c>
      <c r="H93" s="10" t="s">
        <v>5</v>
      </c>
      <c r="I93" s="11">
        <f>'G7 Input'!X86</f>
        <v>4.6550000000000001E-2</v>
      </c>
      <c r="J93" s="11">
        <f>'G7 Input'!Y86</f>
        <v>1.3100000000000001E-2</v>
      </c>
      <c r="K93" s="11">
        <f>'G7 Input'!Z86</f>
        <v>2.63E-2</v>
      </c>
      <c r="L93" s="11">
        <f>'G7 Input'!AA86</f>
        <v>1.29E-2</v>
      </c>
      <c r="M93" s="11">
        <f>'G7 Input'!AB86</f>
        <v>2.7300000000000001E-2</v>
      </c>
      <c r="O93" s="3" t="s">
        <v>415</v>
      </c>
      <c r="P93" s="14" t="str">
        <f>_xll.PLContribFull(B93*100,"BID",O93,"Slot46","TICKER",3,,"Valid")</f>
        <v>3.625 (12:14:42.763166)</v>
      </c>
      <c r="Q93" s="5" t="str">
        <f>_xll.PLContribFull(I93*100,"ASK",O93,"Slot46","TICKER",3,,"Valid")</f>
        <v>4.655 (12:14:42.763166)</v>
      </c>
      <c r="R93" s="3" t="s">
        <v>425</v>
      </c>
      <c r="S93" s="14" t="str">
        <f>_xll.PLContribFull(C93*100,"BID",R93,"Slot46","TICKER",3,,"Valid")</f>
        <v>-1.890 (12:14:42.759166)</v>
      </c>
      <c r="T93" s="14" t="str">
        <f>_xll.PLContribFull(J93*100,"ASK",R93,"Slot46","TICKER",3,,"Valid")</f>
        <v>1.310 (12:14:42.740168)</v>
      </c>
      <c r="U93" s="3" t="s">
        <v>435</v>
      </c>
      <c r="V93" s="14" t="str">
        <f>_xll.PLContribFull(D93*100,"BID",U93,"Slot46","TICKER",3,,"Valid")</f>
        <v>-3.770 (12:14:42.773167)</v>
      </c>
      <c r="W93" s="5" t="str">
        <f>_xll.PLContribFull(K93*100,"ASK",U93,"Slot46","TICKER",3,,"Valid")</f>
        <v>2.630 (12:14:42.741170)</v>
      </c>
      <c r="X93" s="3" t="s">
        <v>445</v>
      </c>
      <c r="Y93" s="14" t="str">
        <f>_xll.PLContribFull(E93*100,"BID",X93,"Slot46","TICKER",3,,"Valid")</f>
        <v>-1.110 (12:14:42.771168)</v>
      </c>
      <c r="Z93" s="14" t="str">
        <f>_xll.PLContribFull(L93*100,"ASK",X93,"Slot46","TICKER",3,,"Valid")</f>
        <v>1.290 (12:14:42.770167)</v>
      </c>
      <c r="AA93" s="3" t="s">
        <v>455</v>
      </c>
      <c r="AB93" s="14" t="str">
        <f>_xll.PLContribFull(F93*100,"BID",AA93,"Slot46","TICKER",3,,"Valid")</f>
        <v>-2.070 (12:14:42.770167)</v>
      </c>
      <c r="AC93" s="5" t="str">
        <f>_xll.PLContribFull(M93*100,"ASK",AA93,"Slot46","TICKER",3,,"Valid")</f>
        <v>2.730 (12:14:42.776167)</v>
      </c>
      <c r="AD93" s="16"/>
    </row>
    <row r="94" spans="1:30" x14ac:dyDescent="0.2">
      <c r="A94" s="12" t="s">
        <v>6</v>
      </c>
      <c r="B94" s="11">
        <f>'G7 Input'!Q87</f>
        <v>4.2149999999999993E-2</v>
      </c>
      <c r="C94" s="11">
        <f>'G7 Input'!R87</f>
        <v>-1.0699999999999999E-2</v>
      </c>
      <c r="D94" s="11">
        <f>'G7 Input'!S87</f>
        <v>-2.0999999999999998E-2</v>
      </c>
      <c r="E94" s="11">
        <f>'G7 Input'!T87</f>
        <v>-4.8999999999999998E-3</v>
      </c>
      <c r="F94" s="11">
        <f>'G7 Input'!U87</f>
        <v>-8.4000000000000012E-3</v>
      </c>
      <c r="H94" s="10" t="s">
        <v>6</v>
      </c>
      <c r="I94" s="11">
        <f>'G7 Input'!X87</f>
        <v>4.9249999999999988E-2</v>
      </c>
      <c r="J94" s="11">
        <f>'G7 Input'!Y87</f>
        <v>4.3E-3</v>
      </c>
      <c r="K94" s="11">
        <f>'G7 Input'!Z87</f>
        <v>8.9999999999999993E-3</v>
      </c>
      <c r="L94" s="11">
        <f>'G7 Input'!AA87</f>
        <v>7.1000000000000004E-3</v>
      </c>
      <c r="M94" s="11">
        <f>'G7 Input'!AB87</f>
        <v>1.5599999999999999E-2</v>
      </c>
      <c r="O94" s="3" t="s">
        <v>416</v>
      </c>
      <c r="P94" s="14" t="str">
        <f>_xll.PLContribFull(B94*100,"BID",O94,"Slot46","TICKER",3,,"Valid")</f>
        <v>4.215 (12:14:42.768166)</v>
      </c>
      <c r="Q94" s="5" t="str">
        <f>_xll.PLContribFull(I94*100,"ASK",O94,"Slot46","TICKER",3,,"Valid")</f>
        <v>4.925 (12:14:42.766166)</v>
      </c>
      <c r="R94" s="3" t="s">
        <v>426</v>
      </c>
      <c r="S94" s="14" t="str">
        <f>_xll.PLContribFull(C94*100,"BID",R94,"Slot46","TICKER",3,,"Valid")</f>
        <v>-1.070 (12:14:42.772166)</v>
      </c>
      <c r="T94" s="14" t="str">
        <f>_xll.PLContribFull(J94*100,"ASK",R94,"Slot46","TICKER",3,,"Valid")</f>
        <v>0.430 (12:14:42.776167)</v>
      </c>
      <c r="U94" s="3" t="s">
        <v>436</v>
      </c>
      <c r="V94" s="14" t="str">
        <f>_xll.PLContribFull(D94*100,"BID",U94,"Slot46","TICKER",3,,"Valid")</f>
        <v>-2.100 (12:14:42.762166)</v>
      </c>
      <c r="W94" s="5" t="str">
        <f>_xll.PLContribFull(K94*100,"ASK",U94,"Slot46","TICKER",3,,"Valid")</f>
        <v>0.900 (12:14:42.768166)</v>
      </c>
      <c r="X94" s="3" t="s">
        <v>446</v>
      </c>
      <c r="Y94" s="14" t="str">
        <f>_xll.PLContribFull(E94*100,"BID",X94,"Slot46","TICKER",3,,"Valid")</f>
        <v>-0.490 (12:14:42.778167)</v>
      </c>
      <c r="Z94" s="14" t="str">
        <f>_xll.PLContribFull(L94*100,"ASK",X94,"Slot46","TICKER",3,,"Valid")</f>
        <v>0.710 (12:14:42.776167)</v>
      </c>
      <c r="AA94" s="3" t="s">
        <v>456</v>
      </c>
      <c r="AB94" s="14" t="str">
        <f>_xll.PLContribFull(F94*100,"BID",AA94,"Slot46","TICKER",3,,"Valid")</f>
        <v>-0.840 (12:14:42.775167)</v>
      </c>
      <c r="AC94" s="5" t="str">
        <f>_xll.PLContribFull(M94*100,"ASK",AA94,"Slot46","TICKER",3,,"Valid")</f>
        <v>1.560 (12:14:42.769168)</v>
      </c>
      <c r="AD94" s="16"/>
    </row>
    <row r="95" spans="1:30" x14ac:dyDescent="0.2">
      <c r="A95" s="12" t="s">
        <v>7</v>
      </c>
      <c r="B95" s="11">
        <f>'G7 Input'!Q88</f>
        <v>5.0549999999999998E-2</v>
      </c>
      <c r="C95" s="11">
        <f>'G7 Input'!R88</f>
        <v>-9.9000000000000008E-3</v>
      </c>
      <c r="D95" s="11">
        <f>'G7 Input'!S88</f>
        <v>-1.9200000000000002E-2</v>
      </c>
      <c r="E95" s="11">
        <f>'G7 Input'!T88</f>
        <v>-3.7000000000000002E-3</v>
      </c>
      <c r="F95" s="11">
        <f>'G7 Input'!U88</f>
        <v>-5.5999999999999999E-3</v>
      </c>
      <c r="H95" s="10" t="s">
        <v>7</v>
      </c>
      <c r="I95" s="11">
        <f>'G7 Input'!X88</f>
        <v>5.6050000000000003E-2</v>
      </c>
      <c r="J95" s="11">
        <f>'G7 Input'!Y88</f>
        <v>2.0999999999999999E-3</v>
      </c>
      <c r="K95" s="11">
        <f>'G7 Input'!Z88</f>
        <v>4.8000000000000004E-3</v>
      </c>
      <c r="L95" s="11">
        <f>'G7 Input'!AA88</f>
        <v>6.3E-3</v>
      </c>
      <c r="M95" s="11">
        <f>'G7 Input'!AB88</f>
        <v>1.44E-2</v>
      </c>
      <c r="O95" s="3" t="s">
        <v>417</v>
      </c>
      <c r="P95" s="14" t="str">
        <f>_xll.PLContribFull(B95*100,"BID",O95,"Slot46","TICKER",3,,"Valid")</f>
        <v>5.055 (12:14:42.773167)</v>
      </c>
      <c r="Q95" s="5" t="str">
        <f>_xll.PLContribFull(I95*100,"ASK",O95,"Slot46","TICKER",3,,"Valid")</f>
        <v>5.605 (12:14:42.765166)</v>
      </c>
      <c r="R95" s="3" t="s">
        <v>427</v>
      </c>
      <c r="S95" s="14" t="str">
        <f>_xll.PLContribFull(C95*100,"BID",R95,"Slot46","TICKER",3,,"Valid")</f>
        <v>-0.990 (12:14:42.746167)</v>
      </c>
      <c r="T95" s="14" t="str">
        <f>_xll.PLContribFull(J95*100,"ASK",R95,"Slot46","TICKER",3,,"Valid")</f>
        <v>0.210 (12:14:42.774166)</v>
      </c>
      <c r="U95" s="3" t="s">
        <v>437</v>
      </c>
      <c r="V95" s="14" t="str">
        <f>_xll.PLContribFull(D95*100,"BID",U95,"Slot46","TICKER",3,,"Valid")</f>
        <v>-1.920 (12:14:42.770167)</v>
      </c>
      <c r="W95" s="5" t="str">
        <f>_xll.PLContribFull(K95*100,"ASK",U95,"Slot46","TICKER",3,,"Valid")</f>
        <v>0.480 (12:14:42.764166)</v>
      </c>
      <c r="X95" s="3" t="s">
        <v>447</v>
      </c>
      <c r="Y95" s="14" t="str">
        <f>_xll.PLContribFull(E95*100,"BID",X95,"Slot46","TICKER",3,,"Valid")</f>
        <v>-0.370 (12:14:42.748167)</v>
      </c>
      <c r="Z95" s="14" t="str">
        <f>_xll.PLContribFull(L95*100,"ASK",X95,"Slot46","TICKER",3,,"Valid")</f>
        <v>0.630 (12:14:42.778167)</v>
      </c>
      <c r="AA95" s="3" t="s">
        <v>457</v>
      </c>
      <c r="AB95" s="14" t="str">
        <f>_xll.PLContribFull(F95*100,"BID",AA95,"Slot46","TICKER",3,,"Valid")</f>
        <v>-0.560 (12:14:42.775167)</v>
      </c>
      <c r="AC95" s="5" t="str">
        <f>_xll.PLContribFull(M95*100,"ASK",AA95,"Slot46","TICKER",3,,"Valid")</f>
        <v>1.440 (12:14:42.778167)</v>
      </c>
      <c r="AD95" s="16"/>
    </row>
    <row r="96" spans="1:30" x14ac:dyDescent="0.2">
      <c r="A96" s="12" t="s">
        <v>8</v>
      </c>
      <c r="B96" s="11">
        <f>'G7 Input'!Q89</f>
        <v>4.9599999999999998E-2</v>
      </c>
      <c r="C96" s="11">
        <f>'G7 Input'!R89</f>
        <v>-7.3000000000000001E-3</v>
      </c>
      <c r="D96" s="11">
        <f>'G7 Input'!S89</f>
        <v>-1.3900000000000001E-2</v>
      </c>
      <c r="E96" s="11">
        <f>'G7 Input'!T89</f>
        <v>-1.0999999999999998E-3</v>
      </c>
      <c r="F96" s="11">
        <f>'G7 Input'!U89</f>
        <v>-2.0000000000000052E-4</v>
      </c>
      <c r="H96" s="10" t="s">
        <v>8</v>
      </c>
      <c r="I96" s="11">
        <f>'G7 Input'!X89</f>
        <v>5.3399999999999996E-2</v>
      </c>
      <c r="J96" s="11">
        <f>'G7 Input'!Y89</f>
        <v>-1.2999999999999999E-3</v>
      </c>
      <c r="K96" s="11">
        <f>'G7 Input'!Z89</f>
        <v>-1.9000000000000006E-3</v>
      </c>
      <c r="L96" s="11">
        <f>'G7 Input'!AA89</f>
        <v>3.9000000000000003E-3</v>
      </c>
      <c r="M96" s="11">
        <f>'G7 Input'!AB89</f>
        <v>9.7999999999999997E-3</v>
      </c>
      <c r="O96" s="3" t="s">
        <v>418</v>
      </c>
      <c r="P96" s="14" t="str">
        <f>_xll.PLContribFull(B96*100,"BID",O96,"Slot46","TICKER",3,,"Valid")</f>
        <v>4.960 (12:14:42.772166)</v>
      </c>
      <c r="Q96" s="5" t="str">
        <f>_xll.PLContribFull(I96*100,"ASK",O96,"Slot46","TICKER",3,,"Valid")</f>
        <v>5.340 (12:14:42.778167)</v>
      </c>
      <c r="R96" s="3" t="s">
        <v>428</v>
      </c>
      <c r="S96" s="14" t="str">
        <f>_xll.PLContribFull(C96*100,"BID",R96,"Slot46","TICKER",3,,"Valid")</f>
        <v>-0.730 (12:14:42.768166)</v>
      </c>
      <c r="T96" s="14" t="str">
        <f>_xll.PLContribFull(J96*100,"ASK",R96,"Slot46","TICKER",3,,"Valid")</f>
        <v>-0.130 (12:14:42.749167)</v>
      </c>
      <c r="U96" s="3" t="s">
        <v>438</v>
      </c>
      <c r="V96" s="14" t="str">
        <f>_xll.PLContribFull(D96*100,"BID",U96,"Slot46","TICKER",3,,"Valid")</f>
        <v>-1.390 (12:14:42.753167)</v>
      </c>
      <c r="W96" s="5" t="str">
        <f>_xll.PLContribFull(K96*100,"ASK",U96,"Slot46","TICKER",3,,"Valid")</f>
        <v>-0.190 (12:14:42.773167)</v>
      </c>
      <c r="X96" s="3" t="s">
        <v>448</v>
      </c>
      <c r="Y96" s="14" t="str">
        <f>_xll.PLContribFull(E96*100,"BID",X96,"Slot46","TICKER",3,,"Valid")</f>
        <v>-0.110 (12:14:42.744167)</v>
      </c>
      <c r="Z96" s="14" t="str">
        <f>_xll.PLContribFull(L96*100,"ASK",X96,"Slot46","TICKER",3,,"Valid")</f>
        <v>0.390 (12:14:42.766166)</v>
      </c>
      <c r="AA96" s="3" t="s">
        <v>458</v>
      </c>
      <c r="AB96" s="14" t="str">
        <f>_xll.PLContribFull(F96*100,"BID",AA96,"Slot46","TICKER",3,,"Valid")</f>
        <v>-0.020 (12:14:42.751168)</v>
      </c>
      <c r="AC96" s="5" t="str">
        <f>_xll.PLContribFull(M96*100,"ASK",AA96,"Slot46","TICKER",3,,"Valid")</f>
        <v>0.980 (12:14:42.769168)</v>
      </c>
      <c r="AD96" s="16"/>
    </row>
    <row r="97" spans="1:30" x14ac:dyDescent="0.2">
      <c r="A97" s="12" t="s">
        <v>9</v>
      </c>
      <c r="B97" s="11">
        <f>'G7 Input'!Q90</f>
        <v>5.4949999999999999E-2</v>
      </c>
      <c r="C97" s="11">
        <f>'G7 Input'!R90</f>
        <v>-9.1000000000000004E-3</v>
      </c>
      <c r="D97" s="11">
        <f>'G7 Input'!S90</f>
        <v>-1.7299999999999999E-2</v>
      </c>
      <c r="E97" s="11">
        <f>'G7 Input'!T90</f>
        <v>-8.9999999999999998E-4</v>
      </c>
      <c r="F97" s="11">
        <f>'G7 Input'!U90</f>
        <v>4.0000000000000018E-4</v>
      </c>
      <c r="H97" s="10" t="s">
        <v>9</v>
      </c>
      <c r="I97" s="11">
        <f>'G7 Input'!X90</f>
        <v>5.8649999999999994E-2</v>
      </c>
      <c r="J97" s="11">
        <f>'G7 Input'!Y90</f>
        <v>-3.0999999999999995E-3</v>
      </c>
      <c r="K97" s="11">
        <f>'G7 Input'!Z90</f>
        <v>-5.2999999999999992E-3</v>
      </c>
      <c r="L97" s="11">
        <f>'G7 Input'!AA90</f>
        <v>4.1000000000000003E-3</v>
      </c>
      <c r="M97" s="11">
        <f>'G7 Input'!AB90</f>
        <v>1.04E-2</v>
      </c>
      <c r="O97" s="3" t="s">
        <v>419</v>
      </c>
      <c r="P97" s="14" t="str">
        <f>_xll.PLContribFull(B97*100,"BID",O97,"Slot46","TICKER",3,,"Valid")</f>
        <v>5.495 (12:14:42.775167)</v>
      </c>
      <c r="Q97" s="5" t="str">
        <f>_xll.PLContribFull(I97*100,"ASK",O97,"Slot46","TICKER",3,,"Valid")</f>
        <v>5.865 (12:14:42.765166)</v>
      </c>
      <c r="R97" s="3" t="s">
        <v>429</v>
      </c>
      <c r="S97" s="14" t="str">
        <f>_xll.PLContribFull(C97*100,"BID",R97,"Slot46","TICKER",3,,"Valid")</f>
        <v>-0.910 (12:14:42.765166)</v>
      </c>
      <c r="T97" s="14" t="str">
        <f>_xll.PLContribFull(J97*100,"ASK",R97,"Slot46","TICKER",3,,"Valid")</f>
        <v>-0.310 (12:14:42.756167)</v>
      </c>
      <c r="U97" s="3" t="s">
        <v>439</v>
      </c>
      <c r="V97" s="14" t="str">
        <f>_xll.PLContribFull(D97*100,"BID",U97,"Slot46","TICKER",3,,"Valid")</f>
        <v>-1.730 (12:14:42.746167)</v>
      </c>
      <c r="W97" s="5" t="str">
        <f>_xll.PLContribFull(K97*100,"ASK",U97,"Slot46","TICKER",3,,"Valid")</f>
        <v>-0.530 (12:14:42.760167)</v>
      </c>
      <c r="X97" s="3" t="s">
        <v>449</v>
      </c>
      <c r="Y97" s="14" t="str">
        <f>_xll.PLContribFull(E97*100,"BID",X97,"Slot46","TICKER",3,,"Valid")</f>
        <v>-0.090 (12:14:42.773167)</v>
      </c>
      <c r="Z97" s="14" t="str">
        <f>_xll.PLContribFull(L97*100,"ASK",X97,"Slot46","TICKER",3,,"Valid")</f>
        <v>0.410 (12:14:42.742167)</v>
      </c>
      <c r="AA97" s="3" t="s">
        <v>459</v>
      </c>
      <c r="AB97" s="14" t="str">
        <f>_xll.PLContribFull(F97*100,"BID",AA97,"Slot46","TICKER",3,,"Valid")</f>
        <v>0.040 (12:14:42.769168)</v>
      </c>
      <c r="AC97" s="5" t="str">
        <f>_xll.PLContribFull(M97*100,"ASK",AA97,"Slot46","TICKER",3,,"Valid")</f>
        <v>1.040 (12:14:42.766166)</v>
      </c>
      <c r="AD97" s="16"/>
    </row>
    <row r="98" spans="1:30" x14ac:dyDescent="0.2">
      <c r="A98" s="12" t="s">
        <v>10</v>
      </c>
      <c r="B98" s="11">
        <f>'G7 Input'!Q91</f>
        <v>5.57E-2</v>
      </c>
      <c r="C98" s="11">
        <f>'G7 Input'!R91</f>
        <v>-9.4000000000000004E-3</v>
      </c>
      <c r="D98" s="11">
        <f>'G7 Input'!S91</f>
        <v>-1.8099999999999998E-2</v>
      </c>
      <c r="E98" s="11">
        <f>'G7 Input'!T91</f>
        <v>-7.9999999999999993E-4</v>
      </c>
      <c r="F98" s="11">
        <f>'G7 Input'!U91</f>
        <v>8.9999999999999976E-4</v>
      </c>
      <c r="H98" s="10" t="s">
        <v>10</v>
      </c>
      <c r="I98" s="11">
        <f>'G7 Input'!X91</f>
        <v>5.9499999999999997E-2</v>
      </c>
      <c r="J98" s="11">
        <f>'G7 Input'!Y91</f>
        <v>-3.4000000000000002E-3</v>
      </c>
      <c r="K98" s="11">
        <f>'G7 Input'!Z91</f>
        <v>-6.0999999999999995E-3</v>
      </c>
      <c r="L98" s="11">
        <f>'G7 Input'!AA91</f>
        <v>4.2000000000000006E-3</v>
      </c>
      <c r="M98" s="11">
        <f>'G7 Input'!AB91</f>
        <v>1.09E-2</v>
      </c>
      <c r="O98" s="3" t="s">
        <v>420</v>
      </c>
      <c r="P98" s="14" t="str">
        <f>_xll.PLContribFull(B98*100,"BID",O98,"Slot46","TICKER",3,,"Valid")</f>
        <v>5.570 (12:14:42.772166)</v>
      </c>
      <c r="Q98" s="5" t="str">
        <f>_xll.PLContribFull(I98*100,"ASK",O98,"Slot46","TICKER",3,,"Valid")</f>
        <v>5.950 (12:14:42.771168)</v>
      </c>
      <c r="R98" s="3" t="s">
        <v>430</v>
      </c>
      <c r="S98" s="14" t="str">
        <f>_xll.PLContribFull(C98*100,"BID",R98,"Slot46","TICKER",3,,"Valid")</f>
        <v>-0.940 (12:14:42.753167)</v>
      </c>
      <c r="T98" s="14" t="str">
        <f>_xll.PLContribFull(J98*100,"ASK",R98,"Slot46","TICKER",3,,"Valid")</f>
        <v>-0.340 (12:14:42.776167)</v>
      </c>
      <c r="U98" s="3" t="s">
        <v>440</v>
      </c>
      <c r="V98" s="14" t="str">
        <f>_xll.PLContribFull(D98*100,"BID",U98,"Slot46","TICKER",3,,"Valid")</f>
        <v>-1.810 (12:14:42.775167)</v>
      </c>
      <c r="W98" s="5" t="str">
        <f>_xll.PLContribFull(K98*100,"ASK",U98,"Slot46","TICKER",3,,"Valid")</f>
        <v>-0.610 (12:14:42.745167)</v>
      </c>
      <c r="X98" s="3" t="s">
        <v>450</v>
      </c>
      <c r="Y98" s="14" t="str">
        <f>_xll.PLContribFull(E98*100,"BID",X98,"Slot46","TICKER",3,,"Valid")</f>
        <v>-0.080 (12:14:42.772166)</v>
      </c>
      <c r="Z98" s="14" t="str">
        <f>_xll.PLContribFull(L98*100,"ASK",X98,"Slot46","TICKER",3,,"Valid")</f>
        <v>0.420 (12:14:42.768166)</v>
      </c>
      <c r="AA98" s="3" t="s">
        <v>460</v>
      </c>
      <c r="AB98" s="14" t="str">
        <f>_xll.PLContribFull(F98*100,"BID",AA98,"Slot46","TICKER",3,,"Valid")</f>
        <v>0.090 (12:14:42.746167)</v>
      </c>
      <c r="AC98" s="5" t="str">
        <f>_xll.PLContribFull(M98*100,"ASK",AA98,"Slot46","TICKER",3,,"Valid")</f>
        <v>1.090 (12:14:42.772166)</v>
      </c>
      <c r="AD98" s="16"/>
    </row>
    <row r="99" spans="1:30" x14ac:dyDescent="0.2">
      <c r="A99" s="12" t="s">
        <v>11</v>
      </c>
      <c r="B99" s="11">
        <f>'G7 Input'!Q92</f>
        <v>6.0749999999999998E-2</v>
      </c>
      <c r="C99" s="11">
        <f>'G7 Input'!R92</f>
        <v>-1.0700000000000001E-2</v>
      </c>
      <c r="D99" s="11">
        <f>'G7 Input'!S92</f>
        <v>-2.07E-2</v>
      </c>
      <c r="E99" s="11">
        <f>'G7 Input'!T92</f>
        <v>-5.0000000000000001E-4</v>
      </c>
      <c r="F99" s="11">
        <f>'G7 Input'!U92</f>
        <v>2.4999999999999996E-3</v>
      </c>
      <c r="H99" s="10" t="s">
        <v>11</v>
      </c>
      <c r="I99" s="11">
        <f>'G7 Input'!X92</f>
        <v>6.4450000000000007E-2</v>
      </c>
      <c r="J99" s="11">
        <f>'G7 Input'!Y92</f>
        <v>-4.7000000000000002E-3</v>
      </c>
      <c r="K99" s="11">
        <f>'G7 Input'!Z92</f>
        <v>-8.6999999999999994E-3</v>
      </c>
      <c r="L99" s="11">
        <f>'G7 Input'!AA92</f>
        <v>4.5000000000000005E-3</v>
      </c>
      <c r="M99" s="11">
        <f>'G7 Input'!AB92</f>
        <v>1.2500000000000001E-2</v>
      </c>
      <c r="O99" s="3" t="s">
        <v>421</v>
      </c>
      <c r="P99" s="14" t="str">
        <f>_xll.PLContribFull(B99*100,"BID",O99,"Slot46","TICKER",3,,"Valid")</f>
        <v>6.075 (12:14:42.777166)</v>
      </c>
      <c r="Q99" s="5" t="str">
        <f>_xll.PLContribFull(I99*100,"ASK",O99,"Slot46","TICKER",3,,"Valid")</f>
        <v>6.445 (12:14:42.763166)</v>
      </c>
      <c r="R99" s="3" t="s">
        <v>431</v>
      </c>
      <c r="S99" s="14" t="str">
        <f>_xll.PLContribFull(C99*100,"BID",R99,"Slot46","TICKER",3,,"Valid")</f>
        <v>-1.070 (12:14:42.750168)</v>
      </c>
      <c r="T99" s="14" t="str">
        <f>_xll.PLContribFull(J99*100,"ASK",R99,"Slot46","TICKER",3,,"Valid")</f>
        <v>-0.470 (12:14:42.776167)</v>
      </c>
      <c r="U99" s="3" t="s">
        <v>441</v>
      </c>
      <c r="V99" s="14" t="str">
        <f>_xll.PLContribFull(D99*100,"BID",U99,"Slot46","TICKER",3,,"Valid")</f>
        <v>-2.070 (12:14:42.748167)</v>
      </c>
      <c r="W99" s="5" t="str">
        <f>_xll.PLContribFull(K99*100,"ASK",U99,"Slot46","TICKER",3,,"Valid")</f>
        <v>-0.870 (12:14:42.764166)</v>
      </c>
      <c r="X99" s="3" t="s">
        <v>451</v>
      </c>
      <c r="Y99" s="14" t="str">
        <f>_xll.PLContribFull(E99*100,"BID",X99,"Slot46","TICKER",3,,"Valid")</f>
        <v>-0.050 (12:14:42.753167)</v>
      </c>
      <c r="Z99" s="14" t="str">
        <f>_xll.PLContribFull(L99*100,"ASK",X99,"Slot46","TICKER",3,,"Valid")</f>
        <v>0.450 (12:14:42.775167)</v>
      </c>
      <c r="AA99" s="3" t="s">
        <v>461</v>
      </c>
      <c r="AB99" s="14" t="str">
        <f>_xll.PLContribFull(F99*100,"BID",AA99,"Slot46","TICKER",3,,"Valid")</f>
        <v>0.250 (12:14:42.778167)</v>
      </c>
      <c r="AC99" s="5" t="str">
        <f>_xll.PLContribFull(M99*100,"ASK",AA99,"Slot46","TICKER",3,,"Valid")</f>
        <v>1.250 (12:14:42.778167)</v>
      </c>
      <c r="AD99" s="16"/>
    </row>
    <row r="100" spans="1:30" x14ac:dyDescent="0.2">
      <c r="A100" s="12" t="s">
        <v>12</v>
      </c>
      <c r="B100" s="11">
        <f>'G7 Input'!Q93</f>
        <v>6.5200000000000008E-2</v>
      </c>
      <c r="C100" s="11">
        <f>'G7 Input'!R93</f>
        <v>-1.2E-2</v>
      </c>
      <c r="D100" s="11">
        <f>'G7 Input'!S93</f>
        <v>-2.3399999999999997E-2</v>
      </c>
      <c r="E100" s="11">
        <f>'G7 Input'!T93</f>
        <v>0</v>
      </c>
      <c r="F100" s="11">
        <f>'G7 Input'!U93</f>
        <v>4.1999999999999997E-3</v>
      </c>
      <c r="H100" s="10" t="s">
        <v>12</v>
      </c>
      <c r="I100" s="11">
        <f>'G7 Input'!X93</f>
        <v>6.88E-2</v>
      </c>
      <c r="J100" s="11">
        <f>'G7 Input'!Y93</f>
        <v>-6.000000000000001E-3</v>
      </c>
      <c r="K100" s="11">
        <f>'G7 Input'!Z93</f>
        <v>-1.1399999999999999E-2</v>
      </c>
      <c r="L100" s="11">
        <f>'G7 Input'!AA93</f>
        <v>5.0000000000000001E-3</v>
      </c>
      <c r="M100" s="11">
        <f>'G7 Input'!AB93</f>
        <v>1.4200000000000001E-2</v>
      </c>
      <c r="O100" s="3" t="s">
        <v>422</v>
      </c>
      <c r="P100" s="14" t="str">
        <f>_xll.PLContribFull(B100*100,"BID",O100,"Slot46","TICKER",3,,"Valid")</f>
        <v>6.520 (12:14:42.764166)</v>
      </c>
      <c r="Q100" s="5" t="str">
        <f>_xll.PLContribFull(I100*100,"ASK",O100,"Slot46","TICKER",3,,"Valid")</f>
        <v>6.880 (12:14:42.769168)</v>
      </c>
      <c r="R100" s="3" t="s">
        <v>432</v>
      </c>
      <c r="S100" s="14" t="str">
        <f>_xll.PLContribFull(C100*100,"BID",R100,"Slot46","TICKER",3,,"Valid")</f>
        <v>-1.200 (12:14:42.775167)</v>
      </c>
      <c r="T100" s="14" t="str">
        <f>_xll.PLContribFull(J100*100,"ASK",R100,"Slot46","TICKER",3,,"Valid")</f>
        <v>-0.600 (12:14:42.767165)</v>
      </c>
      <c r="U100" s="3" t="s">
        <v>442</v>
      </c>
      <c r="V100" s="14" t="str">
        <f>_xll.PLContribFull(D100*100,"BID",U100,"Slot46","TICKER",3,,"Valid")</f>
        <v>-2.340 (12:14:42.771168)</v>
      </c>
      <c r="W100" s="5" t="str">
        <f>_xll.PLContribFull(K100*100,"ASK",U100,"Slot46","TICKER",3,,"Valid")</f>
        <v>-1.140 (12:14:42.765166)</v>
      </c>
      <c r="X100" s="3" t="s">
        <v>452</v>
      </c>
      <c r="Y100" s="14" t="str">
        <f>_xll.PLContribFull(E100*100,"BID",X100,"Slot46","TICKER",3,,"Valid")</f>
        <v>0.000 (12:14:42.769168)</v>
      </c>
      <c r="Z100" s="14" t="str">
        <f>_xll.PLContribFull(L100*100,"ASK",X100,"Slot46","TICKER",3,,"Valid")</f>
        <v>0.500 (12:14:42.761166)</v>
      </c>
      <c r="AA100" s="3" t="s">
        <v>462</v>
      </c>
      <c r="AB100" s="14" t="str">
        <f>_xll.PLContribFull(F100*100,"BID",AA100,"Slot46","TICKER",3,,"Valid")</f>
        <v>0.420 (12:14:42.753167)</v>
      </c>
      <c r="AC100" s="5" t="str">
        <f>_xll.PLContribFull(M100*100,"ASK",AA100,"Slot46","TICKER",3,,"Valid")</f>
        <v>1.420 (12:14:42.764166)</v>
      </c>
      <c r="AD100" s="16"/>
    </row>
    <row r="101" spans="1:30" x14ac:dyDescent="0.2">
      <c r="A101" s="12" t="s">
        <v>13</v>
      </c>
      <c r="B101" s="11">
        <f>'G7 Input'!Q94</f>
        <v>6.8599999999999994E-2</v>
      </c>
      <c r="C101" s="11">
        <f>'G7 Input'!R94</f>
        <v>-1.3299999999999999E-2</v>
      </c>
      <c r="D101" s="11">
        <f>'G7 Input'!S94</f>
        <v>-2.6000000000000002E-2</v>
      </c>
      <c r="E101" s="11">
        <f>'G7 Input'!T94</f>
        <v>3.9999999999999975E-4</v>
      </c>
      <c r="F101" s="11">
        <f>'G7 Input'!U94</f>
        <v>6.000000000000001E-3</v>
      </c>
      <c r="H101" s="10" t="s">
        <v>13</v>
      </c>
      <c r="I101" s="11">
        <f>'G7 Input'!X94</f>
        <v>7.2399999999999992E-2</v>
      </c>
      <c r="J101" s="11">
        <f>'G7 Input'!Y94</f>
        <v>-7.3000000000000001E-3</v>
      </c>
      <c r="K101" s="11">
        <f>'G7 Input'!Z94</f>
        <v>-1.4E-2</v>
      </c>
      <c r="L101" s="11">
        <f>'G7 Input'!AA94</f>
        <v>5.4000000000000003E-3</v>
      </c>
      <c r="M101" s="11">
        <f>'G7 Input'!AB94</f>
        <v>1.6E-2</v>
      </c>
      <c r="O101" s="3" t="s">
        <v>423</v>
      </c>
      <c r="P101" s="14" t="str">
        <f>_xll.PLContribFull(B101*100,"BID",O101,"Slot46","TICKER",3,,"Valid")</f>
        <v>6.860 (12:14:42.766166)</v>
      </c>
      <c r="Q101" s="5" t="str">
        <f>_xll.PLContribFull(I101*100,"ASK",O101,"Slot46","TICKER",3,,"Valid")</f>
        <v>7.240 (12:14:42.761166)</v>
      </c>
      <c r="R101" s="3" t="s">
        <v>433</v>
      </c>
      <c r="S101" s="14" t="str">
        <f>_xll.PLContribFull(C101*100,"BID",R101,"Slot46","TICKER",3,,"Valid")</f>
        <v>-1.330 (12:14:42.766166)</v>
      </c>
      <c r="T101" s="14" t="str">
        <f>_xll.PLContribFull(J101*100,"ASK",R101,"Slot46","TICKER",3,,"Valid")</f>
        <v>-0.730 (12:14:42.767165)</v>
      </c>
      <c r="U101" s="3" t="s">
        <v>443</v>
      </c>
      <c r="V101" s="14" t="str">
        <f>_xll.PLContribFull(D101*100,"BID",U101,"Slot46","TICKER",3,,"Valid")</f>
        <v>-2.600 (12:14:42.766166)</v>
      </c>
      <c r="W101" s="5" t="str">
        <f>_xll.PLContribFull(K101*100,"ASK",U101,"Slot46","TICKER",3,,"Valid")</f>
        <v>-1.400 (12:14:42.760167)</v>
      </c>
      <c r="X101" s="3" t="s">
        <v>453</v>
      </c>
      <c r="Y101" s="14" t="str">
        <f>_xll.PLContribFull(E101*100,"BID",X101,"Slot46","TICKER",3,,"Valid")</f>
        <v>0.040 (12:14:42.759166)</v>
      </c>
      <c r="Z101" s="14" t="str">
        <f>_xll.PLContribFull(L101*100,"ASK",X101,"Slot46","TICKER",3,,"Valid")</f>
        <v>0.540 (12:14:42.754169)</v>
      </c>
      <c r="AA101" s="3" t="s">
        <v>463</v>
      </c>
      <c r="AB101" s="14" t="str">
        <f>_xll.PLContribFull(F101*100,"BID",AA101,"Slot46","TICKER",3,,"Valid")</f>
        <v>0.600 (12:14:42.741170)</v>
      </c>
      <c r="AC101" s="5" t="str">
        <f>_xll.PLContribFull(M101*100,"ASK",AA101,"Slot46","TICKER",3,,"Valid")</f>
        <v>1.600 (12:14:42.768166)</v>
      </c>
      <c r="AD101" s="16"/>
    </row>
    <row r="102" spans="1:30" x14ac:dyDescent="0.2">
      <c r="A102" s="12" t="s">
        <v>14</v>
      </c>
      <c r="B102" s="11">
        <f>'G7 Input'!Q95</f>
        <v>7.2499999999999995E-2</v>
      </c>
      <c r="C102" s="11">
        <f>'G7 Input'!R95</f>
        <v>-1.4599999999999998E-2</v>
      </c>
      <c r="D102" s="11">
        <f>'G7 Input'!S95</f>
        <v>-2.7900000000000001E-2</v>
      </c>
      <c r="E102" s="11">
        <f>'G7 Input'!T95</f>
        <v>9.0000000000000019E-4</v>
      </c>
      <c r="F102" s="11">
        <f>'G7 Input'!U95</f>
        <v>7.3000000000000001E-3</v>
      </c>
      <c r="H102" s="10" t="s">
        <v>14</v>
      </c>
      <c r="I102" s="11">
        <f>'G7 Input'!X95</f>
        <v>7.6700000000000004E-2</v>
      </c>
      <c r="J102" s="11">
        <f>'G7 Input'!Y95</f>
        <v>-8.6E-3</v>
      </c>
      <c r="K102" s="11">
        <f>'G7 Input'!Z95</f>
        <v>-1.5899999999999997E-2</v>
      </c>
      <c r="L102" s="11">
        <f>'G7 Input'!AA95</f>
        <v>5.9000000000000007E-3</v>
      </c>
      <c r="M102" s="11">
        <f>'G7 Input'!AB95</f>
        <v>1.7299999999999999E-2</v>
      </c>
      <c r="O102" s="3" t="s">
        <v>424</v>
      </c>
      <c r="P102" s="14" t="str">
        <f>_xll.PLContribFull(B102*100,"BID",O102,"Slot46","TICKER",3,,"Valid")</f>
        <v>7.250 (12:14:42.773167)</v>
      </c>
      <c r="Q102" s="5" t="str">
        <f>_xll.PLContribFull(I102*100,"ASK",O102,"Slot46","TICKER",3,,"Valid")</f>
        <v>7.670 (12:14:42.763166)</v>
      </c>
      <c r="R102" s="3" t="s">
        <v>434</v>
      </c>
      <c r="S102" s="14" t="str">
        <f>_xll.PLContribFull(C102*100,"BID",R102,"Slot46","TICKER",3,,"Valid")</f>
        <v>-1.460 (12:14:42.767165)</v>
      </c>
      <c r="T102" s="14" t="str">
        <f>_xll.PLContribFull(J102*100,"ASK",R102,"Slot46","TICKER",3,,"Valid")</f>
        <v>-0.860 (12:14:42.772166)</v>
      </c>
      <c r="U102" s="3" t="s">
        <v>444</v>
      </c>
      <c r="V102" s="14" t="str">
        <f>_xll.PLContribFull(D102*100,"BID",U102,"Slot46","TICKER",3,,"Valid")</f>
        <v>-2.790 (12:14:42.768166)</v>
      </c>
      <c r="W102" s="5" t="str">
        <f>_xll.PLContribFull(K102*100,"ASK",U102,"Slot46","TICKER",3,,"Valid")</f>
        <v>-1.590 (12:14:42.761166)</v>
      </c>
      <c r="X102" s="3" t="s">
        <v>454</v>
      </c>
      <c r="Y102" s="14" t="str">
        <f>_xll.PLContribFull(E102*100,"BID",X102,"Slot46","TICKER",3,,"Valid")</f>
        <v>0.090 (12:14:42.761166)</v>
      </c>
      <c r="Z102" s="14" t="str">
        <f>_xll.PLContribFull(L102*100,"ASK",X102,"Slot46","TICKER",3,,"Valid")</f>
        <v>0.590 (12:14:42.760167)</v>
      </c>
      <c r="AA102" s="3" t="s">
        <v>464</v>
      </c>
      <c r="AB102" s="14" t="str">
        <f>_xll.PLContribFull(F102*100,"BID",AA102,"Slot46","TICKER",3,,"Valid")</f>
        <v>0.730 (12:14:42.777166)</v>
      </c>
      <c r="AC102" s="5" t="str">
        <f>_xll.PLContribFull(M102*100,"ASK",AA102,"Slot46","TICKER",3,,"Valid")</f>
        <v>1.730 (12:14:42.776167)</v>
      </c>
      <c r="AD102" s="16"/>
    </row>
    <row r="103" spans="1:30" x14ac:dyDescent="0.2">
      <c r="A103" s="12" t="s">
        <v>876</v>
      </c>
      <c r="B103" s="11">
        <f>'G7 Input'!Q96</f>
        <v>7.6299999999999993E-2</v>
      </c>
      <c r="C103" s="11">
        <f>'G7 Input'!R96</f>
        <v>-1.49E-2</v>
      </c>
      <c r="D103" s="11">
        <f>'G7 Input'!S96</f>
        <v>-2.8200000000000003E-2</v>
      </c>
      <c r="E103" s="11">
        <f>'G7 Input'!T96</f>
        <v>9.9999999999999959E-4</v>
      </c>
      <c r="F103" s="11">
        <f>'G7 Input'!U96</f>
        <v>7.5000000000000006E-3</v>
      </c>
      <c r="H103" s="10" t="s">
        <v>876</v>
      </c>
      <c r="I103" s="11">
        <f>'G7 Input'!X96</f>
        <v>8.1500000000000003E-2</v>
      </c>
      <c r="J103" s="11">
        <f>'G7 Input'!Y96</f>
        <v>-8.8999999999999982E-3</v>
      </c>
      <c r="K103" s="11">
        <f>'G7 Input'!Z96</f>
        <v>-1.6199999999999999E-2</v>
      </c>
      <c r="L103" s="11">
        <f>'G7 Input'!AA96</f>
        <v>6.0000000000000001E-3</v>
      </c>
      <c r="M103" s="11">
        <f>'G7 Input'!AB96</f>
        <v>1.7500000000000002E-2</v>
      </c>
      <c r="O103" s="3" t="s">
        <v>892</v>
      </c>
      <c r="P103" s="14" t="str">
        <f>_xll.PLContribFull(B103*100,"BID",O103,"Slot46","TICKER",3,,"Valid")</f>
        <v>7.630 (12:14:42.761166)</v>
      </c>
      <c r="Q103" s="5" t="str">
        <f>_xll.PLContribFull(I103*100,"ASK",O103,"Slot46","TICKER",3,,"Valid")</f>
        <v>8.150 (12:14:42.759166)</v>
      </c>
      <c r="R103" s="3" t="s">
        <v>893</v>
      </c>
      <c r="S103" s="14" t="str">
        <f>_xll.PLContribFull(C103*100,"BID",R103,"Slot46","TICKER",3,,"Valid")</f>
        <v>-1.490 (12:14:42.759166)</v>
      </c>
      <c r="T103" s="14" t="str">
        <f>_xll.PLContribFull(J103*100,"ASK",R103,"Slot46","TICKER",3,,"Valid")</f>
        <v>-0.890 (12:14:42.764166)</v>
      </c>
      <c r="U103" s="3" t="s">
        <v>894</v>
      </c>
      <c r="V103" s="14" t="str">
        <f>_xll.PLContribFull(D103*100,"BID",U103,"Slot46","TICKER",3,,"Valid")</f>
        <v>-2.820 (12:14:42.755167)</v>
      </c>
      <c r="W103" s="5" t="str">
        <f>_xll.PLContribFull(K103*100,"ASK",U103,"Slot46","TICKER",3,,"Valid")</f>
        <v>-1.620 (12:14:42.761166)</v>
      </c>
      <c r="X103" s="3" t="s">
        <v>895</v>
      </c>
      <c r="Y103" s="14" t="str">
        <f>_xll.PLContribFull(E103*100,"BID",X103,"Slot46","TICKER",3,,"Valid")</f>
        <v>0.100 (12:14:42.761166)</v>
      </c>
      <c r="Z103" s="14" t="str">
        <f>_xll.PLContribFull(L103*100,"ASK",X103,"Slot46","TICKER",3,,"Valid")</f>
        <v>0.600 (12:14:42.763166)</v>
      </c>
      <c r="AA103" s="3" t="s">
        <v>896</v>
      </c>
      <c r="AB103" s="14" t="str">
        <f>_xll.PLContribFull(F103*100,"BID",AA103,"Slot46","TICKER",3,,"Valid")</f>
        <v>0.750 (12:14:42.752166)</v>
      </c>
      <c r="AC103" s="5" t="str">
        <f>_xll.PLContribFull(M103*100,"ASK",AA103,"Slot46","TICKER",3,,"Valid")</f>
        <v>1.750 (12:14:42.766166)</v>
      </c>
      <c r="AD103" s="16"/>
    </row>
    <row r="105" spans="1:30" x14ac:dyDescent="0.2"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8"/>
      <c r="AC105" s="18"/>
    </row>
    <row r="106" spans="1:30" x14ac:dyDescent="0.25">
      <c r="A106" s="10" t="s">
        <v>354</v>
      </c>
      <c r="O106" s="3" t="s">
        <v>67</v>
      </c>
      <c r="P106" s="15" t="s">
        <v>68</v>
      </c>
      <c r="Q106" s="15"/>
      <c r="R106" s="3" t="s">
        <v>67</v>
      </c>
      <c r="S106" s="15" t="s">
        <v>68</v>
      </c>
      <c r="T106" s="15"/>
      <c r="U106" s="3" t="s">
        <v>67</v>
      </c>
      <c r="V106" s="15" t="s">
        <v>68</v>
      </c>
      <c r="W106" s="15"/>
      <c r="X106" s="3" t="s">
        <v>67</v>
      </c>
      <c r="Y106" s="15" t="s">
        <v>68</v>
      </c>
      <c r="Z106" s="6"/>
      <c r="AA106" s="3" t="s">
        <v>67</v>
      </c>
      <c r="AB106" s="15" t="s">
        <v>68</v>
      </c>
      <c r="AC106" s="6"/>
    </row>
    <row r="107" spans="1:30" ht="14.25" x14ac:dyDescent="0.25">
      <c r="A107" s="12" t="s">
        <v>331</v>
      </c>
      <c r="B107" s="12" t="s">
        <v>0</v>
      </c>
      <c r="C107" s="12" t="s">
        <v>1</v>
      </c>
      <c r="D107" s="12" t="s">
        <v>2</v>
      </c>
      <c r="E107" s="12" t="s">
        <v>3</v>
      </c>
      <c r="F107" s="12" t="s">
        <v>4</v>
      </c>
      <c r="H107" s="10" t="s">
        <v>16</v>
      </c>
      <c r="I107" s="10" t="s">
        <v>0</v>
      </c>
      <c r="J107" s="10" t="s">
        <v>1</v>
      </c>
      <c r="K107" s="10" t="s">
        <v>2</v>
      </c>
      <c r="L107" s="10" t="s">
        <v>3</v>
      </c>
      <c r="M107" s="10" t="s">
        <v>4</v>
      </c>
      <c r="O107" s="3" t="s">
        <v>66</v>
      </c>
      <c r="P107" s="13" t="s">
        <v>15</v>
      </c>
      <c r="Q107" s="13" t="s">
        <v>16</v>
      </c>
      <c r="R107" s="3" t="s">
        <v>1</v>
      </c>
      <c r="S107" s="13" t="s">
        <v>15</v>
      </c>
      <c r="T107" s="13" t="s">
        <v>16</v>
      </c>
      <c r="U107" s="3" t="s">
        <v>2</v>
      </c>
      <c r="V107" s="13" t="s">
        <v>15</v>
      </c>
      <c r="W107" s="13" t="s">
        <v>16</v>
      </c>
      <c r="X107" s="3" t="s">
        <v>3</v>
      </c>
      <c r="Y107" s="13" t="s">
        <v>15</v>
      </c>
      <c r="Z107" s="4" t="s">
        <v>16</v>
      </c>
      <c r="AA107" s="3" t="s">
        <v>4</v>
      </c>
      <c r="AB107" s="13" t="s">
        <v>15</v>
      </c>
      <c r="AC107" s="4" t="s">
        <v>16</v>
      </c>
      <c r="AD107" s="2"/>
    </row>
    <row r="108" spans="1:30" x14ac:dyDescent="0.2">
      <c r="A108" s="12" t="s">
        <v>5</v>
      </c>
      <c r="B108" s="11">
        <f>'G7 Input'!Q100</f>
        <v>3.2199999999999999E-2</v>
      </c>
      <c r="C108" s="11">
        <f>'G7 Input'!R100</f>
        <v>-1.9300000000000001E-2</v>
      </c>
      <c r="D108" s="11">
        <f>'G7 Input'!S100</f>
        <v>-3.8400000000000004E-2</v>
      </c>
      <c r="E108" s="11">
        <f>'G7 Input'!T100</f>
        <v>-1.0999999999999999E-2</v>
      </c>
      <c r="F108" s="11">
        <f>'G7 Input'!U100</f>
        <v>-2.0299999999999999E-2</v>
      </c>
      <c r="H108" s="10" t="s">
        <v>5</v>
      </c>
      <c r="I108" s="11">
        <f>'G7 Input'!X100</f>
        <v>5.9799999999999999E-2</v>
      </c>
      <c r="J108" s="11">
        <f>'G7 Input'!Y100</f>
        <v>1.2699999999999999E-2</v>
      </c>
      <c r="K108" s="11">
        <f>'G7 Input'!Z100</f>
        <v>2.5600000000000001E-2</v>
      </c>
      <c r="L108" s="11">
        <f>'G7 Input'!AA100</f>
        <v>1.3000000000000001E-2</v>
      </c>
      <c r="M108" s="11">
        <f>'G7 Input'!AB100</f>
        <v>2.7700000000000002E-2</v>
      </c>
      <c r="O108" s="3" t="s">
        <v>526</v>
      </c>
      <c r="P108" s="14" t="str">
        <f>_xll.PLContribFull(B108*100,"BID",O108,"Slot46","TICKER",3,,"Valid")</f>
        <v>3.220 (12:14:42.772166)</v>
      </c>
      <c r="Q108" s="5" t="str">
        <f>_xll.PLContribFull(I108*100,"ASK",O108,"Slot46","TICKER",3,,"Valid")</f>
        <v>5.980 (12:14:42.770167)</v>
      </c>
      <c r="R108" s="3" t="s">
        <v>536</v>
      </c>
      <c r="S108" s="14" t="str">
        <f>_xll.PLContribFull(C108*100,"BID",R108,"Slot46","TICKER",3,,"Valid")</f>
        <v>-1.930 (12:14:42.776167)</v>
      </c>
      <c r="T108" s="14" t="str">
        <f>_xll.PLContribFull(J108*100,"ASK",R108,"Slot46","TICKER",3,,"Valid")</f>
        <v>1.270 (12:14:42.770167)</v>
      </c>
      <c r="U108" s="3" t="s">
        <v>546</v>
      </c>
      <c r="V108" s="14" t="str">
        <f>_xll.PLContribFull(D108*100,"BID",U108,"Slot46","TICKER",3,,"Valid")</f>
        <v>-3.840 (12:14:42.777166)</v>
      </c>
      <c r="W108" s="5" t="str">
        <f>_xll.PLContribFull(K108*100,"ASK",U108,"Slot46","TICKER",3,,"Valid")</f>
        <v>2.560 (12:14:42.770167)</v>
      </c>
      <c r="X108" s="3" t="s">
        <v>556</v>
      </c>
      <c r="Y108" s="14" t="str">
        <f>_xll.PLContribFull(E108*100,"BID",X108,"Slot46","TICKER",3,,"Valid")</f>
        <v>-1.100 (12:14:42.774166)</v>
      </c>
      <c r="Z108" s="14" t="str">
        <f>_xll.PLContribFull(L108*100,"ASK",X108,"Slot46","TICKER",3,,"Valid")</f>
        <v>1.300 (12:14:42.776167)</v>
      </c>
      <c r="AA108" s="3" t="s">
        <v>566</v>
      </c>
      <c r="AB108" s="14" t="str">
        <f>_xll.PLContribFull(F108*100,"BID",AA108,"Slot46","TICKER",3,,"Valid")</f>
        <v>-2.030 (12:14:42.761166)</v>
      </c>
      <c r="AC108" s="5" t="str">
        <f>_xll.PLContribFull(M108*100,"ASK",AA108,"Slot46","TICKER",3,,"Valid")</f>
        <v>2.770 (12:14:42.777166)</v>
      </c>
      <c r="AD108" s="16"/>
    </row>
    <row r="109" spans="1:30" x14ac:dyDescent="0.2">
      <c r="A109" s="12" t="s">
        <v>6</v>
      </c>
      <c r="B109" s="11">
        <f>'G7 Input'!Q101</f>
        <v>4.0650000000000006E-2</v>
      </c>
      <c r="C109" s="11">
        <f>'G7 Input'!R101</f>
        <v>-1.09E-2</v>
      </c>
      <c r="D109" s="11">
        <f>'G7 Input'!S101</f>
        <v>-2.1600000000000001E-2</v>
      </c>
      <c r="E109" s="11">
        <f>'G7 Input'!T101</f>
        <v>-5.0000000000000001E-3</v>
      </c>
      <c r="F109" s="11">
        <f>'G7 Input'!U101</f>
        <v>-8.2000000000000007E-3</v>
      </c>
      <c r="H109" s="10" t="s">
        <v>6</v>
      </c>
      <c r="I109" s="11">
        <f>'G7 Input'!X101</f>
        <v>5.4150000000000004E-2</v>
      </c>
      <c r="J109" s="11">
        <f>'G7 Input'!Y101</f>
        <v>4.0999999999999995E-3</v>
      </c>
      <c r="K109" s="11">
        <f>'G7 Input'!Z101</f>
        <v>8.3999999999999995E-3</v>
      </c>
      <c r="L109" s="11">
        <f>'G7 Input'!AA101</f>
        <v>7.0000000000000001E-3</v>
      </c>
      <c r="M109" s="11">
        <f>'G7 Input'!AB101</f>
        <v>1.5800000000000002E-2</v>
      </c>
      <c r="O109" s="3" t="s">
        <v>527</v>
      </c>
      <c r="P109" s="14" t="str">
        <f>_xll.PLContribFull(B109*100,"BID",O109,"Slot46","TICKER",3,,"Valid")</f>
        <v>4.065 (12:14:42.775167)</v>
      </c>
      <c r="Q109" s="5" t="str">
        <f>_xll.PLContribFull(I109*100,"ASK",O109,"Slot46","TICKER",3,,"Valid")</f>
        <v>5.415 (12:14:42.769168)</v>
      </c>
      <c r="R109" s="3" t="s">
        <v>537</v>
      </c>
      <c r="S109" s="14" t="str">
        <f>_xll.PLContribFull(C109*100,"BID",R109,"Slot46","TICKER",3,,"Valid")</f>
        <v>-1.090 (12:14:42.777166)</v>
      </c>
      <c r="T109" s="14" t="str">
        <f>_xll.PLContribFull(J109*100,"ASK",R109,"Slot46","TICKER",3,,"Valid")</f>
        <v>0.410 (12:14:42.752166)</v>
      </c>
      <c r="U109" s="3" t="s">
        <v>547</v>
      </c>
      <c r="V109" s="14" t="str">
        <f>_xll.PLContribFull(D109*100,"BID",U109,"Slot46","TICKER",3,,"Valid")</f>
        <v>-2.160 (12:14:42.776167)</v>
      </c>
      <c r="W109" s="5" t="str">
        <f>_xll.PLContribFull(K109*100,"ASK",U109,"Slot46","TICKER",3,,"Valid")</f>
        <v>0.840 (12:14:42.756167)</v>
      </c>
      <c r="X109" s="3" t="s">
        <v>557</v>
      </c>
      <c r="Y109" s="14" t="str">
        <f>_xll.PLContribFull(E109*100,"BID",X109,"Slot46","TICKER",3,,"Valid")</f>
        <v>-0.500 (12:14:42.761166)</v>
      </c>
      <c r="Z109" s="14" t="str">
        <f>_xll.PLContribFull(L109*100,"ASK",X109,"Slot46","TICKER",3,,"Valid")</f>
        <v>0.700 (12:14:42.763166)</v>
      </c>
      <c r="AA109" s="3" t="s">
        <v>567</v>
      </c>
      <c r="AB109" s="14" t="str">
        <f>_xll.PLContribFull(F109*100,"BID",AA109,"Slot46","TICKER",3,,"Valid")</f>
        <v>-0.820 (12:14:42.755167)</v>
      </c>
      <c r="AC109" s="5" t="str">
        <f>_xll.PLContribFull(M109*100,"ASK",AA109,"Slot46","TICKER",3,,"Valid")</f>
        <v>1.580 (12:14:42.768166)</v>
      </c>
      <c r="AD109" s="16"/>
    </row>
    <row r="110" spans="1:30" x14ac:dyDescent="0.2">
      <c r="A110" s="12" t="s">
        <v>7</v>
      </c>
      <c r="B110" s="11">
        <f>'G7 Input'!Q102</f>
        <v>4.9100000000000005E-2</v>
      </c>
      <c r="C110" s="11">
        <f>'G7 Input'!R102</f>
        <v>-1.0500000000000001E-2</v>
      </c>
      <c r="D110" s="11">
        <f>'G7 Input'!S102</f>
        <v>-2.07E-2</v>
      </c>
      <c r="E110" s="11">
        <f>'G7 Input'!T102</f>
        <v>-3.7000000000000002E-3</v>
      </c>
      <c r="F110" s="11">
        <f>'G7 Input'!U102</f>
        <v>-5.0000000000000001E-3</v>
      </c>
      <c r="H110" s="10" t="s">
        <v>7</v>
      </c>
      <c r="I110" s="11">
        <f>'G7 Input'!X102</f>
        <v>6.1499999999999999E-2</v>
      </c>
      <c r="J110" s="11">
        <f>'G7 Input'!Y102</f>
        <v>1.4999999999999996E-3</v>
      </c>
      <c r="K110" s="11">
        <f>'G7 Input'!Z102</f>
        <v>3.3000000000000008E-3</v>
      </c>
      <c r="L110" s="11">
        <f>'G7 Input'!AA102</f>
        <v>6.3E-3</v>
      </c>
      <c r="M110" s="11">
        <f>'G7 Input'!AB102</f>
        <v>1.4999999999999999E-2</v>
      </c>
      <c r="O110" s="3" t="s">
        <v>528</v>
      </c>
      <c r="P110" s="14" t="str">
        <f>_xll.PLContribFull(B110*100,"BID",O110,"Slot46","TICKER",3,,"Valid")</f>
        <v>4.910 (12:14:42.762166)</v>
      </c>
      <c r="Q110" s="5" t="str">
        <f>_xll.PLContribFull(I110*100,"ASK",O110,"Slot46","TICKER",3,,"Valid")</f>
        <v>6.150 (12:14:42.759166)</v>
      </c>
      <c r="R110" s="3" t="s">
        <v>538</v>
      </c>
      <c r="S110" s="14" t="str">
        <f>_xll.PLContribFull(C110*100,"BID",R110,"Slot46","TICKER",3,,"Valid")</f>
        <v>-1.050 (12:14:42.774166)</v>
      </c>
      <c r="T110" s="14" t="str">
        <f>_xll.PLContribFull(J110*100,"ASK",R110,"Slot46","TICKER",3,,"Valid")</f>
        <v>0.150 (12:14:42.767165)</v>
      </c>
      <c r="U110" s="3" t="s">
        <v>548</v>
      </c>
      <c r="V110" s="14" t="str">
        <f>_xll.PLContribFull(D110*100,"BID",U110,"Slot46","TICKER",3,,"Valid")</f>
        <v>-2.070 (12:14:42.768166)</v>
      </c>
      <c r="W110" s="5" t="str">
        <f>_xll.PLContribFull(K110*100,"ASK",U110,"Slot46","TICKER",3,,"Valid")</f>
        <v>0.330 (12:14:42.766166)</v>
      </c>
      <c r="X110" s="3" t="s">
        <v>558</v>
      </c>
      <c r="Y110" s="14" t="str">
        <f>_xll.PLContribFull(E110*100,"BID",X110,"Slot46","TICKER",3,,"Valid")</f>
        <v>-0.370 (12:14:42.775167)</v>
      </c>
      <c r="Z110" s="14" t="str">
        <f>_xll.PLContribFull(L110*100,"ASK",X110,"Slot46","TICKER",3,,"Valid")</f>
        <v>0.630 (12:14:42.764166)</v>
      </c>
      <c r="AA110" s="3" t="s">
        <v>568</v>
      </c>
      <c r="AB110" s="14" t="str">
        <f>_xll.PLContribFull(F110*100,"BID",AA110,"Slot46","TICKER",3,,"Valid")</f>
        <v>-0.500 (12:14:42.768166)</v>
      </c>
      <c r="AC110" s="5" t="str">
        <f>_xll.PLContribFull(M110*100,"ASK",AA110,"Slot46","TICKER",3,,"Valid")</f>
        <v>1.500 (12:14:42.772166)</v>
      </c>
      <c r="AD110" s="16"/>
    </row>
    <row r="111" spans="1:30" x14ac:dyDescent="0.2">
      <c r="A111" s="12" t="s">
        <v>8</v>
      </c>
      <c r="B111" s="11">
        <f>'G7 Input'!Q103</f>
        <v>4.7649999999999991E-2</v>
      </c>
      <c r="C111" s="11">
        <f>'G7 Input'!R103</f>
        <v>-7.4000000000000003E-3</v>
      </c>
      <c r="D111" s="11">
        <f>'G7 Input'!S103</f>
        <v>-1.4500000000000001E-2</v>
      </c>
      <c r="E111" s="11">
        <f>'G7 Input'!T103</f>
        <v>-1.2000000000000001E-3</v>
      </c>
      <c r="F111" s="11">
        <f>'G7 Input'!U103</f>
        <v>-2.0000000000000052E-4</v>
      </c>
      <c r="H111" s="10" t="s">
        <v>8</v>
      </c>
      <c r="I111" s="11">
        <f>'G7 Input'!X103</f>
        <v>5.6949999999999994E-2</v>
      </c>
      <c r="J111" s="11">
        <f>'G7 Input'!Y103</f>
        <v>-1.4000000000000002E-3</v>
      </c>
      <c r="K111" s="11">
        <f>'G7 Input'!Z103</f>
        <v>-2.5000000000000005E-3</v>
      </c>
      <c r="L111" s="11">
        <f>'G7 Input'!AA103</f>
        <v>3.8E-3</v>
      </c>
      <c r="M111" s="11">
        <f>'G7 Input'!AB103</f>
        <v>9.7999999999999997E-3</v>
      </c>
      <c r="O111" s="3" t="s">
        <v>529</v>
      </c>
      <c r="P111" s="14" t="str">
        <f>_xll.PLContribFull(B111*100,"BID",O111,"Slot46","TICKER",3,,"Valid")</f>
        <v>4.765 (12:14:42.765166)</v>
      </c>
      <c r="Q111" s="5" t="str">
        <f>_xll.PLContribFull(I111*100,"ASK",O111,"Slot46","TICKER",3,,"Valid")</f>
        <v>5.695 (12:14:42.779168)</v>
      </c>
      <c r="R111" s="3" t="s">
        <v>539</v>
      </c>
      <c r="S111" s="14" t="str">
        <f>_xll.PLContribFull(C111*100,"BID",R111,"Slot46","TICKER",3,,"Valid")</f>
        <v>-0.740 (12:14:42.773167)</v>
      </c>
      <c r="T111" s="14" t="str">
        <f>_xll.PLContribFull(J111*100,"ASK",R111,"Slot46","TICKER",3,,"Valid")</f>
        <v>-0.140 (12:14:42.759166)</v>
      </c>
      <c r="U111" s="3" t="s">
        <v>549</v>
      </c>
      <c r="V111" s="14" t="str">
        <f>_xll.PLContribFull(D111*100,"BID",U111,"Slot46","TICKER",3,,"Valid")</f>
        <v>-1.450 (12:14:42.770167)</v>
      </c>
      <c r="W111" s="5" t="str">
        <f>_xll.PLContribFull(K111*100,"ASK",U111,"Slot46","TICKER",3,,"Valid")</f>
        <v>-0.250 (12:14:42.775167)</v>
      </c>
      <c r="X111" s="3" t="s">
        <v>559</v>
      </c>
      <c r="Y111" s="14" t="str">
        <f>_xll.PLContribFull(E111*100,"BID",X111,"Slot46","TICKER",3,,"Valid")</f>
        <v>-0.120 (12:14:42.765166)</v>
      </c>
      <c r="Z111" s="14" t="str">
        <f>_xll.PLContribFull(L111*100,"ASK",X111,"Slot46","TICKER",3,,"Valid")</f>
        <v>0.380 (12:14:42.760167)</v>
      </c>
      <c r="AA111" s="3" t="s">
        <v>569</v>
      </c>
      <c r="AB111" s="14" t="str">
        <f>_xll.PLContribFull(F111*100,"BID",AA111,"Slot46","TICKER",3,,"Valid")</f>
        <v>-0.020 (12:14:42.772166)</v>
      </c>
      <c r="AC111" s="5" t="str">
        <f>_xll.PLContribFull(M111*100,"ASK",AA111,"Slot46","TICKER",3,,"Valid")</f>
        <v>0.980 (12:14:42.776167)</v>
      </c>
      <c r="AD111" s="16"/>
    </row>
    <row r="112" spans="1:30" x14ac:dyDescent="0.2">
      <c r="A112" s="12" t="s">
        <v>9</v>
      </c>
      <c r="B112" s="11">
        <f>'G7 Input'!Q104</f>
        <v>5.2950000000000004E-2</v>
      </c>
      <c r="C112" s="11">
        <f>'G7 Input'!R104</f>
        <v>-9.2999999999999992E-3</v>
      </c>
      <c r="D112" s="11">
        <f>'G7 Input'!S104</f>
        <v>-1.83E-2</v>
      </c>
      <c r="E112" s="11">
        <f>'G7 Input'!T104</f>
        <v>-1E-3</v>
      </c>
      <c r="F112" s="11">
        <f>'G7 Input'!U104</f>
        <v>5.0000000000000044E-4</v>
      </c>
      <c r="H112" s="10" t="s">
        <v>9</v>
      </c>
      <c r="I112" s="11">
        <f>'G7 Input'!X104</f>
        <v>6.2050000000000008E-2</v>
      </c>
      <c r="J112" s="11">
        <f>'G7 Input'!Y104</f>
        <v>-3.3E-3</v>
      </c>
      <c r="K112" s="11">
        <f>'G7 Input'!Z104</f>
        <v>-6.3E-3</v>
      </c>
      <c r="L112" s="11">
        <f>'G7 Input'!AA104</f>
        <v>4.0000000000000001E-3</v>
      </c>
      <c r="M112" s="11">
        <f>'G7 Input'!AB104</f>
        <v>1.0500000000000001E-2</v>
      </c>
      <c r="O112" s="3" t="s">
        <v>530</v>
      </c>
      <c r="P112" s="14" t="str">
        <f>_xll.PLContribFull(B112*100,"BID",O112,"Slot46","TICKER",3,,"Valid")</f>
        <v>5.295 (12:14:42.771168)</v>
      </c>
      <c r="Q112" s="5" t="str">
        <f>_xll.PLContribFull(I112*100,"ASK",O112,"Slot46","TICKER",3,,"Valid")</f>
        <v>6.205 (12:14:42.774166)</v>
      </c>
      <c r="R112" s="3" t="s">
        <v>540</v>
      </c>
      <c r="S112" s="14" t="str">
        <f>_xll.PLContribFull(C112*100,"BID",R112,"Slot46","TICKER",3,,"Valid")</f>
        <v>-0.930 (12:14:42.746167)</v>
      </c>
      <c r="T112" s="14" t="str">
        <f>_xll.PLContribFull(J112*100,"ASK",R112,"Slot46","TICKER",3,,"Valid")</f>
        <v>-0.330 (12:14:42.768166)</v>
      </c>
      <c r="U112" s="3" t="s">
        <v>550</v>
      </c>
      <c r="V112" s="14" t="str">
        <f>_xll.PLContribFull(D112*100,"BID",U112,"Slot46","TICKER",3,,"Valid")</f>
        <v>-1.830 (12:14:42.778167)</v>
      </c>
      <c r="W112" s="5" t="str">
        <f>_xll.PLContribFull(K112*100,"ASK",U112,"Slot46","TICKER",3,,"Valid")</f>
        <v>-0.630 (12:14:42.771168)</v>
      </c>
      <c r="X112" s="3" t="s">
        <v>560</v>
      </c>
      <c r="Y112" s="14" t="str">
        <f>_xll.PLContribFull(E112*100,"BID",X112,"Slot46","TICKER",3,,"Valid")</f>
        <v>-0.100 (12:14:42.765166)</v>
      </c>
      <c r="Z112" s="14" t="str">
        <f>_xll.PLContribFull(L112*100,"ASK",X112,"Slot46","TICKER",3,,"Valid")</f>
        <v>0.400 (12:14:42.759166)</v>
      </c>
      <c r="AA112" s="3" t="s">
        <v>570</v>
      </c>
      <c r="AB112" s="14" t="str">
        <f>_xll.PLContribFull(F112*100,"BID",AA112,"Slot46","TICKER",3,,"Valid")</f>
        <v>0.050 (12:14:42.772166)</v>
      </c>
      <c r="AC112" s="5" t="str">
        <f>_xll.PLContribFull(M112*100,"ASK",AA112,"Slot46","TICKER",3,,"Valid")</f>
        <v>1.050 (12:14:42.777166)</v>
      </c>
      <c r="AD112" s="16"/>
    </row>
    <row r="113" spans="1:30" x14ac:dyDescent="0.2">
      <c r="A113" s="12" t="s">
        <v>10</v>
      </c>
      <c r="B113" s="11">
        <f>'G7 Input'!Q105</f>
        <v>5.3599999999999995E-2</v>
      </c>
      <c r="C113" s="11">
        <f>'G7 Input'!R105</f>
        <v>-9.7000000000000003E-3</v>
      </c>
      <c r="D113" s="11">
        <f>'G7 Input'!S105</f>
        <v>-1.9000000000000003E-2</v>
      </c>
      <c r="E113" s="11">
        <f>'G7 Input'!T105</f>
        <v>-8.9999999999999998E-4</v>
      </c>
      <c r="F113" s="11">
        <f>'G7 Input'!U105</f>
        <v>1E-3</v>
      </c>
      <c r="H113" s="10" t="s">
        <v>10</v>
      </c>
      <c r="I113" s="11">
        <f>'G7 Input'!X105</f>
        <v>6.3E-2</v>
      </c>
      <c r="J113" s="11">
        <f>'G7 Input'!Y105</f>
        <v>-3.7000000000000002E-3</v>
      </c>
      <c r="K113" s="11">
        <f>'G7 Input'!Z105</f>
        <v>-7.000000000000001E-3</v>
      </c>
      <c r="L113" s="11">
        <f>'G7 Input'!AA105</f>
        <v>4.1000000000000003E-3</v>
      </c>
      <c r="M113" s="11">
        <f>'G7 Input'!AB105</f>
        <v>1.0999999999999999E-2</v>
      </c>
      <c r="O113" s="3" t="s">
        <v>531</v>
      </c>
      <c r="P113" s="14" t="str">
        <f>_xll.PLContribFull(B113*100,"BID",O113,"Slot46","TICKER",3,,"Valid")</f>
        <v>5.360 (12:14:42.766166)</v>
      </c>
      <c r="Q113" s="5" t="str">
        <f>_xll.PLContribFull(I113*100,"ASK",O113,"Slot46","TICKER",3,,"Valid")</f>
        <v>6.300 (12:14:42.760167)</v>
      </c>
      <c r="R113" s="3" t="s">
        <v>541</v>
      </c>
      <c r="S113" s="14" t="str">
        <f>_xll.PLContribFull(C113*100,"BID",R113,"Slot46","TICKER",3,,"Valid")</f>
        <v>-0.970 (12:14:42.778167)</v>
      </c>
      <c r="T113" s="14" t="str">
        <f>_xll.PLContribFull(J113*100,"ASK",R113,"Slot46","TICKER",3,,"Valid")</f>
        <v>-0.370 (12:14:42.775167)</v>
      </c>
      <c r="U113" s="3" t="s">
        <v>551</v>
      </c>
      <c r="V113" s="14" t="str">
        <f>_xll.PLContribFull(D113*100,"BID",U113,"Slot46","TICKER",3,,"Valid")</f>
        <v>-1.900 (12:14:42.761166)</v>
      </c>
      <c r="W113" s="5" t="str">
        <f>_xll.PLContribFull(K113*100,"ASK",U113,"Slot46","TICKER",3,,"Valid")</f>
        <v>-0.700 (12:14:42.759166)</v>
      </c>
      <c r="X113" s="3" t="s">
        <v>561</v>
      </c>
      <c r="Y113" s="14" t="str">
        <f>_xll.PLContribFull(E113*100,"BID",X113,"Slot46","TICKER",3,,"Valid")</f>
        <v>-0.090 (12:14:42.767165)</v>
      </c>
      <c r="Z113" s="14" t="str">
        <f>_xll.PLContribFull(L113*100,"ASK",X113,"Slot46","TICKER",3,,"Valid")</f>
        <v>0.410 (12:14:42.772166)</v>
      </c>
      <c r="AA113" s="3" t="s">
        <v>571</v>
      </c>
      <c r="AB113" s="14" t="str">
        <f>_xll.PLContribFull(F113*100,"BID",AA113,"Slot46","TICKER",3,,"Valid")</f>
        <v>0.100 (12:14:42.776167)</v>
      </c>
      <c r="AC113" s="5" t="str">
        <f>_xll.PLContribFull(M113*100,"ASK",AA113,"Slot46","TICKER",3,,"Valid")</f>
        <v>1.100 (12:14:42.752166)</v>
      </c>
      <c r="AD113" s="16"/>
    </row>
    <row r="114" spans="1:30" x14ac:dyDescent="0.2">
      <c r="A114" s="12" t="s">
        <v>11</v>
      </c>
      <c r="B114" s="11">
        <f>'G7 Input'!Q106</f>
        <v>5.8349999999999992E-2</v>
      </c>
      <c r="C114" s="11">
        <f>'G7 Input'!R106</f>
        <v>-1.1199999999999998E-2</v>
      </c>
      <c r="D114" s="11">
        <f>'G7 Input'!S106</f>
        <v>-2.1999999999999999E-2</v>
      </c>
      <c r="E114" s="11">
        <f>'G7 Input'!T106</f>
        <v>-6.0000000000000006E-4</v>
      </c>
      <c r="F114" s="11">
        <f>'G7 Input'!U106</f>
        <v>2.5999999999999999E-3</v>
      </c>
      <c r="H114" s="10" t="s">
        <v>11</v>
      </c>
      <c r="I114" s="11">
        <f>'G7 Input'!X106</f>
        <v>6.7849999999999994E-2</v>
      </c>
      <c r="J114" s="11">
        <f>'G7 Input'!Y106</f>
        <v>-5.1999999999999989E-3</v>
      </c>
      <c r="K114" s="11">
        <f>'G7 Input'!Z106</f>
        <v>-0.01</v>
      </c>
      <c r="L114" s="11">
        <f>'G7 Input'!AA106</f>
        <v>4.4000000000000003E-3</v>
      </c>
      <c r="M114" s="11">
        <f>'G7 Input'!AB106</f>
        <v>1.26E-2</v>
      </c>
      <c r="O114" s="3" t="s">
        <v>532</v>
      </c>
      <c r="P114" s="14" t="str">
        <f>_xll.PLContribFull(B114*100,"BID",O114,"Slot46","TICKER",3,,"Valid")</f>
        <v>5.835 (12:14:42.761166)</v>
      </c>
      <c r="Q114" s="5" t="str">
        <f>_xll.PLContribFull(I114*100,"ASK",O114,"Slot46","TICKER",3,,"Valid")</f>
        <v>6.785 (12:14:42.771168)</v>
      </c>
      <c r="R114" s="3" t="s">
        <v>542</v>
      </c>
      <c r="S114" s="14" t="str">
        <f>_xll.PLContribFull(C114*100,"BID",R114,"Slot46","TICKER",3,,"Valid")</f>
        <v>-1.120 (12:14:42.771168)</v>
      </c>
      <c r="T114" s="14" t="str">
        <f>_xll.PLContribFull(J114*100,"ASK",R114,"Slot46","TICKER",3,,"Valid")</f>
        <v>-0.520 (12:14:42.760167)</v>
      </c>
      <c r="U114" s="3" t="s">
        <v>552</v>
      </c>
      <c r="V114" s="14" t="str">
        <f>_xll.PLContribFull(D114*100,"BID",U114,"Slot46","TICKER",3,,"Valid")</f>
        <v>-2.200 (12:14:42.753167)</v>
      </c>
      <c r="W114" s="5" t="str">
        <f>_xll.PLContribFull(K114*100,"ASK",U114,"Slot46","TICKER",3,,"Valid")</f>
        <v>-1.000 (12:14:42.766166)</v>
      </c>
      <c r="X114" s="3" t="s">
        <v>562</v>
      </c>
      <c r="Y114" s="14" t="str">
        <f>_xll.PLContribFull(E114*100,"BID",X114,"Slot46","TICKER",3,,"Valid")</f>
        <v>-0.060 (12:14:42.745167)</v>
      </c>
      <c r="Z114" s="14" t="str">
        <f>_xll.PLContribFull(L114*100,"ASK",X114,"Slot46","TICKER",3,,"Valid")</f>
        <v>0.440 (12:14:42.769168)</v>
      </c>
      <c r="AA114" s="3" t="s">
        <v>572</v>
      </c>
      <c r="AB114" s="14" t="str">
        <f>_xll.PLContribFull(F114*100,"BID",AA114,"Slot46","TICKER",3,,"Valid")</f>
        <v>0.260 (12:14:42.769168)</v>
      </c>
      <c r="AC114" s="5" t="str">
        <f>_xll.PLContribFull(M114*100,"ASK",AA114,"Slot46","TICKER",3,,"Valid")</f>
        <v>1.260 (12:14:42.764166)</v>
      </c>
      <c r="AD114" s="16"/>
    </row>
    <row r="115" spans="1:30" x14ac:dyDescent="0.2">
      <c r="A115" s="12" t="s">
        <v>12</v>
      </c>
      <c r="B115" s="11">
        <f>'G7 Input'!Q107</f>
        <v>6.3549999999999995E-2</v>
      </c>
      <c r="C115" s="11">
        <f>'G7 Input'!R107</f>
        <v>-1.3399999999999999E-2</v>
      </c>
      <c r="D115" s="11">
        <f>'G7 Input'!S107</f>
        <v>-2.6299999999999997E-2</v>
      </c>
      <c r="E115" s="11">
        <f>'G7 Input'!T107</f>
        <v>0</v>
      </c>
      <c r="F115" s="11">
        <f>'G7 Input'!U107</f>
        <v>5.0999999999999995E-3</v>
      </c>
      <c r="H115" s="10" t="s">
        <v>12</v>
      </c>
      <c r="I115" s="11">
        <f>'G7 Input'!X107</f>
        <v>7.3050000000000004E-2</v>
      </c>
      <c r="J115" s="11">
        <f>'G7 Input'!Y107</f>
        <v>-7.3999999999999995E-3</v>
      </c>
      <c r="K115" s="11">
        <f>'G7 Input'!Z107</f>
        <v>-1.4299999999999998E-2</v>
      </c>
      <c r="L115" s="11">
        <f>'G7 Input'!AA107</f>
        <v>5.0000000000000001E-3</v>
      </c>
      <c r="M115" s="11">
        <f>'G7 Input'!AB107</f>
        <v>1.5099999999999999E-2</v>
      </c>
      <c r="O115" s="3" t="s">
        <v>533</v>
      </c>
      <c r="P115" s="14" t="str">
        <f>_xll.PLContribFull(B115*100,"BID",O115,"Slot46","TICKER",3,,"Valid")</f>
        <v>6.355 (12:14:42.759166)</v>
      </c>
      <c r="Q115" s="5" t="str">
        <f>_xll.PLContribFull(I115*100,"ASK",O115,"Slot46","TICKER",3,,"Valid")</f>
        <v>7.305 (12:14:42.763166)</v>
      </c>
      <c r="R115" s="3" t="s">
        <v>543</v>
      </c>
      <c r="S115" s="14" t="str">
        <f>_xll.PLContribFull(C115*100,"BID",R115,"Slot46","TICKER",3,,"Valid")</f>
        <v>-1.340 (12:14:42.775167)</v>
      </c>
      <c r="T115" s="14" t="str">
        <f>_xll.PLContribFull(J115*100,"ASK",R115,"Slot46","TICKER",3,,"Valid")</f>
        <v>-0.740 (12:14:42.769168)</v>
      </c>
      <c r="U115" s="3" t="s">
        <v>553</v>
      </c>
      <c r="V115" s="14" t="str">
        <f>_xll.PLContribFull(D115*100,"BID",U115,"Slot46","TICKER",3,,"Valid")</f>
        <v>-2.630 (12:14:42.762166)</v>
      </c>
      <c r="W115" s="5" t="str">
        <f>_xll.PLContribFull(K115*100,"ASK",U115,"Slot46","TICKER",3,,"Valid")</f>
        <v>-1.430 (12:14:42.753167)</v>
      </c>
      <c r="X115" s="3" t="s">
        <v>563</v>
      </c>
      <c r="Y115" s="14" t="str">
        <f>_xll.PLContribFull(E115*100,"BID",X115,"Slot46","TICKER",3,,"Valid")</f>
        <v>0.000 (12:14:42.769168)</v>
      </c>
      <c r="Z115" s="14" t="str">
        <f>_xll.PLContribFull(L115*100,"ASK",X115,"Slot46","TICKER",3,,"Valid")</f>
        <v>0.500 (12:14:42.768166)</v>
      </c>
      <c r="AA115" s="3" t="s">
        <v>573</v>
      </c>
      <c r="AB115" s="14" t="str">
        <f>_xll.PLContribFull(F115*100,"BID",AA115,"Slot46","TICKER",3,,"Valid")</f>
        <v>0.510 (12:14:42.774166)</v>
      </c>
      <c r="AC115" s="5" t="str">
        <f>_xll.PLContribFull(M115*100,"ASK",AA115,"Slot46","TICKER",3,,"Valid")</f>
        <v>1.510 (12:14:42.767165)</v>
      </c>
      <c r="AD115" s="16"/>
    </row>
    <row r="116" spans="1:30" x14ac:dyDescent="0.2">
      <c r="A116" s="12" t="s">
        <v>13</v>
      </c>
      <c r="B116" s="11">
        <f>'G7 Input'!Q108</f>
        <v>6.6199999999999995E-2</v>
      </c>
      <c r="C116" s="11">
        <f>'G7 Input'!R108</f>
        <v>-1.4499999999999999E-2</v>
      </c>
      <c r="D116" s="11">
        <f>'G7 Input'!S108</f>
        <v>-2.8400000000000002E-2</v>
      </c>
      <c r="E116" s="11">
        <f>'G7 Input'!T108</f>
        <v>3.0000000000000035E-4</v>
      </c>
      <c r="F116" s="11">
        <f>'G7 Input'!U108</f>
        <v>6.2000000000000015E-3</v>
      </c>
      <c r="H116" s="10" t="s">
        <v>13</v>
      </c>
      <c r="I116" s="11">
        <f>'G7 Input'!X108</f>
        <v>7.5999999999999998E-2</v>
      </c>
      <c r="J116" s="11">
        <f>'G7 Input'!Y108</f>
        <v>-8.5000000000000006E-3</v>
      </c>
      <c r="K116" s="11">
        <f>'G7 Input'!Z108</f>
        <v>-1.6400000000000005E-2</v>
      </c>
      <c r="L116" s="11">
        <f>'G7 Input'!AA108</f>
        <v>5.3000000000000009E-3</v>
      </c>
      <c r="M116" s="11">
        <f>'G7 Input'!AB108</f>
        <v>1.6200000000000003E-2</v>
      </c>
      <c r="O116" s="3" t="s">
        <v>534</v>
      </c>
      <c r="P116" s="14" t="str">
        <f>_xll.PLContribFull(B116*100,"BID",O116,"Slot46","TICKER",3,,"Valid")</f>
        <v>6.620 (12:14:42.770167)</v>
      </c>
      <c r="Q116" s="5" t="str">
        <f>_xll.PLContribFull(I116*100,"ASK",O116,"Slot46","TICKER",3,,"Valid")</f>
        <v>7.600 (12:14:42.764166)</v>
      </c>
      <c r="R116" s="3" t="s">
        <v>544</v>
      </c>
      <c r="S116" s="14" t="str">
        <f>_xll.PLContribFull(C116*100,"BID",R116,"Slot46","TICKER",3,,"Valid")</f>
        <v>-1.450 (12:14:42.778167)</v>
      </c>
      <c r="T116" s="14" t="str">
        <f>_xll.PLContribFull(J116*100,"ASK",R116,"Slot46","TICKER",3,,"Valid")</f>
        <v>-0.850 (12:14:42.777166)</v>
      </c>
      <c r="U116" s="3" t="s">
        <v>554</v>
      </c>
      <c r="V116" s="14" t="str">
        <f>_xll.PLContribFull(D116*100,"BID",U116,"Slot46","TICKER",3,,"Valid")</f>
        <v>-2.840 (12:14:42.768166)</v>
      </c>
      <c r="W116" s="5" t="str">
        <f>_xll.PLContribFull(K116*100,"ASK",U116,"Slot46","TICKER",3,,"Valid")</f>
        <v>-1.640 (12:14:42.751168)</v>
      </c>
      <c r="X116" s="3" t="s">
        <v>564</v>
      </c>
      <c r="Y116" s="14" t="str">
        <f>_xll.PLContribFull(E116*100,"BID",X116,"Slot46","TICKER",3,,"Valid")</f>
        <v>0.030 (12:14:42.778167)</v>
      </c>
      <c r="Z116" s="14" t="str">
        <f>_xll.PLContribFull(L116*100,"ASK",X116,"Slot46","TICKER",3,,"Valid")</f>
        <v>0.530 (12:14:42.744167)</v>
      </c>
      <c r="AA116" s="3" t="s">
        <v>574</v>
      </c>
      <c r="AB116" s="14" t="str">
        <f>_xll.PLContribFull(F116*100,"BID",AA116,"Slot46","TICKER",3,,"Valid")</f>
        <v>0.620 (12:14:42.762166)</v>
      </c>
      <c r="AC116" s="5" t="str">
        <f>_xll.PLContribFull(M116*100,"ASK",AA116,"Slot46","TICKER",3,,"Valid")</f>
        <v>1.620 (12:14:42.761166)</v>
      </c>
      <c r="AD116" s="16"/>
    </row>
    <row r="117" spans="1:30" x14ac:dyDescent="0.2">
      <c r="A117" s="12" t="s">
        <v>14</v>
      </c>
      <c r="B117" s="11">
        <f>'G7 Input'!Q109</f>
        <v>6.3E-2</v>
      </c>
      <c r="C117" s="11">
        <f>'G7 Input'!R109</f>
        <v>-1.5699999999999999E-2</v>
      </c>
      <c r="D117" s="11">
        <f>'G7 Input'!S109</f>
        <v>-3.0399999999999996E-2</v>
      </c>
      <c r="E117" s="11">
        <f>'G7 Input'!T109</f>
        <v>3.0000000000000035E-4</v>
      </c>
      <c r="F117" s="11">
        <f>'G7 Input'!U109</f>
        <v>6.899999999999999E-3</v>
      </c>
      <c r="H117" s="10" t="s">
        <v>14</v>
      </c>
      <c r="I117" s="11">
        <f>'G7 Input'!X109</f>
        <v>8.7999999999999995E-2</v>
      </c>
      <c r="J117" s="11">
        <f>'G7 Input'!Y109</f>
        <v>-9.7000000000000003E-3</v>
      </c>
      <c r="K117" s="11">
        <f>'G7 Input'!Z109</f>
        <v>-1.84E-2</v>
      </c>
      <c r="L117" s="11">
        <f>'G7 Input'!AA109</f>
        <v>5.3000000000000009E-3</v>
      </c>
      <c r="M117" s="11">
        <f>'G7 Input'!AB109</f>
        <v>1.6899999999999998E-2</v>
      </c>
      <c r="O117" s="3" t="s">
        <v>535</v>
      </c>
      <c r="P117" s="14" t="str">
        <f>_xll.PLContribFull(B117*100,"BID",O117,"Slot46","TICKER",3,,"Valid")</f>
        <v>6.300 (12:14:42.768166)</v>
      </c>
      <c r="Q117" s="5" t="str">
        <f>_xll.PLContribFull(I117*100,"ASK",O117,"Slot46","TICKER",3,,"Valid")</f>
        <v>8.800 (12:14:42.763166)</v>
      </c>
      <c r="R117" s="3" t="s">
        <v>545</v>
      </c>
      <c r="S117" s="14" t="str">
        <f>_xll.PLContribFull(C117*100,"BID",R117,"Slot46","TICKER",3,,"Valid")</f>
        <v>-1.570 (12:14:42.773167)</v>
      </c>
      <c r="T117" s="14" t="str">
        <f>_xll.PLContribFull(J117*100,"ASK",R117,"Slot46","TICKER",3,,"Valid")</f>
        <v>-0.970 (12:14:42.760167)</v>
      </c>
      <c r="U117" s="3" t="s">
        <v>555</v>
      </c>
      <c r="V117" s="14" t="str">
        <f>_xll.PLContribFull(D117*100,"BID",U117,"Slot46","TICKER",3,,"Valid")</f>
        <v>-3.040 (12:14:42.759166)</v>
      </c>
      <c r="W117" s="5" t="str">
        <f>_xll.PLContribFull(K117*100,"ASK",U117,"Slot46","TICKER",3,,"Valid")</f>
        <v>-1.840 (12:14:42.749167)</v>
      </c>
      <c r="X117" s="3" t="s">
        <v>565</v>
      </c>
      <c r="Y117" s="14" t="str">
        <f>_xll.PLContribFull(E117*100,"BID",X117,"Slot46","TICKER",3,,"Valid")</f>
        <v>0.030 (12:14:42.767165)</v>
      </c>
      <c r="Z117" s="14" t="str">
        <f>_xll.PLContribFull(L117*100,"ASK",X117,"Slot46","TICKER",3,,"Valid")</f>
        <v>0.530 (12:14:42.771168)</v>
      </c>
      <c r="AA117" s="3" t="s">
        <v>575</v>
      </c>
      <c r="AB117" s="14" t="str">
        <f>_xll.PLContribFull(F117*100,"BID",AA117,"Slot46","TICKER",3,,"Valid")</f>
        <v>0.690 (12:14:42.768166)</v>
      </c>
      <c r="AC117" s="5" t="str">
        <f>_xll.PLContribFull(M117*100,"ASK",AA117,"Slot46","TICKER",3,,"Valid")</f>
        <v>1.690 (12:14:42.774166)</v>
      </c>
      <c r="AD117" s="16"/>
    </row>
    <row r="118" spans="1:30" x14ac:dyDescent="0.2">
      <c r="A118" s="12" t="s">
        <v>876</v>
      </c>
      <c r="B118" s="11">
        <f>'G7 Input'!Q110</f>
        <v>6.3E-2</v>
      </c>
      <c r="C118" s="11">
        <f>'G7 Input'!R110</f>
        <v>-1.6300000000000002E-2</v>
      </c>
      <c r="D118" s="11">
        <f>'G7 Input'!S110</f>
        <v>-3.1199999999999999E-2</v>
      </c>
      <c r="E118" s="11">
        <f>'G7 Input'!T110</f>
        <v>9.9999999999999829E-5</v>
      </c>
      <c r="F118" s="11">
        <f>'G7 Input'!U110</f>
        <v>6.7999999999999996E-3</v>
      </c>
      <c r="H118" s="10" t="s">
        <v>876</v>
      </c>
      <c r="I118" s="11">
        <f>'G7 Input'!X110</f>
        <v>9.7200000000000009E-2</v>
      </c>
      <c r="J118" s="11">
        <f>'G7 Input'!Y110</f>
        <v>-1.03E-2</v>
      </c>
      <c r="K118" s="11">
        <f>'G7 Input'!Z110</f>
        <v>-1.9200000000000002E-2</v>
      </c>
      <c r="L118" s="11">
        <f>'G7 Input'!AA110</f>
        <v>5.1000000000000004E-3</v>
      </c>
      <c r="M118" s="11">
        <f>'G7 Input'!AB110</f>
        <v>1.6799999999999999E-2</v>
      </c>
      <c r="O118" s="3" t="s">
        <v>917</v>
      </c>
      <c r="P118" s="14" t="str">
        <f>_xll.PLContribFull(B118*100,"BID",O118,"Slot46","TICKER",3,,"Valid")</f>
        <v>6.300 (12:14:42.778167)</v>
      </c>
      <c r="Q118" s="5" t="str">
        <f>_xll.PLContribFull(I118*100,"ASK",O118,"Slot46","TICKER",3,,"Valid")</f>
        <v>9.720 (12:14:42.773167)</v>
      </c>
      <c r="R118" s="3" t="s">
        <v>918</v>
      </c>
      <c r="S118" s="14" t="str">
        <f>_xll.PLContribFull(C118*100,"BID",R118,"Slot46","TICKER",3,,"Valid")</f>
        <v>-1.630 (12:14:42.745167)</v>
      </c>
      <c r="T118" s="14" t="str">
        <f>_xll.PLContribFull(J118*100,"ASK",R118,"Slot46","TICKER",3,,"Valid")</f>
        <v>-1.030 (12:14:42.765166)</v>
      </c>
      <c r="U118" s="3" t="s">
        <v>919</v>
      </c>
      <c r="V118" s="14" t="str">
        <f>_xll.PLContribFull(D118*100,"BID",U118,"Slot46","TICKER",3,,"Valid")</f>
        <v>-3.120 (12:14:42.771168)</v>
      </c>
      <c r="W118" s="5" t="str">
        <f>_xll.PLContribFull(K118*100,"ASK",U118,"Slot46","TICKER",3,,"Valid")</f>
        <v>-1.920 (12:14:42.763166)</v>
      </c>
      <c r="X118" s="3" t="s">
        <v>920</v>
      </c>
      <c r="Y118" s="14" t="str">
        <f>_xll.PLContribFull(E118*100,"BID",X118,"Slot46","TICKER",3,,"Valid")</f>
        <v>0.010 (12:14:42.763166)</v>
      </c>
      <c r="Z118" s="14" t="str">
        <f>_xll.PLContribFull(L118*100,"ASK",X118,"Slot46","TICKER",3,,"Valid")</f>
        <v>0.510 (12:14:42.749167)</v>
      </c>
      <c r="AA118" s="3" t="s">
        <v>921</v>
      </c>
      <c r="AB118" s="14" t="str">
        <f>_xll.PLContribFull(F118*100,"BID",AA118,"Slot46","TICKER",3,,"Valid")</f>
        <v>0.680 (12:14:42.759166)</v>
      </c>
      <c r="AC118" s="5" t="str">
        <f>_xll.PLContribFull(M118*100,"ASK",AA118,"Slot46","TICKER",3,,"Valid")</f>
        <v>1.680 (12:14:42.760167)</v>
      </c>
      <c r="AD118" s="16"/>
    </row>
    <row r="120" spans="1:30" x14ac:dyDescent="0.2"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8"/>
      <c r="AC120" s="18"/>
    </row>
    <row r="121" spans="1:30" x14ac:dyDescent="0.25">
      <c r="A121" s="10" t="s">
        <v>335</v>
      </c>
      <c r="O121" s="3" t="s">
        <v>67</v>
      </c>
      <c r="P121" s="15" t="s">
        <v>68</v>
      </c>
      <c r="Q121" s="15"/>
      <c r="R121" s="3" t="s">
        <v>67</v>
      </c>
      <c r="S121" s="15" t="s">
        <v>68</v>
      </c>
      <c r="T121" s="15"/>
      <c r="U121" s="3" t="s">
        <v>67</v>
      </c>
      <c r="V121" s="15" t="s">
        <v>68</v>
      </c>
      <c r="W121" s="15"/>
      <c r="X121" s="3" t="s">
        <v>67</v>
      </c>
      <c r="Y121" s="15" t="s">
        <v>68</v>
      </c>
      <c r="Z121" s="6"/>
      <c r="AA121" s="3" t="s">
        <v>67</v>
      </c>
      <c r="AB121" s="15" t="s">
        <v>68</v>
      </c>
      <c r="AC121" s="6"/>
    </row>
    <row r="122" spans="1:30" ht="14.25" x14ac:dyDescent="0.25">
      <c r="A122" s="12" t="s">
        <v>331</v>
      </c>
      <c r="B122" s="12" t="s">
        <v>0</v>
      </c>
      <c r="C122" s="12" t="s">
        <v>1</v>
      </c>
      <c r="D122" s="12" t="s">
        <v>2</v>
      </c>
      <c r="E122" s="12" t="s">
        <v>3</v>
      </c>
      <c r="F122" s="12" t="s">
        <v>4</v>
      </c>
      <c r="H122" s="10" t="s">
        <v>332</v>
      </c>
      <c r="I122" s="10" t="s">
        <v>0</v>
      </c>
      <c r="J122" s="10" t="s">
        <v>1</v>
      </c>
      <c r="K122" s="10" t="s">
        <v>2</v>
      </c>
      <c r="L122" s="10" t="s">
        <v>3</v>
      </c>
      <c r="M122" s="10" t="s">
        <v>4</v>
      </c>
      <c r="O122" s="3" t="s">
        <v>66</v>
      </c>
      <c r="P122" s="13" t="s">
        <v>15</v>
      </c>
      <c r="Q122" s="13" t="s">
        <v>16</v>
      </c>
      <c r="R122" s="3" t="s">
        <v>1</v>
      </c>
      <c r="S122" s="13" t="s">
        <v>15</v>
      </c>
      <c r="T122" s="13" t="s">
        <v>16</v>
      </c>
      <c r="U122" s="3" t="s">
        <v>2</v>
      </c>
      <c r="V122" s="13" t="s">
        <v>15</v>
      </c>
      <c r="W122" s="13" t="s">
        <v>16</v>
      </c>
      <c r="X122" s="3" t="s">
        <v>3</v>
      </c>
      <c r="Y122" s="13" t="s">
        <v>15</v>
      </c>
      <c r="Z122" s="4" t="s">
        <v>16</v>
      </c>
      <c r="AA122" s="3" t="s">
        <v>4</v>
      </c>
      <c r="AB122" s="13" t="s">
        <v>15</v>
      </c>
      <c r="AC122" s="4" t="s">
        <v>16</v>
      </c>
      <c r="AD122" s="2"/>
    </row>
    <row r="123" spans="1:30" x14ac:dyDescent="0.2">
      <c r="A123" s="12" t="s">
        <v>5</v>
      </c>
      <c r="B123" s="11">
        <f>'G7 Input'!Q114</f>
        <v>0.12720000000000001</v>
      </c>
      <c r="C123" s="11">
        <f>'G7 Input'!R114</f>
        <v>-4.7699999999999992E-2</v>
      </c>
      <c r="D123" s="11">
        <f>'G7 Input'!S114</f>
        <v>-9.4100000000000003E-2</v>
      </c>
      <c r="E123" s="11">
        <f>'G7 Input'!T114</f>
        <v>-2E-3</v>
      </c>
      <c r="F123" s="11">
        <f>'G7 Input'!U114</f>
        <v>4.0999999999999995E-3</v>
      </c>
      <c r="H123" s="10" t="s">
        <v>5</v>
      </c>
      <c r="I123" s="11">
        <f>'G7 Input'!X114</f>
        <v>0.1676</v>
      </c>
      <c r="J123" s="11">
        <f>'G7 Input'!Y114</f>
        <v>-3.2699999999999993E-2</v>
      </c>
      <c r="K123" s="11">
        <f>'G7 Input'!Z114</f>
        <v>-6.4100000000000004E-2</v>
      </c>
      <c r="L123" s="11">
        <f>'G7 Input'!AA114</f>
        <v>0.01</v>
      </c>
      <c r="M123" s="11">
        <f>'G7 Input'!AB114</f>
        <v>2.81E-2</v>
      </c>
      <c r="O123" s="3" t="s">
        <v>122</v>
      </c>
      <c r="P123" s="14" t="str">
        <f>_xll.PLContribFull(B123*100,"BID",O123,"Slot46","TICKER",3,,"Valid")</f>
        <v>12.720 (12:14:42.776167)</v>
      </c>
      <c r="Q123" s="5" t="str">
        <f>_xll.PLContribFull(I123*100,"ASK",O123,"Slot46","TICKER",3,,"Valid")</f>
        <v>16.760 (12:14:42.767165)</v>
      </c>
      <c r="R123" s="3" t="s">
        <v>132</v>
      </c>
      <c r="S123" s="14" t="str">
        <f>_xll.PLContribFull(C123*100,"BID",R123,"Slot46","TICKER",3,,"Valid")</f>
        <v>-4.770 (12:14:42.772166)</v>
      </c>
      <c r="T123" s="14" t="str">
        <f>_xll.PLContribFull(J123*100,"ASK",R123,"Slot46","TICKER",3,,"Valid")</f>
        <v>-3.270 (12:14:42.772166)</v>
      </c>
      <c r="U123" s="3" t="s">
        <v>142</v>
      </c>
      <c r="V123" s="14" t="str">
        <f>_xll.PLContribFull(D123*100,"BID",U123,"Slot46","TICKER",3,,"Valid")</f>
        <v>-9.410 (12:14:42.769168)</v>
      </c>
      <c r="W123" s="5" t="str">
        <f>_xll.PLContribFull(K123*100,"ASK",U123,"Slot46","TICKER",3,,"Valid")</f>
        <v>-6.410 (12:14:42.775167)</v>
      </c>
      <c r="X123" s="3" t="s">
        <v>152</v>
      </c>
      <c r="Y123" s="14" t="str">
        <f>_xll.PLContribFull(E123*100,"BID",X123,"Slot46","TICKER",3,,"Valid")</f>
        <v>-0.200 (12:14:42.779168)</v>
      </c>
      <c r="Z123" s="14" t="str">
        <f>_xll.PLContribFull(L123*100,"ASK",X123,"Slot46","TICKER",3,,"Valid")</f>
        <v>1.000 (12:14:42.751168)</v>
      </c>
      <c r="AA123" s="3" t="s">
        <v>162</v>
      </c>
      <c r="AB123" s="14" t="str">
        <f>_xll.PLContribFull(F123*100,"BID",AA123,"Slot46","TICKER",3,,"Valid")</f>
        <v>0.410 (12:14:42.774166)</v>
      </c>
      <c r="AC123" s="5" t="str">
        <f>_xll.PLContribFull(M123*100,"ASK",AA123,"Slot46","TICKER",3,,"Valid")</f>
        <v>2.810 (12:14:42.778167)</v>
      </c>
      <c r="AD123" s="16"/>
    </row>
    <row r="124" spans="1:30" x14ac:dyDescent="0.2">
      <c r="A124" s="12" t="s">
        <v>6</v>
      </c>
      <c r="B124" s="11">
        <f>'G7 Input'!Q115</f>
        <v>0.10640000000000001</v>
      </c>
      <c r="C124" s="11">
        <f>'G7 Input'!R115</f>
        <v>-0.03</v>
      </c>
      <c r="D124" s="11">
        <f>'G7 Input'!S115</f>
        <v>-4.8099999999999997E-2</v>
      </c>
      <c r="E124" s="11">
        <f>'G7 Input'!T115</f>
        <v>1.4000000000000002E-3</v>
      </c>
      <c r="F124" s="11">
        <f>'G7 Input'!U115</f>
        <v>6.7000000000000011E-3</v>
      </c>
      <c r="H124" s="10" t="s">
        <v>6</v>
      </c>
      <c r="I124" s="11">
        <f>'G7 Input'!X115</f>
        <v>0.12640000000000001</v>
      </c>
      <c r="J124" s="11">
        <f>'G7 Input'!Y115</f>
        <v>-2.5000000000000001E-2</v>
      </c>
      <c r="K124" s="11">
        <f>'G7 Input'!Z115</f>
        <v>-3.8100000000000002E-2</v>
      </c>
      <c r="L124" s="11">
        <f>'G7 Input'!AA115</f>
        <v>5.4000000000000003E-3</v>
      </c>
      <c r="M124" s="11">
        <f>'G7 Input'!AB115</f>
        <v>1.4700000000000001E-2</v>
      </c>
      <c r="O124" s="3" t="s">
        <v>123</v>
      </c>
      <c r="P124" s="14" t="str">
        <f>_xll.PLContribFull(B124*100,"BID",O124,"Slot46","TICKER",3,,"Valid")</f>
        <v>10.640 (12:14:42.765166)</v>
      </c>
      <c r="Q124" s="5" t="str">
        <f>_xll.PLContribFull(I124*100,"ASK",O124,"Slot46","TICKER",3,,"Valid")</f>
        <v>12.640 (12:14:42.772166)</v>
      </c>
      <c r="R124" s="3" t="s">
        <v>133</v>
      </c>
      <c r="S124" s="14" t="str">
        <f>_xll.PLContribFull(C124*100,"BID",R124,"Slot46","TICKER",3,,"Valid")</f>
        <v>-3.000 (12:14:42.774166)</v>
      </c>
      <c r="T124" s="14" t="str">
        <f>_xll.PLContribFull(J124*100,"ASK",R124,"Slot46","TICKER",3,,"Valid")</f>
        <v>-2.500 (12:14:42.778167)</v>
      </c>
      <c r="U124" s="3" t="s">
        <v>143</v>
      </c>
      <c r="V124" s="14" t="str">
        <f>_xll.PLContribFull(D124*100,"BID",U124,"Slot46","TICKER",3,,"Valid")</f>
        <v>-4.810 (12:14:42.771168)</v>
      </c>
      <c r="W124" s="5" t="str">
        <f>_xll.PLContribFull(K124*100,"ASK",U124,"Slot46","TICKER",3,,"Valid")</f>
        <v>-3.810 (12:14:42.766166)</v>
      </c>
      <c r="X124" s="3" t="s">
        <v>153</v>
      </c>
      <c r="Y124" s="14" t="str">
        <f>_xll.PLContribFull(E124*100,"BID",X124,"Slot46","TICKER",3,,"Valid")</f>
        <v>0.140 (12:14:42.778167)</v>
      </c>
      <c r="Z124" s="14" t="str">
        <f>_xll.PLContribFull(L124*100,"ASK",X124,"Slot46","TICKER",3,,"Valid")</f>
        <v>0.540 (12:14:42.755167)</v>
      </c>
      <c r="AA124" s="3" t="s">
        <v>163</v>
      </c>
      <c r="AB124" s="14" t="str">
        <f>_xll.PLContribFull(F124*100,"BID",AA124,"Slot46","TICKER",3,,"Valid")</f>
        <v>0.670 (12:14:42.766166)</v>
      </c>
      <c r="AC124" s="5" t="str">
        <f>_xll.PLContribFull(M124*100,"ASK",AA124,"Slot46","TICKER",3,,"Valid")</f>
        <v>1.470 (12:14:42.751168)</v>
      </c>
      <c r="AD124" s="16"/>
    </row>
    <row r="125" spans="1:30" x14ac:dyDescent="0.2">
      <c r="A125" s="12" t="s">
        <v>7</v>
      </c>
      <c r="B125" s="11">
        <f>'G7 Input'!Q116</f>
        <v>0.10899999999999999</v>
      </c>
      <c r="C125" s="11">
        <f>'G7 Input'!R116</f>
        <v>-2.63E-2</v>
      </c>
      <c r="D125" s="11">
        <f>'G7 Input'!S116</f>
        <v>-4.1599999999999998E-2</v>
      </c>
      <c r="E125" s="11">
        <f>'G7 Input'!T116</f>
        <v>2.0999999999999999E-3</v>
      </c>
      <c r="F125" s="11">
        <f>'G7 Input'!U116</f>
        <v>7.4999999999999997E-3</v>
      </c>
      <c r="H125" s="10" t="s">
        <v>7</v>
      </c>
      <c r="I125" s="11">
        <f>'G7 Input'!X116</f>
        <v>0.126</v>
      </c>
      <c r="J125" s="11">
        <f>'G7 Input'!Y116</f>
        <v>-2.4299999999999999E-2</v>
      </c>
      <c r="K125" s="11">
        <f>'G7 Input'!Z116</f>
        <v>-3.7599999999999995E-2</v>
      </c>
      <c r="L125" s="11">
        <f>'G7 Input'!AA116</f>
        <v>4.0999999999999995E-3</v>
      </c>
      <c r="M125" s="11">
        <f>'G7 Input'!AB116</f>
        <v>1.15E-2</v>
      </c>
      <c r="O125" s="3" t="s">
        <v>124</v>
      </c>
      <c r="P125" s="14" t="str">
        <f>_xll.PLContribFull(B125*100,"BID",O125,"Slot46","TICKER",3,,"Valid")</f>
        <v>10.900 (12:14:42.776167)</v>
      </c>
      <c r="Q125" s="5" t="str">
        <f>_xll.PLContribFull(I125*100,"ASK",O125,"Slot46","TICKER",3,,"Valid")</f>
        <v>12.600 (12:14:42.765166)</v>
      </c>
      <c r="R125" s="3" t="s">
        <v>134</v>
      </c>
      <c r="S125" s="14" t="str">
        <f>_xll.PLContribFull(C125*100,"BID",R125,"Slot46","TICKER",3,,"Valid")</f>
        <v>-2.630 (12:14:42.763166)</v>
      </c>
      <c r="T125" s="14" t="str">
        <f>_xll.PLContribFull(J125*100,"ASK",R125,"Slot46","TICKER",3,,"Valid")</f>
        <v>-2.430 (12:14:42.749167)</v>
      </c>
      <c r="U125" s="3" t="s">
        <v>144</v>
      </c>
      <c r="V125" s="14" t="str">
        <f>_xll.PLContribFull(D125*100,"BID",U125,"Slot46","TICKER",3,,"Valid")</f>
        <v>-4.160 (12:14:42.775167)</v>
      </c>
      <c r="W125" s="5" t="str">
        <f>_xll.PLContribFull(K125*100,"ASK",U125,"Slot46","TICKER",3,,"Valid")</f>
        <v>-3.760 (12:14:42.765166)</v>
      </c>
      <c r="X125" s="3" t="s">
        <v>154</v>
      </c>
      <c r="Y125" s="14" t="str">
        <f>_xll.PLContribFull(E125*100,"BID",X125,"Slot46","TICKER",3,,"Valid")</f>
        <v>0.210 (12:14:42.773167)</v>
      </c>
      <c r="Z125" s="14" t="str">
        <f>_xll.PLContribFull(L125*100,"ASK",X125,"Slot46","TICKER",3,,"Valid")</f>
        <v>0.410 (12:14:42.768166)</v>
      </c>
      <c r="AA125" s="3" t="s">
        <v>164</v>
      </c>
      <c r="AB125" s="14" t="str">
        <f>_xll.PLContribFull(F125*100,"BID",AA125,"Slot46","TICKER",3,,"Valid")</f>
        <v>0.750 (12:14:42.764166)</v>
      </c>
      <c r="AC125" s="5" t="str">
        <f>_xll.PLContribFull(M125*100,"ASK",AA125,"Slot46","TICKER",3,,"Valid")</f>
        <v>1.150 (12:14:42.756167)</v>
      </c>
      <c r="AD125" s="16"/>
    </row>
    <row r="126" spans="1:30" x14ac:dyDescent="0.2">
      <c r="A126" s="12" t="s">
        <v>8</v>
      </c>
      <c r="B126" s="11">
        <f>'G7 Input'!Q117</f>
        <v>0.10179999999999999</v>
      </c>
      <c r="C126" s="11">
        <f>'G7 Input'!R117</f>
        <v>-2.4500000000000001E-2</v>
      </c>
      <c r="D126" s="11">
        <f>'G7 Input'!S117</f>
        <v>-3.8699999999999998E-2</v>
      </c>
      <c r="E126" s="11">
        <f>'G7 Input'!T117</f>
        <v>1.5999999999999999E-3</v>
      </c>
      <c r="F126" s="11">
        <f>'G7 Input'!U117</f>
        <v>6.0000000000000001E-3</v>
      </c>
      <c r="H126" s="10" t="s">
        <v>8</v>
      </c>
      <c r="I126" s="11">
        <f>'G7 Input'!X117</f>
        <v>0.10979999999999999</v>
      </c>
      <c r="J126" s="11">
        <f>'G7 Input'!Y117</f>
        <v>-2.2499999999999999E-2</v>
      </c>
      <c r="K126" s="11">
        <f>'G7 Input'!Z117</f>
        <v>-3.4699999999999995E-2</v>
      </c>
      <c r="L126" s="11">
        <f>'G7 Input'!AA117</f>
        <v>3.5999999999999999E-3</v>
      </c>
      <c r="M126" s="11">
        <f>'G7 Input'!AB117</f>
        <v>0.01</v>
      </c>
      <c r="O126" s="3" t="s">
        <v>125</v>
      </c>
      <c r="P126" s="14" t="str">
        <f>_xll.PLContribFull(B126*100,"BID",O126,"Slot46","TICKER",3,,"Valid")</f>
        <v>10.180 (12:14:42.771168)</v>
      </c>
      <c r="Q126" s="5" t="str">
        <f>_xll.PLContribFull(I126*100,"ASK",O126,"Slot46","TICKER",3,,"Valid")</f>
        <v>10.980 (12:14:42.765166)</v>
      </c>
      <c r="R126" s="3" t="s">
        <v>135</v>
      </c>
      <c r="S126" s="14" t="str">
        <f>_xll.PLContribFull(C126*100,"BID",R126,"Slot46","TICKER",3,,"Valid")</f>
        <v>-2.450 (12:14:42.762166)</v>
      </c>
      <c r="T126" s="14" t="str">
        <f>_xll.PLContribFull(J126*100,"ASK",R126,"Slot46","TICKER",3,,"Valid")</f>
        <v>-2.250 (12:14:42.763166)</v>
      </c>
      <c r="U126" s="3" t="s">
        <v>145</v>
      </c>
      <c r="V126" s="14" t="str">
        <f>_xll.PLContribFull(D126*100,"BID",U126,"Slot46","TICKER",3,,"Valid")</f>
        <v>-3.870 (12:14:42.762166)</v>
      </c>
      <c r="W126" s="5" t="str">
        <f>_xll.PLContribFull(K126*100,"ASK",U126,"Slot46","TICKER",3,,"Valid")</f>
        <v>-3.470 (12:14:42.754169)</v>
      </c>
      <c r="X126" s="3" t="s">
        <v>155</v>
      </c>
      <c r="Y126" s="14" t="str">
        <f>_xll.PLContribFull(E126*100,"BID",X126,"Slot46","TICKER",3,,"Valid")</f>
        <v>0.160 (12:14:42.768166)</v>
      </c>
      <c r="Z126" s="14" t="str">
        <f>_xll.PLContribFull(L126*100,"ASK",X126,"Slot46","TICKER",3,,"Valid")</f>
        <v>0.360 (12:14:42.772166)</v>
      </c>
      <c r="AA126" s="3" t="s">
        <v>165</v>
      </c>
      <c r="AB126" s="14" t="str">
        <f>_xll.PLContribFull(F126*100,"BID",AA126,"Slot46","TICKER",3,,"Valid")</f>
        <v>0.600 (12:14:42.768166)</v>
      </c>
      <c r="AC126" s="5" t="str">
        <f>_xll.PLContribFull(M126*100,"ASK",AA126,"Slot46","TICKER",3,,"Valid")</f>
        <v>1.000 (12:14:42.747168)</v>
      </c>
      <c r="AD126" s="16"/>
    </row>
    <row r="127" spans="1:30" x14ac:dyDescent="0.2">
      <c r="A127" s="12" t="s">
        <v>9</v>
      </c>
      <c r="B127" s="11">
        <f>'G7 Input'!Q118</f>
        <v>9.5299999999999996E-2</v>
      </c>
      <c r="C127" s="11">
        <f>'G7 Input'!R118</f>
        <v>-2.1899999999999999E-2</v>
      </c>
      <c r="D127" s="11">
        <f>'G7 Input'!S118</f>
        <v>-3.5700000000000003E-2</v>
      </c>
      <c r="E127" s="11">
        <f>'G7 Input'!T118</f>
        <v>1.5999999999999999E-3</v>
      </c>
      <c r="F127" s="11">
        <f>'G7 Input'!U118</f>
        <v>6.3E-3</v>
      </c>
      <c r="H127" s="10" t="s">
        <v>9</v>
      </c>
      <c r="I127" s="11">
        <f>'G7 Input'!X118</f>
        <v>0.1023</v>
      </c>
      <c r="J127" s="11">
        <f>'G7 Input'!Y118</f>
        <v>-1.9899999999999998E-2</v>
      </c>
      <c r="K127" s="11">
        <f>'G7 Input'!Z118</f>
        <v>-3.1699999999999999E-2</v>
      </c>
      <c r="L127" s="11">
        <f>'G7 Input'!AA118</f>
        <v>3.5999999999999999E-3</v>
      </c>
      <c r="M127" s="11">
        <f>'G7 Input'!AB118</f>
        <v>1.03E-2</v>
      </c>
      <c r="O127" s="3" t="s">
        <v>126</v>
      </c>
      <c r="P127" s="14" t="str">
        <f>_xll.PLContribFull(B127*100,"BID",O127,"Slot46","TICKER",3,,"Valid")</f>
        <v>9.530 (12:14:42.766166)</v>
      </c>
      <c r="Q127" s="5" t="str">
        <f>_xll.PLContribFull(I127*100,"ASK",O127,"Slot46","TICKER",3,,"Valid")</f>
        <v>10.230 (12:14:42.746167)</v>
      </c>
      <c r="R127" s="3" t="s">
        <v>136</v>
      </c>
      <c r="S127" s="14" t="str">
        <f>_xll.PLContribFull(C127*100,"BID",R127,"Slot46","TICKER",3,,"Valid")</f>
        <v>-2.190 (12:14:42.742167)</v>
      </c>
      <c r="T127" s="14" t="str">
        <f>_xll.PLContribFull(J127*100,"ASK",R127,"Slot46","TICKER",3,,"Valid")</f>
        <v>-1.990 (12:14:42.770167)</v>
      </c>
      <c r="U127" s="3" t="s">
        <v>146</v>
      </c>
      <c r="V127" s="14" t="str">
        <f>_xll.PLContribFull(D127*100,"BID",U127,"Slot46","TICKER",3,,"Valid")</f>
        <v>-3.570 (12:14:42.776167)</v>
      </c>
      <c r="W127" s="5" t="str">
        <f>_xll.PLContribFull(K127*100,"ASK",U127,"Slot46","TICKER",3,,"Valid")</f>
        <v>-3.170 (12:14:42.759166)</v>
      </c>
      <c r="X127" s="3" t="s">
        <v>156</v>
      </c>
      <c r="Y127" s="14" t="str">
        <f>_xll.PLContribFull(E127*100,"BID",X127,"Slot46","TICKER",3,,"Valid")</f>
        <v>0.160 (12:14:42.773167)</v>
      </c>
      <c r="Z127" s="14" t="str">
        <f>_xll.PLContribFull(L127*100,"ASK",X127,"Slot46","TICKER",3,,"Valid")</f>
        <v>0.360 (12:14:42.778167)</v>
      </c>
      <c r="AA127" s="3" t="s">
        <v>166</v>
      </c>
      <c r="AB127" s="14" t="str">
        <f>_xll.PLContribFull(F127*100,"BID",AA127,"Slot46","TICKER",3,,"Valid")</f>
        <v>0.630 (12:14:42.763166)</v>
      </c>
      <c r="AC127" s="5" t="str">
        <f>_xll.PLContribFull(M127*100,"ASK",AA127,"Slot46","TICKER",3,,"Valid")</f>
        <v>1.030 (12:14:42.771168)</v>
      </c>
      <c r="AD127" s="16"/>
    </row>
    <row r="128" spans="1:30" x14ac:dyDescent="0.2">
      <c r="A128" s="12" t="s">
        <v>10</v>
      </c>
      <c r="B128" s="11">
        <f>'G7 Input'!Q119</f>
        <v>9.2100000000000001E-2</v>
      </c>
      <c r="C128" s="11">
        <f>'G7 Input'!R119</f>
        <v>-2.01E-2</v>
      </c>
      <c r="D128" s="11">
        <f>'G7 Input'!S119</f>
        <v>-3.39E-2</v>
      </c>
      <c r="E128" s="11">
        <f>'G7 Input'!T119</f>
        <v>1.8000000000000004E-3</v>
      </c>
      <c r="F128" s="11">
        <f>'G7 Input'!U119</f>
        <v>6.6999999999999994E-3</v>
      </c>
      <c r="H128" s="10" t="s">
        <v>10</v>
      </c>
      <c r="I128" s="11">
        <f>'G7 Input'!X119</f>
        <v>9.8100000000000007E-2</v>
      </c>
      <c r="J128" s="11">
        <f>'G7 Input'!Y119</f>
        <v>-1.8099999999999998E-2</v>
      </c>
      <c r="K128" s="11">
        <f>'G7 Input'!Z119</f>
        <v>-2.9899999999999996E-2</v>
      </c>
      <c r="L128" s="11">
        <f>'G7 Input'!AA119</f>
        <v>3.8000000000000004E-3</v>
      </c>
      <c r="M128" s="11">
        <f>'G7 Input'!AB119</f>
        <v>1.0699999999999999E-2</v>
      </c>
      <c r="O128" s="3" t="s">
        <v>127</v>
      </c>
      <c r="P128" s="14" t="str">
        <f>_xll.PLContribFull(B128*100,"BID",O128,"Slot46","TICKER",3,,"Valid")</f>
        <v>9.210 (12:14:42.768166)</v>
      </c>
      <c r="Q128" s="5" t="str">
        <f>_xll.PLContribFull(I128*100,"ASK",O128,"Slot46","TICKER",3,,"Valid")</f>
        <v>9.810 (12:14:42.777166)</v>
      </c>
      <c r="R128" s="3" t="s">
        <v>137</v>
      </c>
      <c r="S128" s="14" t="str">
        <f>_xll.PLContribFull(C128*100,"BID",R128,"Slot46","TICKER",3,,"Valid")</f>
        <v>-2.010 (12:14:42.776167)</v>
      </c>
      <c r="T128" s="14" t="str">
        <f>_xll.PLContribFull(J128*100,"ASK",R128,"Slot46","TICKER",3,,"Valid")</f>
        <v>-1.810 (12:14:42.773167)</v>
      </c>
      <c r="U128" s="3" t="s">
        <v>147</v>
      </c>
      <c r="V128" s="14" t="str">
        <f>_xll.PLContribFull(D128*100,"BID",U128,"Slot46","TICKER",3,,"Valid")</f>
        <v>-3.390 (12:14:42.765166)</v>
      </c>
      <c r="W128" s="5" t="str">
        <f>_xll.PLContribFull(K128*100,"ASK",U128,"Slot46","TICKER",3,,"Valid")</f>
        <v>-2.990 (12:14:42.764166)</v>
      </c>
      <c r="X128" s="3" t="s">
        <v>157</v>
      </c>
      <c r="Y128" s="14" t="str">
        <f>_xll.PLContribFull(E128*100,"BID",X128,"Slot46","TICKER",3,,"Valid")</f>
        <v>0.180 (12:14:42.766166)</v>
      </c>
      <c r="Z128" s="14" t="str">
        <f>_xll.PLContribFull(L128*100,"ASK",X128,"Slot46","TICKER",3,,"Valid")</f>
        <v>0.380 (12:14:42.762166)</v>
      </c>
      <c r="AA128" s="3" t="s">
        <v>167</v>
      </c>
      <c r="AB128" s="14" t="str">
        <f>_xll.PLContribFull(F128*100,"BID",AA128,"Slot46","TICKER",3,,"Valid")</f>
        <v>0.670 (12:14:42.770167)</v>
      </c>
      <c r="AC128" s="5" t="str">
        <f>_xll.PLContribFull(M128*100,"ASK",AA128,"Slot46","TICKER",3,,"Valid")</f>
        <v>1.070 (12:14:42.774166)</v>
      </c>
      <c r="AD128" s="16"/>
    </row>
    <row r="129" spans="1:30" x14ac:dyDescent="0.2">
      <c r="A129" s="12" t="s">
        <v>11</v>
      </c>
      <c r="B129" s="11">
        <f>'G7 Input'!Q120</f>
        <v>8.745E-2</v>
      </c>
      <c r="C129" s="11">
        <f>'G7 Input'!R120</f>
        <v>-1.3399999999999999E-2</v>
      </c>
      <c r="D129" s="11">
        <f>'G7 Input'!S120</f>
        <v>-2.6500000000000003E-2</v>
      </c>
      <c r="E129" s="11">
        <f>'G7 Input'!T120</f>
        <v>2.4000000000000002E-3</v>
      </c>
      <c r="F129" s="11">
        <f>'G7 Input'!U120</f>
        <v>8.7000000000000011E-3</v>
      </c>
      <c r="H129" s="10" t="s">
        <v>11</v>
      </c>
      <c r="I129" s="11">
        <f>'G7 Input'!X120</f>
        <v>9.2950000000000005E-2</v>
      </c>
      <c r="J129" s="11">
        <f>'G7 Input'!Y120</f>
        <v>-1.14E-2</v>
      </c>
      <c r="K129" s="11">
        <f>'G7 Input'!Z120</f>
        <v>-2.2499999999999999E-2</v>
      </c>
      <c r="L129" s="11">
        <f>'G7 Input'!AA120</f>
        <v>4.4000000000000003E-3</v>
      </c>
      <c r="M129" s="11">
        <f>'G7 Input'!AB120</f>
        <v>1.2700000000000001E-2</v>
      </c>
      <c r="O129" s="3" t="s">
        <v>128</v>
      </c>
      <c r="P129" s="14" t="str">
        <f>_xll.PLContribFull(B129*100,"BID",O129,"Slot46","TICKER",3,,"Valid")</f>
        <v>8.745 (12:14:42.771168)</v>
      </c>
      <c r="Q129" s="5" t="str">
        <f>_xll.PLContribFull(I129*100,"ASK",O129,"Slot46","TICKER",3,,"Valid")</f>
        <v>9.295 (12:14:42.759166)</v>
      </c>
      <c r="R129" s="3" t="s">
        <v>138</v>
      </c>
      <c r="S129" s="14" t="str">
        <f>_xll.PLContribFull(C129*100,"BID",R129,"Slot46","TICKER",3,,"Valid")</f>
        <v>-1.340 (12:14:42.767165)</v>
      </c>
      <c r="T129" s="14" t="str">
        <f>_xll.PLContribFull(J129*100,"ASK",R129,"Slot46","TICKER",3,,"Valid")</f>
        <v>-1.140 (12:14:42.769168)</v>
      </c>
      <c r="U129" s="3" t="s">
        <v>148</v>
      </c>
      <c r="V129" s="14" t="str">
        <f>_xll.PLContribFull(D129*100,"BID",U129,"Slot46","TICKER",3,,"Valid")</f>
        <v>-2.650 (12:14:42.778167)</v>
      </c>
      <c r="W129" s="5" t="str">
        <f>_xll.PLContribFull(K129*100,"ASK",U129,"Slot46","TICKER",3,,"Valid")</f>
        <v>-2.250 (12:14:42.759166)</v>
      </c>
      <c r="X129" s="3" t="s">
        <v>158</v>
      </c>
      <c r="Y129" s="14" t="str">
        <f>_xll.PLContribFull(E129*100,"BID",X129,"Slot46","TICKER",3,,"Valid")</f>
        <v>0.240 (12:14:42.747168)</v>
      </c>
      <c r="Z129" s="14" t="str">
        <f>_xll.PLContribFull(L129*100,"ASK",X129,"Slot46","TICKER",3,,"Valid")</f>
        <v>0.440 (12:14:42.769168)</v>
      </c>
      <c r="AA129" s="3" t="s">
        <v>168</v>
      </c>
      <c r="AB129" s="14" t="str">
        <f>_xll.PLContribFull(F129*100,"BID",AA129,"Slot46","TICKER",3,,"Valid")</f>
        <v>0.870 (12:14:42.760167)</v>
      </c>
      <c r="AC129" s="5" t="str">
        <f>_xll.PLContribFull(M129*100,"ASK",AA129,"Slot46","TICKER",3,,"Valid")</f>
        <v>1.270 (12:14:42.753167)</v>
      </c>
      <c r="AD129" s="16"/>
    </row>
    <row r="130" spans="1:30" x14ac:dyDescent="0.2">
      <c r="A130" s="12" t="s">
        <v>12</v>
      </c>
      <c r="B130" s="11">
        <f>'G7 Input'!Q121</f>
        <v>8.5249999999999992E-2</v>
      </c>
      <c r="C130" s="11">
        <f>'G7 Input'!R121</f>
        <v>-7.8000000000000005E-3</v>
      </c>
      <c r="D130" s="11">
        <f>'G7 Input'!S121</f>
        <v>-1.5899999999999997E-2</v>
      </c>
      <c r="E130" s="11">
        <f>'G7 Input'!T121</f>
        <v>2.4999999999999996E-3</v>
      </c>
      <c r="F130" s="11">
        <f>'G7 Input'!U121</f>
        <v>9.3999999999999986E-3</v>
      </c>
      <c r="H130" s="10" t="s">
        <v>12</v>
      </c>
      <c r="I130" s="11">
        <f>'G7 Input'!X121</f>
        <v>9.0749999999999997E-2</v>
      </c>
      <c r="J130" s="11">
        <f>'G7 Input'!Y121</f>
        <v>-5.8000000000000005E-3</v>
      </c>
      <c r="K130" s="11">
        <f>'G7 Input'!Z121</f>
        <v>-1.1899999999999999E-2</v>
      </c>
      <c r="L130" s="11">
        <f>'G7 Input'!AA121</f>
        <v>4.4999999999999997E-3</v>
      </c>
      <c r="M130" s="11">
        <f>'G7 Input'!AB121</f>
        <v>1.3399999999999999E-2</v>
      </c>
      <c r="O130" s="3" t="s">
        <v>129</v>
      </c>
      <c r="P130" s="14" t="str">
        <f>_xll.PLContribFull(B130*100,"BID",O130,"Slot46","TICKER",3,,"Valid")</f>
        <v>8.525 (12:14:42.767165)</v>
      </c>
      <c r="Q130" s="5" t="str">
        <f>_xll.PLContribFull(I130*100,"ASK",O130,"Slot46","TICKER",3,,"Valid")</f>
        <v>9.075 (12:14:42.766166)</v>
      </c>
      <c r="R130" s="3" t="s">
        <v>139</v>
      </c>
      <c r="S130" s="14" t="str">
        <f>_xll.PLContribFull(C130*100,"BID",R130,"Slot46","TICKER",3,,"Valid")</f>
        <v>-0.780 (12:14:42.745167)</v>
      </c>
      <c r="T130" s="14" t="str">
        <f>_xll.PLContribFull(J130*100,"ASK",R130,"Slot46","TICKER",3,,"Valid")</f>
        <v>-0.580 (12:14:42.774166)</v>
      </c>
      <c r="U130" s="3" t="s">
        <v>149</v>
      </c>
      <c r="V130" s="14" t="str">
        <f>_xll.PLContribFull(D130*100,"BID",U130,"Slot46","TICKER",3,,"Valid")</f>
        <v>-1.590 (12:14:42.747168)</v>
      </c>
      <c r="W130" s="5" t="str">
        <f>_xll.PLContribFull(K130*100,"ASK",U130,"Slot46","TICKER",3,,"Valid")</f>
        <v>-1.190 (12:14:42.760167)</v>
      </c>
      <c r="X130" s="3" t="s">
        <v>159</v>
      </c>
      <c r="Y130" s="14" t="str">
        <f>_xll.PLContribFull(E130*100,"BID",X130,"Slot46","TICKER",3,,"Valid")</f>
        <v>0.250 (12:14:42.760167)</v>
      </c>
      <c r="Z130" s="14" t="str">
        <f>_xll.PLContribFull(L130*100,"ASK",X130,"Slot46","TICKER",3,,"Valid")</f>
        <v>0.450 (12:14:42.740168)</v>
      </c>
      <c r="AA130" s="3" t="s">
        <v>169</v>
      </c>
      <c r="AB130" s="14" t="str">
        <f>_xll.PLContribFull(F130*100,"BID",AA130,"Slot46","TICKER",3,,"Valid")</f>
        <v>0.940 (12:14:42.766166)</v>
      </c>
      <c r="AC130" s="5" t="str">
        <f>_xll.PLContribFull(M130*100,"ASK",AA130,"Slot46","TICKER",3,,"Valid")</f>
        <v>1.340 (12:14:42.762166)</v>
      </c>
      <c r="AD130" s="16"/>
    </row>
    <row r="131" spans="1:30" x14ac:dyDescent="0.2">
      <c r="A131" s="12" t="s">
        <v>13</v>
      </c>
      <c r="B131" s="11">
        <f>'G7 Input'!Q122</f>
        <v>8.405E-2</v>
      </c>
      <c r="C131" s="11">
        <f>'G7 Input'!R122</f>
        <v>-5.0999999999999995E-3</v>
      </c>
      <c r="D131" s="11">
        <f>'G7 Input'!S122</f>
        <v>-1.03E-2</v>
      </c>
      <c r="E131" s="11">
        <f>'G7 Input'!T122</f>
        <v>2.4999999999999996E-3</v>
      </c>
      <c r="F131" s="11">
        <f>'G7 Input'!U122</f>
        <v>1.0199999999999999E-2</v>
      </c>
      <c r="H131" s="10" t="s">
        <v>13</v>
      </c>
      <c r="I131" s="11">
        <f>'G7 Input'!X122</f>
        <v>8.9550000000000005E-2</v>
      </c>
      <c r="J131" s="11">
        <f>'G7 Input'!Y122</f>
        <v>-3.0999999999999995E-3</v>
      </c>
      <c r="K131" s="11">
        <f>'G7 Input'!Z122</f>
        <v>-6.3E-3</v>
      </c>
      <c r="L131" s="11">
        <f>'G7 Input'!AA122</f>
        <v>4.4999999999999997E-3</v>
      </c>
      <c r="M131" s="11">
        <f>'G7 Input'!AB122</f>
        <v>1.4199999999999999E-2</v>
      </c>
      <c r="O131" s="3" t="s">
        <v>130</v>
      </c>
      <c r="P131" s="14" t="str">
        <f>_xll.PLContribFull(B131*100,"BID",O131,"Slot46","TICKER",3,,"Valid")</f>
        <v>8.405 (12:14:42.767165)</v>
      </c>
      <c r="Q131" s="5" t="str">
        <f>_xll.PLContribFull(I131*100,"ASK",O131,"Slot46","TICKER",3,,"Valid")</f>
        <v>8.955 (12:14:42.778167)</v>
      </c>
      <c r="R131" s="3" t="s">
        <v>140</v>
      </c>
      <c r="S131" s="14" t="str">
        <f>_xll.PLContribFull(C131*100,"BID",R131,"Slot46","TICKER",3,,"Valid")</f>
        <v>-0.510 (12:14:42.776167)</v>
      </c>
      <c r="T131" s="14" t="str">
        <f>_xll.PLContribFull(J131*100,"ASK",R131,"Slot46","TICKER",3,,"Valid")</f>
        <v>-0.310 (12:14:42.768166)</v>
      </c>
      <c r="U131" s="3" t="s">
        <v>150</v>
      </c>
      <c r="V131" s="14" t="str">
        <f>_xll.PLContribFull(D131*100,"BID",U131,"Slot46","TICKER",3,,"Valid")</f>
        <v>-1.030 (12:14:42.768166)</v>
      </c>
      <c r="W131" s="5" t="str">
        <f>_xll.PLContribFull(K131*100,"ASK",U131,"Slot46","TICKER",3,,"Valid")</f>
        <v>-0.630 (12:14:42.747168)</v>
      </c>
      <c r="X131" s="3" t="s">
        <v>160</v>
      </c>
      <c r="Y131" s="14" t="str">
        <f>_xll.PLContribFull(E131*100,"BID",X131,"Slot46","TICKER",3,,"Valid")</f>
        <v>0.250 (12:14:42.761166)</v>
      </c>
      <c r="Z131" s="14" t="str">
        <f>_xll.PLContribFull(L131*100,"ASK",X131,"Slot46","TICKER",3,,"Valid")</f>
        <v>0.450 (12:14:42.777166)</v>
      </c>
      <c r="AA131" s="3" t="s">
        <v>170</v>
      </c>
      <c r="AB131" s="14" t="str">
        <f>_xll.PLContribFull(F131*100,"BID",AA131,"Slot46","TICKER",3,,"Valid")</f>
        <v>1.020 (12:14:42.764166)</v>
      </c>
      <c r="AC131" s="5" t="str">
        <f>_xll.PLContribFull(M131*100,"ASK",AA131,"Slot46","TICKER",3,,"Valid")</f>
        <v>1.420 (12:14:42.763166)</v>
      </c>
      <c r="AD131" s="16"/>
    </row>
    <row r="132" spans="1:30" x14ac:dyDescent="0.2">
      <c r="A132" s="12" t="s">
        <v>14</v>
      </c>
      <c r="B132" s="11">
        <f>'G7 Input'!Q123</f>
        <v>8.1349999999999992E-2</v>
      </c>
      <c r="C132" s="11">
        <f>'G7 Input'!R123</f>
        <v>-1.7000000000000001E-3</v>
      </c>
      <c r="D132" s="11">
        <f>'G7 Input'!S123</f>
        <v>-2.0999999999999999E-3</v>
      </c>
      <c r="E132" s="11">
        <f>'G7 Input'!T123</f>
        <v>2.9000000000000002E-3</v>
      </c>
      <c r="F132" s="11">
        <f>'G7 Input'!U123</f>
        <v>1.21E-2</v>
      </c>
      <c r="H132" s="10" t="s">
        <v>14</v>
      </c>
      <c r="I132" s="11">
        <f>'G7 Input'!X123</f>
        <v>8.6849999999999997E-2</v>
      </c>
      <c r="J132" s="11">
        <f>'G7 Input'!Y123</f>
        <v>2.9999999999999992E-4</v>
      </c>
      <c r="K132" s="11">
        <f>'G7 Input'!Z123</f>
        <v>1.9E-3</v>
      </c>
      <c r="L132" s="11">
        <f>'G7 Input'!AA123</f>
        <v>4.8999999999999998E-3</v>
      </c>
      <c r="M132" s="11">
        <f>'G7 Input'!AB123</f>
        <v>1.61E-2</v>
      </c>
      <c r="O132" s="3" t="s">
        <v>131</v>
      </c>
      <c r="P132" s="14" t="str">
        <f>_xll.PLContribFull(B132*100,"BID",O132,"Slot46","TICKER",3,,"Valid")</f>
        <v>8.135 (12:14:42.767165)</v>
      </c>
      <c r="Q132" s="5" t="str">
        <f>_xll.PLContribFull(I132*100,"ASK",O132,"Slot46","TICKER",3,,"Valid")</f>
        <v>8.685 (12:14:42.766166)</v>
      </c>
      <c r="R132" s="3" t="s">
        <v>141</v>
      </c>
      <c r="S132" s="14" t="str">
        <f>_xll.PLContribFull(C132*100,"BID",R132,"Slot46","TICKER",3,,"Valid")</f>
        <v>-0.170 (12:14:42.745167)</v>
      </c>
      <c r="T132" s="14" t="str">
        <f>_xll.PLContribFull(J132*100,"ASK",R132,"Slot46","TICKER",3,,"Valid")</f>
        <v>0.030 (12:14:42.751168)</v>
      </c>
      <c r="U132" s="3" t="s">
        <v>151</v>
      </c>
      <c r="V132" s="14" t="str">
        <f>_xll.PLContribFull(D132*100,"BID",U132,"Slot46","TICKER",3,,"Valid")</f>
        <v>-0.210 (12:14:42.763166)</v>
      </c>
      <c r="W132" s="5" t="str">
        <f>_xll.PLContribFull(K132*100,"ASK",U132,"Slot46","TICKER",3,,"Valid")</f>
        <v>0.190 (12:14:42.768166)</v>
      </c>
      <c r="X132" s="3" t="s">
        <v>161</v>
      </c>
      <c r="Y132" s="14" t="str">
        <f>_xll.PLContribFull(E132*100,"BID",X132,"Slot46","TICKER",3,,"Valid")</f>
        <v>0.290 (12:14:42.768166)</v>
      </c>
      <c r="Z132" s="14" t="str">
        <f>_xll.PLContribFull(L132*100,"ASK",X132,"Slot46","TICKER",3,,"Valid")</f>
        <v>0.490 (12:14:42.752166)</v>
      </c>
      <c r="AA132" s="3" t="s">
        <v>171</v>
      </c>
      <c r="AB132" s="14" t="str">
        <f>_xll.PLContribFull(F132*100,"BID",AA132,"Slot46","TICKER",3,,"Valid")</f>
        <v>1.210 (12:14:42.741170)</v>
      </c>
      <c r="AC132" s="5" t="str">
        <f>_xll.PLContribFull(M132*100,"ASK",AA132,"Slot46","TICKER",3,,"Valid")</f>
        <v>1.610 (12:14:42.776167)</v>
      </c>
      <c r="AD132" s="16"/>
    </row>
    <row r="133" spans="1:30" x14ac:dyDescent="0.2">
      <c r="A133" s="12" t="s">
        <v>876</v>
      </c>
      <c r="B133" s="11">
        <f>'G7 Input'!Q124</f>
        <v>7.9449999999999993E-2</v>
      </c>
      <c r="C133" s="11">
        <f>'G7 Input'!R124</f>
        <v>-8.0000000000000004E-4</v>
      </c>
      <c r="D133" s="11">
        <f>'G7 Input'!S124</f>
        <v>5.0000000000000001E-4</v>
      </c>
      <c r="E133" s="11">
        <f>'G7 Input'!T124</f>
        <v>3.3E-3</v>
      </c>
      <c r="F133" s="11">
        <f>'G7 Input'!U124</f>
        <v>1.34E-2</v>
      </c>
      <c r="H133" s="10" t="s">
        <v>876</v>
      </c>
      <c r="I133" s="11">
        <f>'G7 Input'!X124</f>
        <v>8.4949999999999998E-2</v>
      </c>
      <c r="J133" s="11">
        <f>'G7 Input'!Y124</f>
        <v>1.2000000000000001E-3</v>
      </c>
      <c r="K133" s="11">
        <f>'G7 Input'!Z124</f>
        <v>4.5000000000000005E-3</v>
      </c>
      <c r="L133" s="11">
        <f>'G7 Input'!AA124</f>
        <v>5.3E-3</v>
      </c>
      <c r="M133" s="11">
        <f>'G7 Input'!AB124</f>
        <v>1.7399999999999999E-2</v>
      </c>
      <c r="O133" s="3" t="s">
        <v>897</v>
      </c>
      <c r="P133" s="14" t="str">
        <f>_xll.PLContribFull(B133*100,"BID",O133,"Slot46","TICKER",3,,"Valid")</f>
        <v>7.945 (12:14:42.766166)</v>
      </c>
      <c r="Q133" s="5" t="str">
        <f>_xll.PLContribFull(I133*100,"ASK",O133,"Slot46","TICKER",3,,"Valid")</f>
        <v>8.495 (12:14:42.777166)</v>
      </c>
      <c r="R133" s="3" t="s">
        <v>898</v>
      </c>
      <c r="S133" s="14" t="str">
        <f>_xll.PLContribFull(C133*100,"BID",R133,"Slot46","TICKER",3,,"Valid")</f>
        <v>-0.080 (12:14:42.744167)</v>
      </c>
      <c r="T133" s="14" t="str">
        <f>_xll.PLContribFull(J133*100,"ASK",R133,"Slot46","TICKER",3,,"Valid")</f>
        <v>0.120 (12:14:42.769168)</v>
      </c>
      <c r="U133" s="3" t="s">
        <v>899</v>
      </c>
      <c r="V133" s="14" t="str">
        <f>_xll.PLContribFull(D133*100,"BID",U133,"Slot46","TICKER",3,,"Valid")</f>
        <v>0.050 (12:14:42.766166)</v>
      </c>
      <c r="W133" s="5" t="str">
        <f>_xll.PLContribFull(K133*100,"ASK",U133,"Slot46","TICKER",3,,"Valid")</f>
        <v>0.450 (12:14:42.760167)</v>
      </c>
      <c r="X133" s="3" t="s">
        <v>900</v>
      </c>
      <c r="Y133" s="14" t="str">
        <f>_xll.PLContribFull(E133*100,"BID",X133,"Slot46","TICKER",3,,"Valid")</f>
        <v>0.330 (12:14:42.750168)</v>
      </c>
      <c r="Z133" s="14" t="str">
        <f>_xll.PLContribFull(L133*100,"ASK",X133,"Slot46","TICKER",3,,"Valid")</f>
        <v>0.530 (12:14:42.765166)</v>
      </c>
      <c r="AA133" s="3" t="s">
        <v>901</v>
      </c>
      <c r="AB133" s="14" t="str">
        <f>_xll.PLContribFull(F133*100,"BID",AA133,"Slot46","TICKER",3,,"Valid")</f>
        <v>1.340 (12:14:42.776167)</v>
      </c>
      <c r="AC133" s="5" t="str">
        <f>_xll.PLContribFull(M133*100,"ASK",AA133,"Slot46","TICKER",3,,"Valid")</f>
        <v>1.740 (12:14:42.770167)</v>
      </c>
      <c r="AD133" s="16"/>
    </row>
    <row r="135" spans="1:30" x14ac:dyDescent="0.2"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8"/>
      <c r="AC135" s="18"/>
    </row>
    <row r="136" spans="1:30" x14ac:dyDescent="0.25">
      <c r="A136" s="10" t="s">
        <v>363</v>
      </c>
      <c r="O136" s="3" t="s">
        <v>67</v>
      </c>
      <c r="P136" s="15" t="s">
        <v>68</v>
      </c>
      <c r="Q136" s="15"/>
      <c r="R136" s="3" t="s">
        <v>67</v>
      </c>
      <c r="S136" s="15" t="s">
        <v>68</v>
      </c>
      <c r="T136" s="15"/>
      <c r="U136" s="3" t="s">
        <v>67</v>
      </c>
      <c r="V136" s="15" t="s">
        <v>68</v>
      </c>
      <c r="W136" s="15"/>
      <c r="X136" s="3" t="s">
        <v>67</v>
      </c>
      <c r="Y136" s="15" t="s">
        <v>68</v>
      </c>
      <c r="Z136" s="6"/>
      <c r="AA136" s="3" t="s">
        <v>67</v>
      </c>
      <c r="AB136" s="15" t="s">
        <v>68</v>
      </c>
      <c r="AC136" s="6"/>
    </row>
    <row r="137" spans="1:30" ht="14.25" x14ac:dyDescent="0.25">
      <c r="A137" s="12" t="s">
        <v>331</v>
      </c>
      <c r="B137" s="12" t="s">
        <v>0</v>
      </c>
      <c r="C137" s="12" t="s">
        <v>1</v>
      </c>
      <c r="D137" s="12" t="s">
        <v>2</v>
      </c>
      <c r="E137" s="12" t="s">
        <v>3</v>
      </c>
      <c r="F137" s="12" t="s">
        <v>4</v>
      </c>
      <c r="H137" s="10" t="s">
        <v>16</v>
      </c>
      <c r="I137" s="10" t="s">
        <v>0</v>
      </c>
      <c r="J137" s="10" t="s">
        <v>1</v>
      </c>
      <c r="K137" s="10" t="s">
        <v>2</v>
      </c>
      <c r="L137" s="10" t="s">
        <v>3</v>
      </c>
      <c r="M137" s="10" t="s">
        <v>4</v>
      </c>
      <c r="O137" s="3" t="s">
        <v>66</v>
      </c>
      <c r="P137" s="13" t="s">
        <v>15</v>
      </c>
      <c r="Q137" s="13" t="s">
        <v>16</v>
      </c>
      <c r="R137" s="3" t="s">
        <v>1</v>
      </c>
      <c r="S137" s="13" t="s">
        <v>15</v>
      </c>
      <c r="T137" s="13" t="s">
        <v>16</v>
      </c>
      <c r="U137" s="3" t="s">
        <v>2</v>
      </c>
      <c r="V137" s="13" t="s">
        <v>15</v>
      </c>
      <c r="W137" s="13" t="s">
        <v>16</v>
      </c>
      <c r="X137" s="3" t="s">
        <v>3</v>
      </c>
      <c r="Y137" s="13" t="s">
        <v>15</v>
      </c>
      <c r="Z137" s="4" t="s">
        <v>16</v>
      </c>
      <c r="AA137" s="3" t="s">
        <v>4</v>
      </c>
      <c r="AB137" s="13" t="s">
        <v>15</v>
      </c>
      <c r="AC137" s="4" t="s">
        <v>16</v>
      </c>
      <c r="AD137" s="2"/>
    </row>
    <row r="138" spans="1:30" x14ac:dyDescent="0.2">
      <c r="A138" s="12" t="s">
        <v>5</v>
      </c>
      <c r="B138" s="11">
        <f>'G7 Input'!Q128</f>
        <v>0.12540000000000001</v>
      </c>
      <c r="C138" s="11">
        <f>'G7 Input'!R128</f>
        <v>-4.1599999999999998E-2</v>
      </c>
      <c r="D138" s="11">
        <f>'G7 Input'!S128</f>
        <v>-8.2400000000000001E-2</v>
      </c>
      <c r="E138" s="11">
        <f>'G7 Input'!T128</f>
        <v>-1.8000000000000004E-3</v>
      </c>
      <c r="F138" s="11">
        <f>'G7 Input'!U128</f>
        <v>2.8999999999999998E-3</v>
      </c>
      <c r="H138" s="10" t="s">
        <v>5</v>
      </c>
      <c r="I138" s="11">
        <f>'G7 Input'!X128</f>
        <v>0.16539999999999999</v>
      </c>
      <c r="J138" s="11">
        <f>'G7 Input'!Y128</f>
        <v>-2.6599999999999999E-2</v>
      </c>
      <c r="K138" s="11">
        <f>'G7 Input'!Z128</f>
        <v>-5.2400000000000002E-2</v>
      </c>
      <c r="L138" s="11">
        <f>'G7 Input'!AA128</f>
        <v>1.0200000000000001E-2</v>
      </c>
      <c r="M138" s="11">
        <f>'G7 Input'!AB128</f>
        <v>2.69E-2</v>
      </c>
      <c r="O138" s="3" t="s">
        <v>626</v>
      </c>
      <c r="P138" s="14" t="str">
        <f>_xll.PLContribFull(B138*100,"BID",O138,"Slot46","TICKER",3,,"Valid")</f>
        <v>12.540 (12:14:42.774166)</v>
      </c>
      <c r="Q138" s="5" t="str">
        <f>_xll.PLContribFull(I138*100,"ASK",O138,"Slot46","TICKER",3,,"Valid")</f>
        <v>16.540 (12:14:42.762166)</v>
      </c>
      <c r="R138" s="3" t="s">
        <v>636</v>
      </c>
      <c r="S138" s="14" t="str">
        <f>_xll.PLContribFull(C138*100,"BID",R138,"Slot46","TICKER",3,,"Valid")</f>
        <v>-4.160 (12:14:42.778167)</v>
      </c>
      <c r="T138" s="14" t="str">
        <f>_xll.PLContribFull(J138*100,"ASK",R138,"Slot46","TICKER",3,,"Valid")</f>
        <v>-2.660 (12:14:42.771168)</v>
      </c>
      <c r="U138" s="3" t="s">
        <v>646</v>
      </c>
      <c r="V138" s="14" t="str">
        <f>_xll.PLContribFull(D138*100,"BID",U138,"Slot46","TICKER",3,,"Valid")</f>
        <v>-8.240 (12:14:42.761166)</v>
      </c>
      <c r="W138" s="5" t="str">
        <f>_xll.PLContribFull(K138*100,"ASK",U138,"Slot46","TICKER",3,,"Valid")</f>
        <v>-5.240 (12:14:42.750168)</v>
      </c>
      <c r="X138" s="3" t="s">
        <v>656</v>
      </c>
      <c r="Y138" s="14" t="str">
        <f>_xll.PLContribFull(E138*100,"BID",X138,"Slot46","TICKER",3,,"Valid")</f>
        <v>-0.180 (12:14:42.774166)</v>
      </c>
      <c r="Z138" s="14" t="str">
        <f>_xll.PLContribFull(L138*100,"ASK",X138,"Slot46","TICKER",3,,"Valid")</f>
        <v>1.020 (12:14:42.767165)</v>
      </c>
      <c r="AA138" s="3" t="s">
        <v>666</v>
      </c>
      <c r="AB138" s="14" t="str">
        <f>_xll.PLContribFull(F138*100,"BID",AA138,"Slot46","TICKER",3,,"Valid")</f>
        <v>0.290 (12:14:42.777166)</v>
      </c>
      <c r="AC138" s="5" t="str">
        <f>_xll.PLContribFull(M138*100,"ASK",AA138,"Slot46","TICKER",3,,"Valid")</f>
        <v>2.690 (12:14:42.775167)</v>
      </c>
      <c r="AD138" s="16"/>
    </row>
    <row r="139" spans="1:30" x14ac:dyDescent="0.2">
      <c r="A139" s="12" t="s">
        <v>6</v>
      </c>
      <c r="B139" s="11">
        <f>'G7 Input'!Q129</f>
        <v>0.10489999999999999</v>
      </c>
      <c r="C139" s="11">
        <f>'G7 Input'!R129</f>
        <v>-2.9599999999999998E-2</v>
      </c>
      <c r="D139" s="11">
        <f>'G7 Input'!S129</f>
        <v>-5.8399999999999994E-2</v>
      </c>
      <c r="E139" s="11">
        <f>'G7 Input'!T129</f>
        <v>1.2999999999999999E-3</v>
      </c>
      <c r="F139" s="11">
        <f>'G7 Input'!U129</f>
        <v>7.7999999999999996E-3</v>
      </c>
      <c r="H139" s="10" t="s">
        <v>6</v>
      </c>
      <c r="I139" s="11">
        <f>'G7 Input'!X129</f>
        <v>0.12489999999999998</v>
      </c>
      <c r="J139" s="11">
        <f>'G7 Input'!Y129</f>
        <v>-2.46E-2</v>
      </c>
      <c r="K139" s="11">
        <f>'G7 Input'!Z129</f>
        <v>-4.8399999999999999E-2</v>
      </c>
      <c r="L139" s="11">
        <f>'G7 Input'!AA129</f>
        <v>5.3E-3</v>
      </c>
      <c r="M139" s="11">
        <f>'G7 Input'!AB129</f>
        <v>1.5800000000000002E-2</v>
      </c>
      <c r="O139" s="3" t="s">
        <v>627</v>
      </c>
      <c r="P139" s="14" t="str">
        <f>_xll.PLContribFull(B139*100,"BID",O139,"Slot46","TICKER",3,,"Valid")</f>
        <v>10.490 (12:14:42.763166)</v>
      </c>
      <c r="Q139" s="5" t="str">
        <f>_xll.PLContribFull(I139*100,"ASK",O139,"Slot46","TICKER",3,,"Valid")</f>
        <v>12.490 (12:14:42.776167)</v>
      </c>
      <c r="R139" s="3" t="s">
        <v>637</v>
      </c>
      <c r="S139" s="14" t="str">
        <f>_xll.PLContribFull(C139*100,"BID",R139,"Slot46","TICKER",3,,"Valid")</f>
        <v>-2.960 (12:14:42.775167)</v>
      </c>
      <c r="T139" s="14" t="str">
        <f>_xll.PLContribFull(J139*100,"ASK",R139,"Slot46","TICKER",3,,"Valid")</f>
        <v>-2.460 (12:14:42.770167)</v>
      </c>
      <c r="U139" s="3" t="s">
        <v>647</v>
      </c>
      <c r="V139" s="14" t="str">
        <f>_xll.PLContribFull(D139*100,"BID",U139,"Slot46","TICKER",3,,"Valid")</f>
        <v>-5.840 (12:14:42.776167)</v>
      </c>
      <c r="W139" s="5" t="str">
        <f>_xll.PLContribFull(K139*100,"ASK",U139,"Slot46","TICKER",3,,"Valid")</f>
        <v>-4.840 (12:14:42.767165)</v>
      </c>
      <c r="X139" s="3" t="s">
        <v>657</v>
      </c>
      <c r="Y139" s="14" t="str">
        <f>_xll.PLContribFull(E139*100,"BID",X139,"Slot46","TICKER",3,,"Valid")</f>
        <v>0.130 (12:14:42.774166)</v>
      </c>
      <c r="Z139" s="14" t="str">
        <f>_xll.PLContribFull(L139*100,"ASK",X139,"Slot46","TICKER",3,,"Valid")</f>
        <v>0.530 (12:14:42.774166)</v>
      </c>
      <c r="AA139" s="3" t="s">
        <v>667</v>
      </c>
      <c r="AB139" s="14" t="str">
        <f>_xll.PLContribFull(F139*100,"BID",AA139,"Slot46","TICKER",3,,"Valid")</f>
        <v>0.780 (12:14:42.775167)</v>
      </c>
      <c r="AC139" s="5" t="str">
        <f>_xll.PLContribFull(M139*100,"ASK",AA139,"Slot46","TICKER",3,,"Valid")</f>
        <v>1.580 (12:14:42.777166)</v>
      </c>
      <c r="AD139" s="16"/>
    </row>
    <row r="140" spans="1:30" x14ac:dyDescent="0.2">
      <c r="A140" s="12" t="s">
        <v>7</v>
      </c>
      <c r="B140" s="11">
        <f>'G7 Input'!Q130</f>
        <v>0.10369999999999999</v>
      </c>
      <c r="C140" s="11">
        <f>'G7 Input'!R130</f>
        <v>-2.6699999999999998E-2</v>
      </c>
      <c r="D140" s="11">
        <f>'G7 Input'!S130</f>
        <v>-5.2600000000000001E-2</v>
      </c>
      <c r="E140" s="11">
        <f>'G7 Input'!T130</f>
        <v>2.0999999999999999E-3</v>
      </c>
      <c r="F140" s="11">
        <f>'G7 Input'!U130</f>
        <v>8.8000000000000005E-3</v>
      </c>
      <c r="H140" s="10" t="s">
        <v>7</v>
      </c>
      <c r="I140" s="11">
        <f>'G7 Input'!X130</f>
        <v>0.1207</v>
      </c>
      <c r="J140" s="11">
        <f>'G7 Input'!Y130</f>
        <v>-2.4699999999999996E-2</v>
      </c>
      <c r="K140" s="11">
        <f>'G7 Input'!Z130</f>
        <v>-4.8599999999999997E-2</v>
      </c>
      <c r="L140" s="11">
        <f>'G7 Input'!AA130</f>
        <v>4.0999999999999995E-3</v>
      </c>
      <c r="M140" s="11">
        <f>'G7 Input'!AB130</f>
        <v>1.2800000000000001E-2</v>
      </c>
      <c r="O140" s="3" t="s">
        <v>628</v>
      </c>
      <c r="P140" s="14" t="str">
        <f>_xll.PLContribFull(B140*100,"BID",O140,"Slot46","TICKER",3,,"Valid")</f>
        <v>10.370 (12:14:42.760167)</v>
      </c>
      <c r="Q140" s="5" t="str">
        <f>_xll.PLContribFull(I140*100,"ASK",O140,"Slot46","TICKER",3,,"Valid")</f>
        <v>12.070 (12:14:42.778167)</v>
      </c>
      <c r="R140" s="3" t="s">
        <v>638</v>
      </c>
      <c r="S140" s="14" t="str">
        <f>_xll.PLContribFull(C140*100,"BID",R140,"Slot46","TICKER",3,,"Valid")</f>
        <v>-2.670 (12:14:42.765166)</v>
      </c>
      <c r="T140" s="14" t="str">
        <f>_xll.PLContribFull(J140*100,"ASK",R140,"Slot46","TICKER",3,,"Valid")</f>
        <v>-2.470 (12:14:42.771168)</v>
      </c>
      <c r="U140" s="3" t="s">
        <v>648</v>
      </c>
      <c r="V140" s="14" t="str">
        <f>_xll.PLContribFull(D140*100,"BID",U140,"Slot46","TICKER",3,,"Valid")</f>
        <v>-5.260 (12:14:42.779168)</v>
      </c>
      <c r="W140" s="5" t="str">
        <f>_xll.PLContribFull(K140*100,"ASK",U140,"Slot46","TICKER",3,,"Valid")</f>
        <v>-4.860 (12:14:42.759166)</v>
      </c>
      <c r="X140" s="3" t="s">
        <v>658</v>
      </c>
      <c r="Y140" s="14" t="str">
        <f>_xll.PLContribFull(E140*100,"BID",X140,"Slot46","TICKER",3,,"Valid")</f>
        <v>0.210 (12:14:42.742167)</v>
      </c>
      <c r="Z140" s="14" t="str">
        <f>_xll.PLContribFull(L140*100,"ASK",X140,"Slot46","TICKER",3,,"Valid")</f>
        <v>0.410 (12:14:42.778167)</v>
      </c>
      <c r="AA140" s="3" t="s">
        <v>668</v>
      </c>
      <c r="AB140" s="14" t="str">
        <f>_xll.PLContribFull(F140*100,"BID",AA140,"Slot46","TICKER",3,,"Valid")</f>
        <v>0.880 (12:14:42.751168)</v>
      </c>
      <c r="AC140" s="5" t="str">
        <f>_xll.PLContribFull(M140*100,"ASK",AA140,"Slot46","TICKER",3,,"Valid")</f>
        <v>1.280 (12:14:42.773167)</v>
      </c>
      <c r="AD140" s="16"/>
    </row>
    <row r="141" spans="1:30" x14ac:dyDescent="0.2">
      <c r="A141" s="12" t="s">
        <v>8</v>
      </c>
      <c r="B141" s="11">
        <f>'G7 Input'!Q131</f>
        <v>9.8600000000000007E-2</v>
      </c>
      <c r="C141" s="11">
        <f>'G7 Input'!R131</f>
        <v>-2.4700000000000003E-2</v>
      </c>
      <c r="D141" s="11">
        <f>'G7 Input'!S131</f>
        <v>-4.87E-2</v>
      </c>
      <c r="E141" s="11">
        <f>'G7 Input'!T131</f>
        <v>1.8000000000000004E-3</v>
      </c>
      <c r="F141" s="11">
        <f>'G7 Input'!U131</f>
        <v>7.7999999999999996E-3</v>
      </c>
      <c r="H141" s="10" t="s">
        <v>8</v>
      </c>
      <c r="I141" s="11">
        <f>'G7 Input'!X131</f>
        <v>0.11160000000000002</v>
      </c>
      <c r="J141" s="11">
        <f>'G7 Input'!Y131</f>
        <v>-2.2700000000000001E-2</v>
      </c>
      <c r="K141" s="11">
        <f>'G7 Input'!Z131</f>
        <v>-4.4699999999999997E-2</v>
      </c>
      <c r="L141" s="11">
        <f>'G7 Input'!AA131</f>
        <v>3.8000000000000004E-3</v>
      </c>
      <c r="M141" s="11">
        <f>'G7 Input'!AB131</f>
        <v>1.18E-2</v>
      </c>
      <c r="O141" s="3" t="s">
        <v>629</v>
      </c>
      <c r="P141" s="14" t="str">
        <f>_xll.PLContribFull(B141*100,"BID",O141,"Slot46","TICKER",3,,"Valid")</f>
        <v>9.860 (12:14:42.770167)</v>
      </c>
      <c r="Q141" s="5" t="str">
        <f>_xll.PLContribFull(I141*100,"ASK",O141,"Slot46","TICKER",3,,"Valid")</f>
        <v>11.160 (12:14:42.766166)</v>
      </c>
      <c r="R141" s="3" t="s">
        <v>639</v>
      </c>
      <c r="S141" s="14" t="str">
        <f>_xll.PLContribFull(C141*100,"BID",R141,"Slot46","TICKER",3,,"Valid")</f>
        <v>-2.470 (12:14:42.765166)</v>
      </c>
      <c r="T141" s="14" t="str">
        <f>_xll.PLContribFull(J141*100,"ASK",R141,"Slot46","TICKER",3,,"Valid")</f>
        <v>-2.270 (12:14:42.754169)</v>
      </c>
      <c r="U141" s="3" t="s">
        <v>649</v>
      </c>
      <c r="V141" s="14" t="str">
        <f>_xll.PLContribFull(D141*100,"BID",U141,"Slot46","TICKER",3,,"Valid")</f>
        <v>-4.870 (12:14:42.763166)</v>
      </c>
      <c r="W141" s="5" t="str">
        <f>_xll.PLContribFull(K141*100,"ASK",U141,"Slot46","TICKER",3,,"Valid")</f>
        <v>-4.470 (12:14:42.766166)</v>
      </c>
      <c r="X141" s="3" t="s">
        <v>659</v>
      </c>
      <c r="Y141" s="14" t="str">
        <f>_xll.PLContribFull(E141*100,"BID",X141,"Slot46","TICKER",3,,"Valid")</f>
        <v>0.180 (12:14:42.761166)</v>
      </c>
      <c r="Z141" s="14" t="str">
        <f>_xll.PLContribFull(L141*100,"ASK",X141,"Slot46","TICKER",3,,"Valid")</f>
        <v>0.380 (12:14:42.741170)</v>
      </c>
      <c r="AA141" s="3" t="s">
        <v>669</v>
      </c>
      <c r="AB141" s="14" t="str">
        <f>_xll.PLContribFull(F141*100,"BID",AA141,"Slot46","TICKER",3,,"Valid")</f>
        <v>0.780 (12:14:42.764166)</v>
      </c>
      <c r="AC141" s="5" t="str">
        <f>_xll.PLContribFull(M141*100,"ASK",AA141,"Slot46","TICKER",3,,"Valid")</f>
        <v>1.180 (12:14:42.754169)</v>
      </c>
      <c r="AD141" s="16"/>
    </row>
    <row r="142" spans="1:30" x14ac:dyDescent="0.2">
      <c r="A142" s="12" t="s">
        <v>9</v>
      </c>
      <c r="B142" s="11">
        <f>'G7 Input'!Q132</f>
        <v>9.1350000000000015E-2</v>
      </c>
      <c r="C142" s="11">
        <f>'G7 Input'!R132</f>
        <v>-2.2200000000000001E-2</v>
      </c>
      <c r="D142" s="11">
        <f>'G7 Input'!S132</f>
        <v>-4.3900000000000008E-2</v>
      </c>
      <c r="E142" s="11">
        <f>'G7 Input'!T132</f>
        <v>1.8999999999999998E-3</v>
      </c>
      <c r="F142" s="11">
        <f>'G7 Input'!U132</f>
        <v>8.0999999999999996E-3</v>
      </c>
      <c r="H142" s="10" t="s">
        <v>9</v>
      </c>
      <c r="I142" s="11">
        <f>'G7 Input'!X132</f>
        <v>0.10405</v>
      </c>
      <c r="J142" s="11">
        <f>'G7 Input'!Y132</f>
        <v>-2.0199999999999999E-2</v>
      </c>
      <c r="K142" s="11">
        <f>'G7 Input'!Z132</f>
        <v>-3.9900000000000005E-2</v>
      </c>
      <c r="L142" s="11">
        <f>'G7 Input'!AA132</f>
        <v>3.8999999999999998E-3</v>
      </c>
      <c r="M142" s="11">
        <f>'G7 Input'!AB132</f>
        <v>1.21E-2</v>
      </c>
      <c r="O142" s="3" t="s">
        <v>630</v>
      </c>
      <c r="P142" s="14" t="str">
        <f>_xll.PLContribFull(B142*100,"BID",O142,"Slot46","TICKER",3,,"Valid")</f>
        <v>9.135 (12:14:42.765166)</v>
      </c>
      <c r="Q142" s="5" t="str">
        <f>_xll.PLContribFull(I142*100,"ASK",O142,"Slot46","TICKER",3,,"Valid")</f>
        <v>10.405 (12:14:42.765166)</v>
      </c>
      <c r="R142" s="3" t="s">
        <v>640</v>
      </c>
      <c r="S142" s="14" t="str">
        <f>_xll.PLContribFull(C142*100,"BID",R142,"Slot46","TICKER",3,,"Valid")</f>
        <v>-2.220 (12:14:42.763166)</v>
      </c>
      <c r="T142" s="14" t="str">
        <f>_xll.PLContribFull(J142*100,"ASK",R142,"Slot46","TICKER",3,,"Valid")</f>
        <v>-2.020 (12:14:42.765166)</v>
      </c>
      <c r="U142" s="3" t="s">
        <v>650</v>
      </c>
      <c r="V142" s="14" t="str">
        <f>_xll.PLContribFull(D142*100,"BID",U142,"Slot46","TICKER",3,,"Valid")</f>
        <v>-4.390 (12:14:42.752166)</v>
      </c>
      <c r="W142" s="5" t="str">
        <f>_xll.PLContribFull(K142*100,"ASK",U142,"Slot46","TICKER",3,,"Valid")</f>
        <v>-3.990 (12:14:42.777166)</v>
      </c>
      <c r="X142" s="3" t="s">
        <v>660</v>
      </c>
      <c r="Y142" s="14" t="str">
        <f>_xll.PLContribFull(E142*100,"BID",X142,"Slot46","TICKER",3,,"Valid")</f>
        <v>0.190 (12:14:42.764166)</v>
      </c>
      <c r="Z142" s="14" t="str">
        <f>_xll.PLContribFull(L142*100,"ASK",X142,"Slot46","TICKER",3,,"Valid")</f>
        <v>0.390 (12:14:42.770167)</v>
      </c>
      <c r="AA142" s="3" t="s">
        <v>670</v>
      </c>
      <c r="AB142" s="14" t="str">
        <f>_xll.PLContribFull(F142*100,"BID",AA142,"Slot46","TICKER",3,,"Valid")</f>
        <v>0.810 (12:14:42.777166)</v>
      </c>
      <c r="AC142" s="5" t="str">
        <f>_xll.PLContribFull(M142*100,"ASK",AA142,"Slot46","TICKER",3,,"Valid")</f>
        <v>1.210 (12:14:42.777166)</v>
      </c>
      <c r="AD142" s="16"/>
    </row>
    <row r="143" spans="1:30" x14ac:dyDescent="0.2">
      <c r="A143" s="12" t="s">
        <v>10</v>
      </c>
      <c r="B143" s="11">
        <f>'G7 Input'!Q133</f>
        <v>8.7899999999999992E-2</v>
      </c>
      <c r="C143" s="11">
        <f>'G7 Input'!R133</f>
        <v>-2.0400000000000001E-2</v>
      </c>
      <c r="D143" s="11">
        <f>'G7 Input'!S133</f>
        <v>-4.0599999999999997E-2</v>
      </c>
      <c r="E143" s="11">
        <f>'G7 Input'!T133</f>
        <v>2.0999999999999999E-3</v>
      </c>
      <c r="F143" s="11">
        <f>'G7 Input'!U133</f>
        <v>8.6E-3</v>
      </c>
      <c r="H143" s="10" t="s">
        <v>10</v>
      </c>
      <c r="I143" s="11">
        <f>'G7 Input'!X133</f>
        <v>0.1009</v>
      </c>
      <c r="J143" s="11">
        <f>'G7 Input'!Y133</f>
        <v>-1.84E-2</v>
      </c>
      <c r="K143" s="11">
        <f>'G7 Input'!Z133</f>
        <v>-3.6599999999999994E-2</v>
      </c>
      <c r="L143" s="11">
        <f>'G7 Input'!AA133</f>
        <v>4.0999999999999995E-3</v>
      </c>
      <c r="M143" s="11">
        <f>'G7 Input'!AB133</f>
        <v>1.26E-2</v>
      </c>
      <c r="O143" s="3" t="s">
        <v>631</v>
      </c>
      <c r="P143" s="14" t="str">
        <f>_xll.PLContribFull(B143*100,"BID",O143,"Slot46","TICKER",3,,"Valid")</f>
        <v>8.790 (12:14:42.764166)</v>
      </c>
      <c r="Q143" s="5" t="str">
        <f>_xll.PLContribFull(I143*100,"ASK",O143,"Slot46","TICKER",3,,"Valid")</f>
        <v>10.090 (12:14:42.760167)</v>
      </c>
      <c r="R143" s="3" t="s">
        <v>641</v>
      </c>
      <c r="S143" s="14" t="str">
        <f>_xll.PLContribFull(C143*100,"BID",R143,"Slot46","TICKER",3,,"Valid")</f>
        <v>-2.040 (12:14:42.775167)</v>
      </c>
      <c r="T143" s="14" t="str">
        <f>_xll.PLContribFull(J143*100,"ASK",R143,"Slot46","TICKER",3,,"Valid")</f>
        <v>-1.840 (12:14:42.745167)</v>
      </c>
      <c r="U143" s="3" t="s">
        <v>651</v>
      </c>
      <c r="V143" s="14" t="str">
        <f>_xll.PLContribFull(D143*100,"BID",U143,"Slot46","TICKER",3,,"Valid")</f>
        <v>-4.060 (12:14:42.767165)</v>
      </c>
      <c r="W143" s="5" t="str">
        <f>_xll.PLContribFull(K143*100,"ASK",U143,"Slot46","TICKER",3,,"Valid")</f>
        <v>-3.660 (12:14:42.775167)</v>
      </c>
      <c r="X143" s="3" t="s">
        <v>661</v>
      </c>
      <c r="Y143" s="14" t="str">
        <f>_xll.PLContribFull(E143*100,"BID",X143,"Slot46","TICKER",3,,"Valid")</f>
        <v>0.210 (12:14:42.776167)</v>
      </c>
      <c r="Z143" s="14" t="str">
        <f>_xll.PLContribFull(L143*100,"ASK",X143,"Slot46","TICKER",3,,"Valid")</f>
        <v>0.410 (12:14:42.778167)</v>
      </c>
      <c r="AA143" s="3" t="s">
        <v>671</v>
      </c>
      <c r="AB143" s="14" t="str">
        <f>_xll.PLContribFull(F143*100,"BID",AA143,"Slot46","TICKER",3,,"Valid")</f>
        <v>0.860 (12:14:42.758167)</v>
      </c>
      <c r="AC143" s="5" t="str">
        <f>_xll.PLContribFull(M143*100,"ASK",AA143,"Slot46","TICKER",3,,"Valid")</f>
        <v>1.260 (12:14:42.754169)</v>
      </c>
      <c r="AD143" s="16"/>
    </row>
    <row r="144" spans="1:30" x14ac:dyDescent="0.2">
      <c r="A144" s="12" t="s">
        <v>11</v>
      </c>
      <c r="B144" s="11">
        <f>'G7 Input'!Q134</f>
        <v>8.3199999999999996E-2</v>
      </c>
      <c r="C144" s="11">
        <f>'G7 Input'!R134</f>
        <v>-1.38E-2</v>
      </c>
      <c r="D144" s="11">
        <f>'G7 Input'!S134</f>
        <v>-2.8000000000000004E-2</v>
      </c>
      <c r="E144" s="11">
        <f>'G7 Input'!T134</f>
        <v>2.4000000000000002E-3</v>
      </c>
      <c r="F144" s="11">
        <f>'G7 Input'!U134</f>
        <v>9.8999999999999991E-3</v>
      </c>
      <c r="H144" s="10" t="s">
        <v>11</v>
      </c>
      <c r="I144" s="11">
        <f>'G7 Input'!X134</f>
        <v>9.6000000000000002E-2</v>
      </c>
      <c r="J144" s="11">
        <f>'G7 Input'!Y134</f>
        <v>-1.1800000000000001E-2</v>
      </c>
      <c r="K144" s="11">
        <f>'G7 Input'!Z134</f>
        <v>-2.4E-2</v>
      </c>
      <c r="L144" s="11">
        <f>'G7 Input'!AA134</f>
        <v>4.4000000000000003E-3</v>
      </c>
      <c r="M144" s="11">
        <f>'G7 Input'!AB134</f>
        <v>1.3899999999999999E-2</v>
      </c>
      <c r="O144" s="3" t="s">
        <v>632</v>
      </c>
      <c r="P144" s="14" t="str">
        <f>_xll.PLContribFull(B144*100,"BID",O144,"Slot46","TICKER",3,,"Valid")</f>
        <v>8.320 (12:14:42.770167)</v>
      </c>
      <c r="Q144" s="5" t="str">
        <f>_xll.PLContribFull(I144*100,"ASK",O144,"Slot46","TICKER",3,,"Valid")</f>
        <v>9.600 (12:14:42.772166)</v>
      </c>
      <c r="R144" s="3" t="s">
        <v>642</v>
      </c>
      <c r="S144" s="14" t="str">
        <f>_xll.PLContribFull(C144*100,"BID",R144,"Slot46","TICKER",3,,"Valid")</f>
        <v>-1.380 (12:14:42.775167)</v>
      </c>
      <c r="T144" s="14" t="str">
        <f>_xll.PLContribFull(J144*100,"ASK",R144,"Slot46","TICKER",3,,"Valid")</f>
        <v>-1.180 (12:14:42.767165)</v>
      </c>
      <c r="U144" s="3" t="s">
        <v>652</v>
      </c>
      <c r="V144" s="14" t="str">
        <f>_xll.PLContribFull(D144*100,"BID",U144,"Slot46","TICKER",3,,"Valid")</f>
        <v>-2.800 (12:14:42.762166)</v>
      </c>
      <c r="W144" s="5" t="str">
        <f>_xll.PLContribFull(K144*100,"ASK",U144,"Slot46","TICKER",3,,"Valid")</f>
        <v>-2.400 (12:14:42.775167)</v>
      </c>
      <c r="X144" s="3" t="s">
        <v>662</v>
      </c>
      <c r="Y144" s="14" t="str">
        <f>_xll.PLContribFull(E144*100,"BID",X144,"Slot46","TICKER",3,,"Valid")</f>
        <v>0.240 (12:14:42.764166)</v>
      </c>
      <c r="Z144" s="14" t="str">
        <f>_xll.PLContribFull(L144*100,"ASK",X144,"Slot46","TICKER",3,,"Valid")</f>
        <v>0.440 (12:14:42.754169)</v>
      </c>
      <c r="AA144" s="3" t="s">
        <v>672</v>
      </c>
      <c r="AB144" s="14" t="str">
        <f>_xll.PLContribFull(F144*100,"BID",AA144,"Slot46","TICKER",3,,"Valid")</f>
        <v>0.990 (12:14:42.762166)</v>
      </c>
      <c r="AC144" s="5" t="str">
        <f>_xll.PLContribFull(M144*100,"ASK",AA144,"Slot46","TICKER",3,,"Valid")</f>
        <v>1.390 (12:14:42.750168)</v>
      </c>
      <c r="AD144" s="16"/>
    </row>
    <row r="145" spans="1:30" x14ac:dyDescent="0.2">
      <c r="A145" s="12" t="s">
        <v>12</v>
      </c>
      <c r="B145" s="11">
        <f>'G7 Input'!Q135</f>
        <v>8.1249999999999989E-2</v>
      </c>
      <c r="C145" s="11">
        <f>'G7 Input'!R135</f>
        <v>-8.3000000000000001E-3</v>
      </c>
      <c r="D145" s="11">
        <f>'G7 Input'!S135</f>
        <v>-1.72E-2</v>
      </c>
      <c r="E145" s="11">
        <f>'G7 Input'!T135</f>
        <v>2.5999999999999999E-3</v>
      </c>
      <c r="F145" s="11">
        <f>'G7 Input'!U135</f>
        <v>1.09E-2</v>
      </c>
      <c r="H145" s="10" t="s">
        <v>12</v>
      </c>
      <c r="I145" s="11">
        <f>'G7 Input'!X135</f>
        <v>9.3549999999999994E-2</v>
      </c>
      <c r="J145" s="11">
        <f>'G7 Input'!Y135</f>
        <v>-6.3E-3</v>
      </c>
      <c r="K145" s="11">
        <f>'G7 Input'!Z135</f>
        <v>-1.32E-2</v>
      </c>
      <c r="L145" s="11">
        <f>'G7 Input'!AA135</f>
        <v>4.5999999999999999E-3</v>
      </c>
      <c r="M145" s="11">
        <f>'G7 Input'!AB135</f>
        <v>1.49E-2</v>
      </c>
      <c r="O145" s="3" t="s">
        <v>633</v>
      </c>
      <c r="P145" s="14" t="str">
        <f>_xll.PLContribFull(B145*100,"BID",O145,"Slot46","TICKER",3,,"Valid")</f>
        <v>8.125 (12:14:42.772166)</v>
      </c>
      <c r="Q145" s="5" t="str">
        <f>_xll.PLContribFull(I145*100,"ASK",O145,"Slot46","TICKER",3,,"Valid")</f>
        <v>9.355 (12:14:42.764166)</v>
      </c>
      <c r="R145" s="3" t="s">
        <v>643</v>
      </c>
      <c r="S145" s="14" t="str">
        <f>_xll.PLContribFull(C145*100,"BID",R145,"Slot46","TICKER",3,,"Valid")</f>
        <v>-0.830 (12:14:42.767165)</v>
      </c>
      <c r="T145" s="14" t="str">
        <f>_xll.PLContribFull(J145*100,"ASK",R145,"Slot46","TICKER",3,,"Valid")</f>
        <v>-0.630 (12:14:42.776167)</v>
      </c>
      <c r="U145" s="3" t="s">
        <v>653</v>
      </c>
      <c r="V145" s="14" t="str">
        <f>_xll.PLContribFull(D145*100,"BID",U145,"Slot46","TICKER",3,,"Valid")</f>
        <v>-1.720 (12:14:42.742167)</v>
      </c>
      <c r="W145" s="5" t="str">
        <f>_xll.PLContribFull(K145*100,"ASK",U145,"Slot46","TICKER",3,,"Valid")</f>
        <v>-1.320 (12:14:42.759166)</v>
      </c>
      <c r="X145" s="3" t="s">
        <v>663</v>
      </c>
      <c r="Y145" s="14" t="str">
        <f>_xll.PLContribFull(E145*100,"BID",X145,"Slot46","TICKER",3,,"Valid")</f>
        <v>0.260 (12:14:42.765166)</v>
      </c>
      <c r="Z145" s="14" t="str">
        <f>_xll.PLContribFull(L145*100,"ASK",X145,"Slot46","TICKER",3,,"Valid")</f>
        <v>0.460 (12:14:42.775167)</v>
      </c>
      <c r="AA145" s="3" t="s">
        <v>673</v>
      </c>
      <c r="AB145" s="14" t="str">
        <f>_xll.PLContribFull(F145*100,"BID",AA145,"Slot46","TICKER",3,,"Valid")</f>
        <v>1.090 (12:14:42.766166)</v>
      </c>
      <c r="AC145" s="5" t="str">
        <f>_xll.PLContribFull(M145*100,"ASK",AA145,"Slot46","TICKER",3,,"Valid")</f>
        <v>1.490 (12:14:42.748167)</v>
      </c>
      <c r="AD145" s="16"/>
    </row>
    <row r="146" spans="1:30" x14ac:dyDescent="0.2">
      <c r="A146" s="12" t="s">
        <v>13</v>
      </c>
      <c r="B146" s="11">
        <f>'G7 Input'!Q136</f>
        <v>8.0349999999999991E-2</v>
      </c>
      <c r="C146" s="11">
        <f>'G7 Input'!R136</f>
        <v>-5.4000000000000003E-3</v>
      </c>
      <c r="D146" s="11">
        <f>'G7 Input'!S136</f>
        <v>-1.17E-2</v>
      </c>
      <c r="E146" s="11">
        <f>'G7 Input'!T136</f>
        <v>2.5999999999999999E-3</v>
      </c>
      <c r="F146" s="11">
        <f>'G7 Input'!U136</f>
        <v>1.1300000000000001E-2</v>
      </c>
      <c r="H146" s="10" t="s">
        <v>13</v>
      </c>
      <c r="I146" s="11">
        <f>'G7 Input'!X136</f>
        <v>9.2649999999999996E-2</v>
      </c>
      <c r="J146" s="11">
        <f>'G7 Input'!Y136</f>
        <v>-3.4000000000000002E-3</v>
      </c>
      <c r="K146" s="11">
        <f>'G7 Input'!Z136</f>
        <v>-7.7000000000000002E-3</v>
      </c>
      <c r="L146" s="11">
        <f>'G7 Input'!AA136</f>
        <v>4.5999999999999999E-3</v>
      </c>
      <c r="M146" s="11">
        <f>'G7 Input'!AB136</f>
        <v>1.5300000000000001E-2</v>
      </c>
      <c r="O146" s="3" t="s">
        <v>634</v>
      </c>
      <c r="P146" s="14" t="str">
        <f>_xll.PLContribFull(B146*100,"BID",O146,"Slot46","TICKER",3,,"Valid")</f>
        <v>8.035 (12:14:42.774166)</v>
      </c>
      <c r="Q146" s="5" t="str">
        <f>_xll.PLContribFull(I146*100,"ASK",O146,"Slot46","TICKER",3,,"Valid")</f>
        <v>9.265 (12:14:42.761166)</v>
      </c>
      <c r="R146" s="3" t="s">
        <v>644</v>
      </c>
      <c r="S146" s="14" t="str">
        <f>_xll.PLContribFull(C146*100,"BID",R146,"Slot46","TICKER",3,,"Valid")</f>
        <v>-0.540 (12:14:42.763166)</v>
      </c>
      <c r="T146" s="14" t="str">
        <f>_xll.PLContribFull(J146*100,"ASK",R146,"Slot46","TICKER",3,,"Valid")</f>
        <v>-0.340 (12:14:42.765166)</v>
      </c>
      <c r="U146" s="3" t="s">
        <v>654</v>
      </c>
      <c r="V146" s="14" t="str">
        <f>_xll.PLContribFull(D146*100,"BID",U146,"Slot46","TICKER",3,,"Valid")</f>
        <v>-1.170 (12:14:42.777166)</v>
      </c>
      <c r="W146" s="5" t="str">
        <f>_xll.PLContribFull(K146*100,"ASK",U146,"Slot46","TICKER",3,,"Valid")</f>
        <v>-0.770 (12:14:42.778167)</v>
      </c>
      <c r="X146" s="3" t="s">
        <v>664</v>
      </c>
      <c r="Y146" s="14" t="str">
        <f>_xll.PLContribFull(E146*100,"BID",X146,"Slot46","TICKER",3,,"Valid")</f>
        <v>0.260 (12:14:42.761166)</v>
      </c>
      <c r="Z146" s="14" t="str">
        <f>_xll.PLContribFull(L146*100,"ASK",X146,"Slot46","TICKER",3,,"Valid")</f>
        <v>0.460 (12:14:42.755167)</v>
      </c>
      <c r="AA146" s="3" t="s">
        <v>674</v>
      </c>
      <c r="AB146" s="14" t="str">
        <f>_xll.PLContribFull(F146*100,"BID",AA146,"Slot46","TICKER",3,,"Valid")</f>
        <v>1.130 (12:14:42.776167)</v>
      </c>
      <c r="AC146" s="5" t="str">
        <f>_xll.PLContribFull(M146*100,"ASK",AA146,"Slot46","TICKER",3,,"Valid")</f>
        <v>1.530 (12:14:42.778167)</v>
      </c>
      <c r="AD146" s="16"/>
    </row>
    <row r="147" spans="1:30" x14ac:dyDescent="0.2">
      <c r="A147" s="12" t="s">
        <v>14</v>
      </c>
      <c r="B147" s="11">
        <f>'G7 Input'!Q137</f>
        <v>8.4199999999999997E-2</v>
      </c>
      <c r="C147" s="11">
        <f>'G7 Input'!R137</f>
        <v>-1.9E-3</v>
      </c>
      <c r="D147" s="11">
        <f>'G7 Input'!S137</f>
        <v>-5.4000000000000003E-3</v>
      </c>
      <c r="E147" s="11">
        <f>'G7 Input'!T137</f>
        <v>3.0000000000000001E-3</v>
      </c>
      <c r="F147" s="11">
        <f>'G7 Input'!U137</f>
        <v>1.32E-2</v>
      </c>
      <c r="H147" s="10" t="s">
        <v>14</v>
      </c>
      <c r="I147" s="11">
        <f>'G7 Input'!X137</f>
        <v>9.5799999999999996E-2</v>
      </c>
      <c r="J147" s="11">
        <f>'G7 Input'!Y137</f>
        <v>1.0000000000000005E-4</v>
      </c>
      <c r="K147" s="11">
        <f>'G7 Input'!Z137</f>
        <v>-1.4000000000000002E-3</v>
      </c>
      <c r="L147" s="11">
        <f>'G7 Input'!AA137</f>
        <v>5.0000000000000001E-3</v>
      </c>
      <c r="M147" s="11">
        <f>'G7 Input'!AB137</f>
        <v>1.72E-2</v>
      </c>
      <c r="O147" s="3" t="s">
        <v>635</v>
      </c>
      <c r="P147" s="14" t="str">
        <f>_xll.PLContribFull(B147*100,"BID",O147,"Slot46","TICKER",3,,"Valid")</f>
        <v>8.420 (12:14:42.779168)</v>
      </c>
      <c r="Q147" s="5" t="str">
        <f>_xll.PLContribFull(I147*100,"ASK",O147,"Slot46","TICKER",3,,"Valid")</f>
        <v>9.580 (12:14:42.761166)</v>
      </c>
      <c r="R147" s="3" t="s">
        <v>645</v>
      </c>
      <c r="S147" s="14" t="str">
        <f>_xll.PLContribFull(C147*100,"BID",R147,"Slot46","TICKER",3,,"Valid")</f>
        <v>-0.190 (12:14:42.770167)</v>
      </c>
      <c r="T147" s="14" t="str">
        <f>_xll.PLContribFull(J147*100,"ASK",R147,"Slot46","TICKER",3,,"Valid")</f>
        <v>0.010 (12:14:42.778167)</v>
      </c>
      <c r="U147" s="3" t="s">
        <v>655</v>
      </c>
      <c r="V147" s="14" t="str">
        <f>_xll.PLContribFull(D147*100,"BID",U147,"Slot46","TICKER",3,,"Valid")</f>
        <v>-0.540 (12:14:42.778167)</v>
      </c>
      <c r="W147" s="5" t="str">
        <f>_xll.PLContribFull(K147*100,"ASK",U147,"Slot46","TICKER",3,,"Valid")</f>
        <v>-0.140 (12:14:42.740168)</v>
      </c>
      <c r="X147" s="3" t="s">
        <v>665</v>
      </c>
      <c r="Y147" s="14" t="str">
        <f>_xll.PLContribFull(E147*100,"BID",X147,"Slot46","TICKER",3,,"Valid")</f>
        <v>0.300 (12:14:42.770167)</v>
      </c>
      <c r="Z147" s="14" t="str">
        <f>_xll.PLContribFull(L147*100,"ASK",X147,"Slot46","TICKER",3,,"Valid")</f>
        <v>0.500 (12:14:42.756167)</v>
      </c>
      <c r="AA147" s="3" t="s">
        <v>675</v>
      </c>
      <c r="AB147" s="14" t="str">
        <f>_xll.PLContribFull(F147*100,"BID",AA147,"Slot46","TICKER",3,,"Valid")</f>
        <v>1.320 (12:14:42.753167)</v>
      </c>
      <c r="AC147" s="5" t="str">
        <f>_xll.PLContribFull(M147*100,"ASK",AA147,"Slot46","TICKER",3,,"Valid")</f>
        <v>1.720 (12:14:42.773167)</v>
      </c>
      <c r="AD147" s="16"/>
    </row>
    <row r="148" spans="1:30" x14ac:dyDescent="0.2">
      <c r="A148" s="12" t="s">
        <v>876</v>
      </c>
      <c r="B148" s="11">
        <f>'G7 Input'!Q138</f>
        <v>8.475000000000002E-2</v>
      </c>
      <c r="C148" s="11">
        <f>'G7 Input'!R138</f>
        <v>-1E-3</v>
      </c>
      <c r="D148" s="11">
        <f>'G7 Input'!S138</f>
        <v>-4.0999999999999995E-3</v>
      </c>
      <c r="E148" s="11">
        <f>'G7 Input'!T138</f>
        <v>3.4000000000000002E-3</v>
      </c>
      <c r="F148" s="11">
        <f>'G7 Input'!U138</f>
        <v>1.4799999999999999E-2</v>
      </c>
      <c r="H148" s="10" t="s">
        <v>876</v>
      </c>
      <c r="I148" s="11">
        <f>'G7 Input'!X138</f>
        <v>9.5450000000000007E-2</v>
      </c>
      <c r="J148" s="11">
        <f>'G7 Input'!Y138</f>
        <v>1E-3</v>
      </c>
      <c r="K148" s="11">
        <f>'G7 Input'!Z138</f>
        <v>-9.9999999999999829E-5</v>
      </c>
      <c r="L148" s="11">
        <f>'G7 Input'!AA138</f>
        <v>5.4000000000000003E-3</v>
      </c>
      <c r="M148" s="11">
        <f>'G7 Input'!AB138</f>
        <v>1.8799999999999997E-2</v>
      </c>
      <c r="O148" s="3" t="s">
        <v>932</v>
      </c>
      <c r="P148" s="14" t="str">
        <f>_xll.PLContribFull(B148*100,"BID",O148,"Slot46","TICKER",3,,"Valid")</f>
        <v>8.475 (12:14:42.776167)</v>
      </c>
      <c r="Q148" s="5" t="str">
        <f>_xll.PLContribFull(I148*100,"ASK",O148,"Slot46","TICKER",3,,"Valid")</f>
        <v>9.545 (12:14:42.772166)</v>
      </c>
      <c r="R148" s="3" t="s">
        <v>933</v>
      </c>
      <c r="S148" s="14" t="str">
        <f>_xll.PLContribFull(C148*100,"BID",R148,"Slot46","TICKER",3,,"Valid")</f>
        <v>-0.100 (12:14:42.760167)</v>
      </c>
      <c r="T148" s="14" t="str">
        <f>_xll.PLContribFull(J148*100,"ASK",R148,"Slot46","TICKER",3,,"Valid")</f>
        <v>0.100 (12:14:42.753167)</v>
      </c>
      <c r="U148" s="3" t="s">
        <v>934</v>
      </c>
      <c r="V148" s="14" t="str">
        <f>_xll.PLContribFull(D148*100,"BID",U148,"Slot46","TICKER",3,,"Valid")</f>
        <v>-0.410 (12:14:42.762166)</v>
      </c>
      <c r="W148" s="5" t="str">
        <f>_xll.PLContribFull(K148*100,"ASK",U148,"Slot46","TICKER",3,,"Valid")</f>
        <v>-0.010 (12:14:42.764166)</v>
      </c>
      <c r="X148" s="3" t="s">
        <v>935</v>
      </c>
      <c r="Y148" s="14" t="str">
        <f>_xll.PLContribFull(E148*100,"BID",X148,"Slot46","TICKER",3,,"Valid")</f>
        <v>0.340 (12:14:42.770167)</v>
      </c>
      <c r="Z148" s="14" t="str">
        <f>_xll.PLContribFull(L148*100,"ASK",X148,"Slot46","TICKER",3,,"Valid")</f>
        <v>0.540 (12:14:42.754169)</v>
      </c>
      <c r="AA148" s="3" t="s">
        <v>936</v>
      </c>
      <c r="AB148" s="14" t="str">
        <f>_xll.PLContribFull(F148*100,"BID",AA148,"Slot46","TICKER",3,,"Valid")</f>
        <v>1.480 (12:14:42.761166)</v>
      </c>
      <c r="AC148" s="5" t="str">
        <f>_xll.PLContribFull(M148*100,"ASK",AA148,"Slot46","TICKER",3,,"Valid")</f>
        <v>1.880 (12:14:42.764166)</v>
      </c>
      <c r="AD148" s="16"/>
    </row>
    <row r="151" spans="1:30" x14ac:dyDescent="0.25">
      <c r="A151" s="10" t="s">
        <v>334</v>
      </c>
      <c r="O151" s="3" t="s">
        <v>67</v>
      </c>
      <c r="P151" s="15" t="s">
        <v>68</v>
      </c>
      <c r="Q151" s="15"/>
      <c r="R151" s="3" t="s">
        <v>67</v>
      </c>
      <c r="S151" s="15" t="s">
        <v>68</v>
      </c>
      <c r="T151" s="15"/>
      <c r="U151" s="3" t="s">
        <v>67</v>
      </c>
      <c r="V151" s="15" t="s">
        <v>68</v>
      </c>
      <c r="W151" s="15"/>
      <c r="X151" s="3" t="s">
        <v>67</v>
      </c>
      <c r="Y151" s="15" t="s">
        <v>68</v>
      </c>
      <c r="Z151" s="6"/>
      <c r="AA151" s="3" t="s">
        <v>67</v>
      </c>
      <c r="AB151" s="15" t="s">
        <v>68</v>
      </c>
      <c r="AC151" s="6"/>
    </row>
    <row r="152" spans="1:30" ht="14.25" x14ac:dyDescent="0.25">
      <c r="A152" s="12" t="s">
        <v>331</v>
      </c>
      <c r="B152" s="12" t="s">
        <v>0</v>
      </c>
      <c r="C152" s="12" t="s">
        <v>1</v>
      </c>
      <c r="D152" s="12" t="s">
        <v>2</v>
      </c>
      <c r="E152" s="12" t="s">
        <v>3</v>
      </c>
      <c r="F152" s="12" t="s">
        <v>4</v>
      </c>
      <c r="H152" s="10" t="s">
        <v>332</v>
      </c>
      <c r="I152" s="10" t="s">
        <v>0</v>
      </c>
      <c r="J152" s="10" t="s">
        <v>1</v>
      </c>
      <c r="K152" s="10" t="s">
        <v>2</v>
      </c>
      <c r="L152" s="10" t="s">
        <v>3</v>
      </c>
      <c r="M152" s="10" t="s">
        <v>4</v>
      </c>
      <c r="O152" s="3" t="s">
        <v>66</v>
      </c>
      <c r="P152" s="13" t="s">
        <v>15</v>
      </c>
      <c r="Q152" s="13" t="s">
        <v>16</v>
      </c>
      <c r="R152" s="3" t="s">
        <v>1</v>
      </c>
      <c r="S152" s="13" t="s">
        <v>15</v>
      </c>
      <c r="T152" s="13" t="s">
        <v>16</v>
      </c>
      <c r="U152" s="3" t="s">
        <v>2</v>
      </c>
      <c r="V152" s="13" t="s">
        <v>15</v>
      </c>
      <c r="W152" s="13" t="s">
        <v>16</v>
      </c>
      <c r="X152" s="3" t="s">
        <v>3</v>
      </c>
      <c r="Y152" s="13" t="s">
        <v>15</v>
      </c>
      <c r="Z152" s="4" t="s">
        <v>16</v>
      </c>
      <c r="AA152" s="3" t="s">
        <v>4</v>
      </c>
      <c r="AB152" s="13" t="s">
        <v>15</v>
      </c>
      <c r="AC152" s="4" t="s">
        <v>16</v>
      </c>
      <c r="AD152" s="2"/>
    </row>
    <row r="153" spans="1:30" x14ac:dyDescent="0.2">
      <c r="A153" s="12" t="s">
        <v>5</v>
      </c>
      <c r="B153" s="11">
        <f>'G7 Input'!Q142</f>
        <v>7.884999999999999E-2</v>
      </c>
      <c r="C153" s="11">
        <f>'G7 Input'!R142</f>
        <v>-1.55E-2</v>
      </c>
      <c r="D153" s="11">
        <f>'G7 Input'!S142</f>
        <v>-3.0800000000000001E-2</v>
      </c>
      <c r="E153" s="11">
        <f>'G7 Input'!T142</f>
        <v>-6.7000000000000002E-3</v>
      </c>
      <c r="F153" s="11">
        <f>'G7 Input'!U142</f>
        <v>-1.1200000000000002E-2</v>
      </c>
      <c r="H153" s="10" t="s">
        <v>5</v>
      </c>
      <c r="I153" s="11">
        <f>'G7 Input'!X142</f>
        <v>9.5749999999999988E-2</v>
      </c>
      <c r="J153" s="11">
        <f>'G7 Input'!Y142</f>
        <v>8.5000000000000006E-3</v>
      </c>
      <c r="K153" s="11">
        <f>'G7 Input'!Z142</f>
        <v>1.72E-2</v>
      </c>
      <c r="L153" s="11">
        <f>'G7 Input'!AA142</f>
        <v>9.2999999999999992E-3</v>
      </c>
      <c r="M153" s="11">
        <f>'G7 Input'!AB142</f>
        <v>2.0799999999999999E-2</v>
      </c>
      <c r="O153" s="3" t="s">
        <v>72</v>
      </c>
      <c r="P153" s="14" t="str">
        <f>_xll.PLContribFull(B153*100,"BID",O153,"Slot46","TICKER",3,,"Valid")</f>
        <v>7.885 (12:14:42.775167)</v>
      </c>
      <c r="Q153" s="5" t="str">
        <f>_xll.PLContribFull(I153*100,"ASK",O153,"Slot46","TICKER",3,,"Valid")</f>
        <v>9.575 (12:14:42.771168)</v>
      </c>
      <c r="R153" s="3" t="s">
        <v>82</v>
      </c>
      <c r="S153" s="14" t="str">
        <f>_xll.PLContribFull(C153*100,"BID",R153,"Slot46","TICKER",3,,"Valid")</f>
        <v>-1.550 (12:14:42.772166)</v>
      </c>
      <c r="T153" s="14" t="str">
        <f>_xll.PLContribFull(J153*100,"ASK",R153,"Slot46","TICKER",3,,"Valid")</f>
        <v>0.850 (12:14:42.774166)</v>
      </c>
      <c r="U153" s="3" t="s">
        <v>92</v>
      </c>
      <c r="V153" s="14" t="str">
        <f>_xll.PLContribFull(D153*100,"BID",U153,"Slot46","TICKER",3,,"Valid")</f>
        <v>-3.080 (12:14:42.775167)</v>
      </c>
      <c r="W153" s="5" t="str">
        <f>_xll.PLContribFull(K153*100,"ASK",U153,"Slot46","TICKER",3,,"Valid")</f>
        <v>1.720 (12:14:42.755167)</v>
      </c>
      <c r="X153" s="3" t="s">
        <v>102</v>
      </c>
      <c r="Y153" s="14" t="str">
        <f>_xll.PLContribFull(E153*100,"BID",X153,"Slot46","TICKER",3,,"Valid")</f>
        <v>-0.670 (12:14:42.761166)</v>
      </c>
      <c r="Z153" s="14" t="str">
        <f>_xll.PLContribFull(L153*100,"ASK",X153,"Slot46","TICKER",3,,"Valid")</f>
        <v>0.930 (12:14:42.741170)</v>
      </c>
      <c r="AA153" s="3" t="s">
        <v>112</v>
      </c>
      <c r="AB153" s="14" t="str">
        <f>_xll.PLContribFull(F153*100,"BID",AA153,"Slot46","TICKER",3,,"Valid")</f>
        <v>-1.120 (12:14:42.770167)</v>
      </c>
      <c r="AC153" s="5" t="str">
        <f>_xll.PLContribFull(M153*100,"ASK",AA153,"Slot46","TICKER",3,,"Valid")</f>
        <v>2.080 (12:14:42.765166)</v>
      </c>
      <c r="AD153" s="16"/>
    </row>
    <row r="154" spans="1:30" x14ac:dyDescent="0.2">
      <c r="A154" s="12" t="s">
        <v>6</v>
      </c>
      <c r="B154" s="11">
        <f>'G7 Input'!Q143</f>
        <v>7.0349999999999996E-2</v>
      </c>
      <c r="C154" s="11">
        <f>'G7 Input'!R143</f>
        <v>-7.9000000000000008E-3</v>
      </c>
      <c r="D154" s="11">
        <f>'G7 Input'!S143</f>
        <v>-1.67E-2</v>
      </c>
      <c r="E154" s="11">
        <f>'G7 Input'!T143</f>
        <v>-1.5E-3</v>
      </c>
      <c r="F154" s="11">
        <f>'G7 Input'!U143</f>
        <v>-7.000000000000001E-4</v>
      </c>
      <c r="H154" s="10" t="s">
        <v>6</v>
      </c>
      <c r="I154" s="11">
        <f>'G7 Input'!X143</f>
        <v>8.1850000000000006E-2</v>
      </c>
      <c r="J154" s="11">
        <f>'G7 Input'!Y143</f>
        <v>9.9999999999999829E-5</v>
      </c>
      <c r="K154" s="11">
        <f>'G7 Input'!Z143</f>
        <v>-6.9999999999999923E-4</v>
      </c>
      <c r="L154" s="11">
        <f>'G7 Input'!AA143</f>
        <v>4.5000000000000005E-3</v>
      </c>
      <c r="M154" s="11">
        <f>'G7 Input'!AB143</f>
        <v>1.1300000000000001E-2</v>
      </c>
      <c r="O154" s="3" t="s">
        <v>73</v>
      </c>
      <c r="P154" s="14" t="str">
        <f>_xll.PLContribFull(B154*100,"BID",O154,"Slot46","TICKER",3,,"Valid")</f>
        <v>7.035 (12:14:42.745167)</v>
      </c>
      <c r="Q154" s="5" t="str">
        <f>_xll.PLContribFull(I154*100,"ASK",O154,"Slot46","TICKER",3,,"Valid")</f>
        <v>8.185 (12:14:42.767165)</v>
      </c>
      <c r="R154" s="3" t="s">
        <v>83</v>
      </c>
      <c r="S154" s="14" t="str">
        <f>_xll.PLContribFull(C154*100,"BID",R154,"Slot46","TICKER",3,,"Valid")</f>
        <v>-0.790 (12:14:42.778167)</v>
      </c>
      <c r="T154" s="14" t="str">
        <f>_xll.PLContribFull(J154*100,"ASK",R154,"Slot46","TICKER",3,,"Valid")</f>
        <v>0.010 (12:14:42.761166)</v>
      </c>
      <c r="U154" s="3" t="s">
        <v>93</v>
      </c>
      <c r="V154" s="14" t="str">
        <f>_xll.PLContribFull(D154*100,"BID",U154,"Slot46","TICKER",3,,"Valid")</f>
        <v>-1.670 (12:14:42.764166)</v>
      </c>
      <c r="W154" s="5" t="str">
        <f>_xll.PLContribFull(K154*100,"ASK",U154,"Slot46","TICKER",3,,"Valid")</f>
        <v>-0.070 (12:14:42.775167)</v>
      </c>
      <c r="X154" s="3" t="s">
        <v>103</v>
      </c>
      <c r="Y154" s="14" t="str">
        <f>_xll.PLContribFull(E154*100,"BID",X154,"Slot46","TICKER",3,,"Valid")</f>
        <v>-0.150 (12:14:42.770167)</v>
      </c>
      <c r="Z154" s="14" t="str">
        <f>_xll.PLContribFull(L154*100,"ASK",X154,"Slot46","TICKER",3,,"Valid")</f>
        <v>0.450 (12:14:42.762166)</v>
      </c>
      <c r="AA154" s="3" t="s">
        <v>113</v>
      </c>
      <c r="AB154" s="14" t="str">
        <f>_xll.PLContribFull(F154*100,"BID",AA154,"Slot46","TICKER",3,,"Valid")</f>
        <v>-0.070 (12:14:42.769168)</v>
      </c>
      <c r="AC154" s="5" t="str">
        <f>_xll.PLContribFull(M154*100,"ASK",AA154,"Slot46","TICKER",3,,"Valid")</f>
        <v>1.130 (12:14:42.754169)</v>
      </c>
      <c r="AD154" s="16"/>
    </row>
    <row r="155" spans="1:30" x14ac:dyDescent="0.2">
      <c r="A155" s="12" t="s">
        <v>7</v>
      </c>
      <c r="B155" s="11">
        <f>'G7 Input'!Q144</f>
        <v>7.3050000000000004E-2</v>
      </c>
      <c r="C155" s="11">
        <f>'G7 Input'!R144</f>
        <v>-7.0000000000000001E-3</v>
      </c>
      <c r="D155" s="11">
        <f>'G7 Input'!S144</f>
        <v>-1.47E-2</v>
      </c>
      <c r="E155" s="11">
        <f>'G7 Input'!T144</f>
        <v>-5.0000000000000001E-4</v>
      </c>
      <c r="F155" s="11">
        <f>'G7 Input'!U144</f>
        <v>1.4000000000000002E-3</v>
      </c>
      <c r="H155" s="10" t="s">
        <v>7</v>
      </c>
      <c r="I155" s="11">
        <f>'G7 Input'!X144</f>
        <v>8.0949999999999994E-2</v>
      </c>
      <c r="J155" s="11">
        <f>'G7 Input'!Y144</f>
        <v>-1E-3</v>
      </c>
      <c r="K155" s="11">
        <f>'G7 Input'!Z144</f>
        <v>-2.6999999999999993E-3</v>
      </c>
      <c r="L155" s="11">
        <f>'G7 Input'!AA144</f>
        <v>3.5000000000000001E-3</v>
      </c>
      <c r="M155" s="11">
        <f>'G7 Input'!AB144</f>
        <v>9.4000000000000004E-3</v>
      </c>
      <c r="O155" s="3" t="s">
        <v>74</v>
      </c>
      <c r="P155" s="14" t="str">
        <f>_xll.PLContribFull(B155*100,"BID",O155,"Slot46","TICKER",3,,"Valid")</f>
        <v>7.305 (12:14:42.774166)</v>
      </c>
      <c r="Q155" s="5" t="str">
        <f>_xll.PLContribFull(I155*100,"ASK",O155,"Slot46","TICKER",3,,"Valid")</f>
        <v>8.095 (12:14:42.764166)</v>
      </c>
      <c r="R155" s="3" t="s">
        <v>84</v>
      </c>
      <c r="S155" s="14" t="str">
        <f>_xll.PLContribFull(C155*100,"BID",R155,"Slot46","TICKER",3,,"Valid")</f>
        <v>-0.700 (12:14:42.763166)</v>
      </c>
      <c r="T155" s="14" t="str">
        <f>_xll.PLContribFull(J155*100,"ASK",R155,"Slot46","TICKER",3,,"Valid")</f>
        <v>-0.100 (12:14:42.764166)</v>
      </c>
      <c r="U155" s="3" t="s">
        <v>94</v>
      </c>
      <c r="V155" s="14" t="str">
        <f>_xll.PLContribFull(D155*100,"BID",U155,"Slot46","TICKER",3,,"Valid")</f>
        <v>-1.470 (12:14:42.740168)</v>
      </c>
      <c r="W155" s="5" t="str">
        <f>_xll.PLContribFull(K155*100,"ASK",U155,"Slot46","TICKER",3,,"Valid")</f>
        <v>-0.270 (12:14:42.765166)</v>
      </c>
      <c r="X155" s="3" t="s">
        <v>104</v>
      </c>
      <c r="Y155" s="14" t="str">
        <f>_xll.PLContribFull(E155*100,"BID",X155,"Slot46","TICKER",3,,"Valid")</f>
        <v>-0.050 (12:14:42.763166)</v>
      </c>
      <c r="Z155" s="14" t="str">
        <f>_xll.PLContribFull(L155*100,"ASK",X155,"Slot46","TICKER",3,,"Valid")</f>
        <v>0.350 (12:14:42.761166)</v>
      </c>
      <c r="AA155" s="3" t="s">
        <v>114</v>
      </c>
      <c r="AB155" s="14" t="str">
        <f>_xll.PLContribFull(F155*100,"BID",AA155,"Slot46","TICKER",3,,"Valid")</f>
        <v>0.140 (12:14:42.752166)</v>
      </c>
      <c r="AC155" s="5" t="str">
        <f>_xll.PLContribFull(M155*100,"ASK",AA155,"Slot46","TICKER",3,,"Valid")</f>
        <v>0.940 (12:14:42.767165)</v>
      </c>
      <c r="AD155" s="16"/>
    </row>
    <row r="156" spans="1:30" x14ac:dyDescent="0.2">
      <c r="A156" s="12" t="s">
        <v>8</v>
      </c>
      <c r="B156" s="11">
        <f>'G7 Input'!Q145</f>
        <v>7.3350000000000012E-2</v>
      </c>
      <c r="C156" s="11">
        <f>'G7 Input'!R145</f>
        <v>-5.4999999999999997E-3</v>
      </c>
      <c r="D156" s="11">
        <f>'G7 Input'!S145</f>
        <v>-1.1100000000000002E-2</v>
      </c>
      <c r="E156" s="11">
        <f>'G7 Input'!T145</f>
        <v>5.0000000000000001E-4</v>
      </c>
      <c r="F156" s="11">
        <f>'G7 Input'!U145</f>
        <v>3.3E-3</v>
      </c>
      <c r="H156" s="10" t="s">
        <v>8</v>
      </c>
      <c r="I156" s="11">
        <f>'G7 Input'!X145</f>
        <v>7.825E-2</v>
      </c>
      <c r="J156" s="11">
        <f>'G7 Input'!Y145</f>
        <v>-2.5000000000000001E-3</v>
      </c>
      <c r="K156" s="11">
        <f>'G7 Input'!Z145</f>
        <v>-5.1000000000000012E-3</v>
      </c>
      <c r="L156" s="11">
        <f>'G7 Input'!AA145</f>
        <v>2.5000000000000001E-3</v>
      </c>
      <c r="M156" s="11">
        <f>'G7 Input'!AB145</f>
        <v>7.3000000000000001E-3</v>
      </c>
      <c r="O156" s="3" t="s">
        <v>75</v>
      </c>
      <c r="P156" s="14" t="str">
        <f>_xll.PLContribFull(B156*100,"BID",O156,"Slot46","TICKER",3,,"Valid")</f>
        <v>7.335 (12:14:42.778167)</v>
      </c>
      <c r="Q156" s="5" t="str">
        <f>_xll.PLContribFull(I156*100,"ASK",O156,"Slot46","TICKER",3,,"Valid")</f>
        <v>7.825 (12:14:42.778167)</v>
      </c>
      <c r="R156" s="3" t="s">
        <v>85</v>
      </c>
      <c r="S156" s="14" t="str">
        <f>_xll.PLContribFull(C156*100,"BID",R156,"Slot46","TICKER",3,,"Valid")</f>
        <v>-0.550 (12:14:42.776167)</v>
      </c>
      <c r="T156" s="14" t="str">
        <f>_xll.PLContribFull(J156*100,"ASK",R156,"Slot46","TICKER",3,,"Valid")</f>
        <v>-0.250 (12:14:42.771168)</v>
      </c>
      <c r="U156" s="3" t="s">
        <v>95</v>
      </c>
      <c r="V156" s="14" t="str">
        <f>_xll.PLContribFull(D156*100,"BID",U156,"Slot46","TICKER",3,,"Valid")</f>
        <v>-1.110 (12:14:42.770167)</v>
      </c>
      <c r="W156" s="5" t="str">
        <f>_xll.PLContribFull(K156*100,"ASK",U156,"Slot46","TICKER",3,,"Valid")</f>
        <v>-0.510 (12:14:42.759166)</v>
      </c>
      <c r="X156" s="3" t="s">
        <v>105</v>
      </c>
      <c r="Y156" s="14" t="str">
        <f>_xll.PLContribFull(E156*100,"BID",X156,"Slot46","TICKER",3,,"Valid")</f>
        <v>0.050 (12:14:42.773167)</v>
      </c>
      <c r="Z156" s="14" t="str">
        <f>_xll.PLContribFull(L156*100,"ASK",X156,"Slot46","TICKER",3,,"Valid")</f>
        <v>0.250 (12:14:42.767165)</v>
      </c>
      <c r="AA156" s="3" t="s">
        <v>115</v>
      </c>
      <c r="AB156" s="14" t="str">
        <f>_xll.PLContribFull(F156*100,"BID",AA156,"Slot46","TICKER",3,,"Valid")</f>
        <v>0.330 (12:14:42.763166)</v>
      </c>
      <c r="AC156" s="5" t="str">
        <f>_xll.PLContribFull(M156*100,"ASK",AA156,"Slot46","TICKER",3,,"Valid")</f>
        <v>0.730 (12:14:42.765166)</v>
      </c>
      <c r="AD156" s="16"/>
    </row>
    <row r="157" spans="1:30" x14ac:dyDescent="0.2">
      <c r="A157" s="12" t="s">
        <v>9</v>
      </c>
      <c r="B157" s="11">
        <f>'G7 Input'!Q146</f>
        <v>7.6600000000000001E-2</v>
      </c>
      <c r="C157" s="11">
        <f>'G7 Input'!R146</f>
        <v>-6.3999999999999994E-3</v>
      </c>
      <c r="D157" s="11">
        <f>'G7 Input'!S146</f>
        <v>-1.3100000000000001E-2</v>
      </c>
      <c r="E157" s="11">
        <f>'G7 Input'!T146</f>
        <v>7.9999999999999993E-4</v>
      </c>
      <c r="F157" s="11">
        <f>'G7 Input'!U146</f>
        <v>4.3E-3</v>
      </c>
      <c r="H157" s="10" t="s">
        <v>9</v>
      </c>
      <c r="I157" s="11">
        <f>'G7 Input'!X146</f>
        <v>8.1199999999999994E-2</v>
      </c>
      <c r="J157" s="11">
        <f>'G7 Input'!Y146</f>
        <v>-3.3999999999999998E-3</v>
      </c>
      <c r="K157" s="11">
        <f>'G7 Input'!Z146</f>
        <v>-7.0999999999999995E-3</v>
      </c>
      <c r="L157" s="11">
        <f>'G7 Input'!AA146</f>
        <v>2.8E-3</v>
      </c>
      <c r="M157" s="11">
        <f>'G7 Input'!AB146</f>
        <v>8.3000000000000001E-3</v>
      </c>
      <c r="O157" s="3" t="s">
        <v>76</v>
      </c>
      <c r="P157" s="14" t="str">
        <f>_xll.PLContribFull(B157*100,"BID",O157,"Slot46","TICKER",3,,"Valid")</f>
        <v>7.660 (12:14:42.766166)</v>
      </c>
      <c r="Q157" s="5" t="str">
        <f>_xll.PLContribFull(I157*100,"ASK",O157,"Slot46","TICKER",3,,"Valid")</f>
        <v>8.120 (12:14:42.767165)</v>
      </c>
      <c r="R157" s="3" t="s">
        <v>86</v>
      </c>
      <c r="S157" s="14" t="str">
        <f>_xll.PLContribFull(C157*100,"BID",R157,"Slot46","TICKER",3,,"Valid")</f>
        <v>-0.640 (12:14:42.767165)</v>
      </c>
      <c r="T157" s="14" t="str">
        <f>_xll.PLContribFull(J157*100,"ASK",R157,"Slot46","TICKER",3,,"Valid")</f>
        <v>-0.340 (12:14:42.775167)</v>
      </c>
      <c r="U157" s="3" t="s">
        <v>96</v>
      </c>
      <c r="V157" s="14" t="str">
        <f>_xll.PLContribFull(D157*100,"BID",U157,"Slot46","TICKER",3,,"Valid")</f>
        <v>-1.310 (12:14:42.760167)</v>
      </c>
      <c r="W157" s="5" t="str">
        <f>_xll.PLContribFull(K157*100,"ASK",U157,"Slot46","TICKER",3,,"Valid")</f>
        <v>-0.710 (12:14:42.777166)</v>
      </c>
      <c r="X157" s="3" t="s">
        <v>106</v>
      </c>
      <c r="Y157" s="14" t="str">
        <f>_xll.PLContribFull(E157*100,"BID",X157,"Slot46","TICKER",3,,"Valid")</f>
        <v>0.080 (12:14:42.760167)</v>
      </c>
      <c r="Z157" s="14" t="str">
        <f>_xll.PLContribFull(L157*100,"ASK",X157,"Slot46","TICKER",3,,"Valid")</f>
        <v>0.280 (12:14:42.762166)</v>
      </c>
      <c r="AA157" s="3" t="s">
        <v>116</v>
      </c>
      <c r="AB157" s="14" t="str">
        <f>_xll.PLContribFull(F157*100,"BID",AA157,"Slot46","TICKER",3,,"Valid")</f>
        <v>0.430 (12:14:42.768166)</v>
      </c>
      <c r="AC157" s="5" t="str">
        <f>_xll.PLContribFull(M157*100,"ASK",AA157,"Slot46","TICKER",3,,"Valid")</f>
        <v>0.830 (12:14:42.771168)</v>
      </c>
      <c r="AD157" s="16"/>
    </row>
    <row r="158" spans="1:30" x14ac:dyDescent="0.2">
      <c r="A158" s="12" t="s">
        <v>10</v>
      </c>
      <c r="B158" s="11">
        <f>'G7 Input'!Q147</f>
        <v>7.6899999999999996E-2</v>
      </c>
      <c r="C158" s="11">
        <f>'G7 Input'!R147</f>
        <v>-7.1000000000000004E-3</v>
      </c>
      <c r="D158" s="11">
        <f>'G7 Input'!S147</f>
        <v>-1.4800000000000001E-2</v>
      </c>
      <c r="E158" s="11">
        <f>'G7 Input'!T147</f>
        <v>1.0999999999999998E-3</v>
      </c>
      <c r="F158" s="11">
        <f>'G7 Input'!U147</f>
        <v>4.8999999999999998E-3</v>
      </c>
      <c r="H158" s="10" t="s">
        <v>10</v>
      </c>
      <c r="I158" s="11">
        <f>'G7 Input'!X147</f>
        <v>8.1499999999999989E-2</v>
      </c>
      <c r="J158" s="11">
        <f>'G7 Input'!Y147</f>
        <v>-4.1000000000000012E-3</v>
      </c>
      <c r="K158" s="11">
        <f>'G7 Input'!Z147</f>
        <v>-8.7999999999999988E-3</v>
      </c>
      <c r="L158" s="11">
        <f>'G7 Input'!AA147</f>
        <v>3.0999999999999999E-3</v>
      </c>
      <c r="M158" s="11">
        <f>'G7 Input'!AB147</f>
        <v>8.8999999999999999E-3</v>
      </c>
      <c r="O158" s="3" t="s">
        <v>77</v>
      </c>
      <c r="P158" s="14" t="str">
        <f>_xll.PLContribFull(B158*100,"BID",O158,"Slot46","TICKER",3,,"Valid")</f>
        <v>7.690 (12:14:42.766166)</v>
      </c>
      <c r="Q158" s="5" t="str">
        <f>_xll.PLContribFull(I158*100,"ASK",O158,"Slot46","TICKER",3,,"Valid")</f>
        <v>8.150 (12:14:42.763166)</v>
      </c>
      <c r="R158" s="3" t="s">
        <v>87</v>
      </c>
      <c r="S158" s="14" t="str">
        <f>_xll.PLContribFull(C158*100,"BID",R158,"Slot46","TICKER",3,,"Valid")</f>
        <v>-0.710 (12:14:42.763166)</v>
      </c>
      <c r="T158" s="14" t="str">
        <f>_xll.PLContribFull(J158*100,"ASK",R158,"Slot46","TICKER",3,,"Valid")</f>
        <v>-0.410 (12:14:42.775167)</v>
      </c>
      <c r="U158" s="3" t="s">
        <v>97</v>
      </c>
      <c r="V158" s="14" t="str">
        <f>_xll.PLContribFull(D158*100,"BID",U158,"Slot46","TICKER",3,,"Valid")</f>
        <v>-1.480 (12:14:42.756167)</v>
      </c>
      <c r="W158" s="5" t="str">
        <f>_xll.PLContribFull(K158*100,"ASK",U158,"Slot46","TICKER",3,,"Valid")</f>
        <v>-0.880 (12:14:42.764166)</v>
      </c>
      <c r="X158" s="3" t="s">
        <v>107</v>
      </c>
      <c r="Y158" s="14" t="str">
        <f>_xll.PLContribFull(E158*100,"BID",X158,"Slot46","TICKER",3,,"Valid")</f>
        <v>0.110 (12:14:42.777166)</v>
      </c>
      <c r="Z158" s="14" t="str">
        <f>_xll.PLContribFull(L158*100,"ASK",X158,"Slot46","TICKER",3,,"Valid")</f>
        <v>0.310 (12:14:42.776167)</v>
      </c>
      <c r="AA158" s="3" t="s">
        <v>117</v>
      </c>
      <c r="AB158" s="14" t="str">
        <f>_xll.PLContribFull(F158*100,"BID",AA158,"Slot46","TICKER",3,,"Valid")</f>
        <v>0.490 (12:14:42.763166)</v>
      </c>
      <c r="AC158" s="5" t="str">
        <f>_xll.PLContribFull(M158*100,"ASK",AA158,"Slot46","TICKER",3,,"Valid")</f>
        <v>0.890 (12:14:42.760167)</v>
      </c>
      <c r="AD158" s="16"/>
    </row>
    <row r="159" spans="1:30" x14ac:dyDescent="0.2">
      <c r="A159" s="12" t="s">
        <v>11</v>
      </c>
      <c r="B159" s="11">
        <f>'G7 Input'!Q148</f>
        <v>7.8300000000000008E-2</v>
      </c>
      <c r="C159" s="11">
        <f>'G7 Input'!R148</f>
        <v>-8.2000000000000007E-3</v>
      </c>
      <c r="D159" s="11">
        <f>'G7 Input'!S148</f>
        <v>-1.6999999999999998E-2</v>
      </c>
      <c r="E159" s="11">
        <f>'G7 Input'!T148</f>
        <v>1.2000000000000001E-3</v>
      </c>
      <c r="F159" s="11">
        <f>'G7 Input'!U148</f>
        <v>5.4000000000000003E-3</v>
      </c>
      <c r="H159" s="10" t="s">
        <v>11</v>
      </c>
      <c r="I159" s="11">
        <f>'G7 Input'!X148</f>
        <v>8.2699999999999996E-2</v>
      </c>
      <c r="J159" s="11">
        <f>'G7 Input'!Y148</f>
        <v>-5.1999999999999998E-3</v>
      </c>
      <c r="K159" s="11">
        <f>'G7 Input'!Z148</f>
        <v>-1.0999999999999999E-2</v>
      </c>
      <c r="L159" s="11">
        <f>'G7 Input'!AA148</f>
        <v>3.2000000000000002E-3</v>
      </c>
      <c r="M159" s="11">
        <f>'G7 Input'!AB148</f>
        <v>9.4000000000000004E-3</v>
      </c>
      <c r="O159" s="3" t="s">
        <v>78</v>
      </c>
      <c r="P159" s="14" t="str">
        <f>_xll.PLContribFull(B159*100,"BID",O159,"Slot46","TICKER",3,,"Valid")</f>
        <v>7.830 (12:14:42.764166)</v>
      </c>
      <c r="Q159" s="5" t="str">
        <f>_xll.PLContribFull(I159*100,"ASK",O159,"Slot46","TICKER",3,,"Valid")</f>
        <v>8.270 (12:14:42.760167)</v>
      </c>
      <c r="R159" s="3" t="s">
        <v>88</v>
      </c>
      <c r="S159" s="14" t="str">
        <f>_xll.PLContribFull(C159*100,"BID",R159,"Slot46","TICKER",3,,"Valid")</f>
        <v>-0.820 (12:14:42.760167)</v>
      </c>
      <c r="T159" s="14" t="str">
        <f>_xll.PLContribFull(J159*100,"ASK",R159,"Slot46","TICKER",3,,"Valid")</f>
        <v>-0.520 (12:14:42.760167)</v>
      </c>
      <c r="U159" s="3" t="s">
        <v>98</v>
      </c>
      <c r="V159" s="14" t="str">
        <f>_xll.PLContribFull(D159*100,"BID",U159,"Slot46","TICKER",3,,"Valid")</f>
        <v>-1.700 (12:14:42.754169)</v>
      </c>
      <c r="W159" s="5" t="str">
        <f>_xll.PLContribFull(K159*100,"ASK",U159,"Slot46","TICKER",3,,"Valid")</f>
        <v>-1.100 (12:14:42.762166)</v>
      </c>
      <c r="X159" s="3" t="s">
        <v>108</v>
      </c>
      <c r="Y159" s="14" t="str">
        <f>_xll.PLContribFull(E159*100,"BID",X159,"Slot46","TICKER",3,,"Valid")</f>
        <v>0.120 (12:14:42.744167)</v>
      </c>
      <c r="Z159" s="14" t="str">
        <f>_xll.PLContribFull(L159*100,"ASK",X159,"Slot46","TICKER",3,,"Valid")</f>
        <v>0.320 (12:14:42.763166)</v>
      </c>
      <c r="AA159" s="3" t="s">
        <v>118</v>
      </c>
      <c r="AB159" s="14" t="str">
        <f>_xll.PLContribFull(F159*100,"BID",AA159,"Slot46","TICKER",3,,"Valid")</f>
        <v>0.540 (12:14:42.750168)</v>
      </c>
      <c r="AC159" s="5" t="str">
        <f>_xll.PLContribFull(M159*100,"ASK",AA159,"Slot46","TICKER",3,,"Valid")</f>
        <v>0.940 (12:14:42.769168)</v>
      </c>
      <c r="AD159" s="16"/>
    </row>
    <row r="160" spans="1:30" x14ac:dyDescent="0.2">
      <c r="A160" s="12" t="s">
        <v>12</v>
      </c>
      <c r="B160" s="11">
        <f>'G7 Input'!Q149</f>
        <v>8.1099999999999992E-2</v>
      </c>
      <c r="C160" s="11">
        <f>'G7 Input'!R149</f>
        <v>-8.8999999999999999E-3</v>
      </c>
      <c r="D160" s="11">
        <f>'G7 Input'!S149</f>
        <v>-1.8499999999999999E-2</v>
      </c>
      <c r="E160" s="11">
        <f>'G7 Input'!T149</f>
        <v>1.3999999999999998E-3</v>
      </c>
      <c r="F160" s="11">
        <f>'G7 Input'!U149</f>
        <v>6.3E-3</v>
      </c>
      <c r="H160" s="10" t="s">
        <v>12</v>
      </c>
      <c r="I160" s="11">
        <f>'G7 Input'!X149</f>
        <v>8.5499999999999979E-2</v>
      </c>
      <c r="J160" s="11">
        <f>'G7 Input'!Y149</f>
        <v>-5.9000000000000007E-3</v>
      </c>
      <c r="K160" s="11">
        <f>'G7 Input'!Z149</f>
        <v>-1.2500000000000001E-2</v>
      </c>
      <c r="L160" s="11">
        <f>'G7 Input'!AA149</f>
        <v>3.3999999999999998E-3</v>
      </c>
      <c r="M160" s="11">
        <f>'G7 Input'!AB149</f>
        <v>1.03E-2</v>
      </c>
      <c r="O160" s="3" t="s">
        <v>79</v>
      </c>
      <c r="P160" s="14" t="str">
        <f>_xll.PLContribFull(B160*100,"BID",O160,"Slot46","TICKER",3,,"Valid")</f>
        <v>8.110 (12:14:42.766166)</v>
      </c>
      <c r="Q160" s="5" t="str">
        <f>_xll.PLContribFull(I160*100,"ASK",O160,"Slot46","TICKER",3,,"Valid")</f>
        <v>8.550 (12:14:42.771168)</v>
      </c>
      <c r="R160" s="3" t="s">
        <v>89</v>
      </c>
      <c r="S160" s="14" t="str">
        <f>_xll.PLContribFull(C160*100,"BID",R160,"Slot46","TICKER",3,,"Valid")</f>
        <v>-0.890 (12:14:42.773167)</v>
      </c>
      <c r="T160" s="14" t="str">
        <f>_xll.PLContribFull(J160*100,"ASK",R160,"Slot46","TICKER",3,,"Valid")</f>
        <v>-0.590 (12:14:42.763166)</v>
      </c>
      <c r="U160" s="3" t="s">
        <v>99</v>
      </c>
      <c r="V160" s="14" t="str">
        <f>_xll.PLContribFull(D160*100,"BID",U160,"Slot46","TICKER",3,,"Valid")</f>
        <v>-1.850 (12:14:42.766166)</v>
      </c>
      <c r="W160" s="5" t="str">
        <f>_xll.PLContribFull(K160*100,"ASK",U160,"Slot46","TICKER",3,,"Valid")</f>
        <v>-1.250 (12:14:42.760167)</v>
      </c>
      <c r="X160" s="3" t="s">
        <v>109</v>
      </c>
      <c r="Y160" s="14" t="str">
        <f>_xll.PLContribFull(E160*100,"BID",X160,"Slot46","TICKER",3,,"Valid")</f>
        <v>0.140 (12:14:42.772166)</v>
      </c>
      <c r="Z160" s="14" t="str">
        <f>_xll.PLContribFull(L160*100,"ASK",X160,"Slot46","TICKER",3,,"Valid")</f>
        <v>0.340 (12:14:42.741170)</v>
      </c>
      <c r="AA160" s="3" t="s">
        <v>119</v>
      </c>
      <c r="AB160" s="14" t="str">
        <f>_xll.PLContribFull(F160*100,"BID",AA160,"Slot46","TICKER",3,,"Valid")</f>
        <v>0.630 (12:14:42.762166)</v>
      </c>
      <c r="AC160" s="5" t="str">
        <f>_xll.PLContribFull(M160*100,"ASK",AA160,"Slot46","TICKER",3,,"Valid")</f>
        <v>1.030 (12:14:42.754169)</v>
      </c>
      <c r="AD160" s="16"/>
    </row>
    <row r="161" spans="1:30" x14ac:dyDescent="0.2">
      <c r="A161" s="12" t="s">
        <v>13</v>
      </c>
      <c r="B161" s="11">
        <f>'G7 Input'!Q150</f>
        <v>8.3499999999999991E-2</v>
      </c>
      <c r="C161" s="11">
        <f>'G7 Input'!R150</f>
        <v>-9.6000000000000009E-3</v>
      </c>
      <c r="D161" s="11">
        <f>'G7 Input'!S150</f>
        <v>-2.01E-2</v>
      </c>
      <c r="E161" s="11">
        <f>'G7 Input'!T150</f>
        <v>1.8000000000000004E-3</v>
      </c>
      <c r="F161" s="11">
        <f>'G7 Input'!U150</f>
        <v>7.4999999999999997E-3</v>
      </c>
      <c r="H161" s="10" t="s">
        <v>13</v>
      </c>
      <c r="I161" s="11">
        <f>'G7 Input'!X150</f>
        <v>8.8099999999999984E-2</v>
      </c>
      <c r="J161" s="11">
        <f>'G7 Input'!Y150</f>
        <v>-6.6000000000000017E-3</v>
      </c>
      <c r="K161" s="11">
        <f>'G7 Input'!Z150</f>
        <v>-1.4100000000000001E-2</v>
      </c>
      <c r="L161" s="11">
        <f>'G7 Input'!AA150</f>
        <v>3.8000000000000004E-3</v>
      </c>
      <c r="M161" s="11">
        <f>'G7 Input'!AB150</f>
        <v>1.15E-2</v>
      </c>
      <c r="O161" s="3" t="s">
        <v>80</v>
      </c>
      <c r="P161" s="14" t="str">
        <f>_xll.PLContribFull(B161*100,"BID",O161,"Slot46","TICKER",3,,"Valid")</f>
        <v>8.350 (12:14:42.770167)</v>
      </c>
      <c r="Q161" s="5" t="str">
        <f>_xll.PLContribFull(I161*100,"ASK",O161,"Slot46","TICKER",3,,"Valid")</f>
        <v>8.810 (12:14:42.766166)</v>
      </c>
      <c r="R161" s="3" t="s">
        <v>90</v>
      </c>
      <c r="S161" s="14" t="str">
        <f>_xll.PLContribFull(C161*100,"BID",R161,"Slot46","TICKER",3,,"Valid")</f>
        <v>-0.960 (12:14:42.766166)</v>
      </c>
      <c r="T161" s="14" t="str">
        <f>_xll.PLContribFull(J161*100,"ASK",R161,"Slot46","TICKER",3,,"Valid")</f>
        <v>-0.660 (12:14:42.761166)</v>
      </c>
      <c r="U161" s="3" t="s">
        <v>100</v>
      </c>
      <c r="V161" s="14" t="str">
        <f>_xll.PLContribFull(D161*100,"BID",U161,"Slot46","TICKER",3,,"Valid")</f>
        <v>-2.010 (12:14:42.774166)</v>
      </c>
      <c r="W161" s="5" t="str">
        <f>_xll.PLContribFull(K161*100,"ASK",U161,"Slot46","TICKER",3,,"Valid")</f>
        <v>-1.410 (12:14:42.768166)</v>
      </c>
      <c r="X161" s="3" t="s">
        <v>110</v>
      </c>
      <c r="Y161" s="14" t="str">
        <f>_xll.PLContribFull(E161*100,"BID",X161,"Slot46","TICKER",3,,"Valid")</f>
        <v>0.180 (12:14:42.764166)</v>
      </c>
      <c r="Z161" s="14" t="str">
        <f>_xll.PLContribFull(L161*100,"ASK",X161,"Slot46","TICKER",3,,"Valid")</f>
        <v>0.380 (12:14:42.777166)</v>
      </c>
      <c r="AA161" s="3" t="s">
        <v>120</v>
      </c>
      <c r="AB161" s="14" t="str">
        <f>_xll.PLContribFull(F161*100,"BID",AA161,"Slot46","TICKER",3,,"Valid")</f>
        <v>0.750 (12:14:42.777166)</v>
      </c>
      <c r="AC161" s="5" t="str">
        <f>_xll.PLContribFull(M161*100,"ASK",AA161,"Slot46","TICKER",3,,"Valid")</f>
        <v>1.150 (12:14:42.766166)</v>
      </c>
      <c r="AD161" s="16"/>
    </row>
    <row r="162" spans="1:30" x14ac:dyDescent="0.2">
      <c r="A162" s="12" t="s">
        <v>14</v>
      </c>
      <c r="B162" s="11">
        <f>'G7 Input'!Q151</f>
        <v>8.5849999999999996E-2</v>
      </c>
      <c r="C162" s="11">
        <f>'G7 Input'!R151</f>
        <v>-1.0899999999999998E-2</v>
      </c>
      <c r="D162" s="11">
        <f>'G7 Input'!S151</f>
        <v>-2.24E-2</v>
      </c>
      <c r="E162" s="11">
        <f>'G7 Input'!T151</f>
        <v>2.4999999999999996E-3</v>
      </c>
      <c r="F162" s="11">
        <f>'G7 Input'!U151</f>
        <v>9.6999999999999986E-3</v>
      </c>
      <c r="H162" s="10" t="s">
        <v>14</v>
      </c>
      <c r="I162" s="11">
        <f>'G7 Input'!X151</f>
        <v>9.0550000000000005E-2</v>
      </c>
      <c r="J162" s="11">
        <f>'G7 Input'!Y151</f>
        <v>-7.899999999999999E-3</v>
      </c>
      <c r="K162" s="11">
        <f>'G7 Input'!Z151</f>
        <v>-1.6400000000000001E-2</v>
      </c>
      <c r="L162" s="11">
        <f>'G7 Input'!AA151</f>
        <v>4.4999999999999997E-3</v>
      </c>
      <c r="M162" s="11">
        <f>'G7 Input'!AB151</f>
        <v>1.3699999999999999E-2</v>
      </c>
      <c r="O162" s="3" t="s">
        <v>81</v>
      </c>
      <c r="P162" s="14" t="str">
        <f>_xll.PLContribFull(B162*100,"BID",O162,"Slot46","TICKER",3,,"Valid")</f>
        <v>8.585 (12:14:42.756167)</v>
      </c>
      <c r="Q162" s="5" t="str">
        <f>_xll.PLContribFull(I162*100,"ASK",O162,"Slot46","TICKER",3,,"Valid")</f>
        <v>9.055 (12:14:42.760167)</v>
      </c>
      <c r="R162" s="3" t="s">
        <v>91</v>
      </c>
      <c r="S162" s="14" t="str">
        <f>_xll.PLContribFull(C162*100,"BID",R162,"Slot46","TICKER",3,,"Valid")</f>
        <v>-1.090 (12:14:42.773167)</v>
      </c>
      <c r="T162" s="14" t="str">
        <f>_xll.PLContribFull(J162*100,"ASK",R162,"Slot46","TICKER",3,,"Valid")</f>
        <v>-0.790 (12:14:42.759166)</v>
      </c>
      <c r="U162" s="3" t="s">
        <v>101</v>
      </c>
      <c r="V162" s="14" t="str">
        <f>_xll.PLContribFull(D162*100,"BID",U162,"Slot46","TICKER",3,,"Valid")</f>
        <v>-2.240 (12:14:42.769168)</v>
      </c>
      <c r="W162" s="5" t="str">
        <f>_xll.PLContribFull(K162*100,"ASK",U162,"Slot46","TICKER",3,,"Valid")</f>
        <v>-1.640 (12:14:42.773167)</v>
      </c>
      <c r="X162" s="3" t="s">
        <v>111</v>
      </c>
      <c r="Y162" s="14" t="str">
        <f>_xll.PLContribFull(E162*100,"BID",X162,"Slot46","TICKER",3,,"Valid")</f>
        <v>0.250 (12:14:42.771168)</v>
      </c>
      <c r="Z162" s="14" t="str">
        <f>_xll.PLContribFull(L162*100,"ASK",X162,"Slot46","TICKER",3,,"Valid")</f>
        <v>0.450 (12:14:42.773167)</v>
      </c>
      <c r="AA162" s="3" t="s">
        <v>121</v>
      </c>
      <c r="AB162" s="14" t="str">
        <f>_xll.PLContribFull(F162*100,"BID",AA162,"Slot46","TICKER",3,,"Valid")</f>
        <v>0.970 (12:14:42.753167)</v>
      </c>
      <c r="AC162" s="5" t="str">
        <f>_xll.PLContribFull(M162*100,"ASK",AA162,"Slot46","TICKER",3,,"Valid")</f>
        <v>1.370 (12:14:42.770167)</v>
      </c>
      <c r="AD162" s="16"/>
    </row>
    <row r="163" spans="1:30" x14ac:dyDescent="0.2">
      <c r="A163" s="12" t="s">
        <v>876</v>
      </c>
      <c r="B163" s="11">
        <f>'G7 Input'!Q152</f>
        <v>8.5849999999999996E-2</v>
      </c>
      <c r="C163" s="11">
        <f>'G7 Input'!R152</f>
        <v>-1.1099999999999999E-2</v>
      </c>
      <c r="D163" s="11">
        <f>'G7 Input'!S152</f>
        <v>-2.2699999999999998E-2</v>
      </c>
      <c r="E163" s="11">
        <f>'G7 Input'!T152</f>
        <v>2.4999999999999996E-3</v>
      </c>
      <c r="F163" s="11">
        <f>'G7 Input'!U152</f>
        <v>9.7999999999999997E-3</v>
      </c>
      <c r="H163" s="10" t="s">
        <v>876</v>
      </c>
      <c r="I163" s="11">
        <f>'G7 Input'!X152</f>
        <v>9.3350000000000002E-2</v>
      </c>
      <c r="J163" s="11">
        <f>'G7 Input'!Y152</f>
        <v>-8.0999999999999996E-3</v>
      </c>
      <c r="K163" s="11">
        <f>'G7 Input'!Z152</f>
        <v>-1.67E-2</v>
      </c>
      <c r="L163" s="11">
        <f>'G7 Input'!AA152</f>
        <v>4.4999999999999997E-3</v>
      </c>
      <c r="M163" s="11">
        <f>'G7 Input'!AB152</f>
        <v>1.38E-2</v>
      </c>
      <c r="O163" s="3" t="s">
        <v>902</v>
      </c>
      <c r="P163" s="14" t="str">
        <f>_xll.PLContribFull(B163*100,"BID",O163,"Slot46","TICKER",3,,"Valid")</f>
        <v>8.585 (12:14:42.766166)</v>
      </c>
      <c r="Q163" s="5" t="str">
        <f>_xll.PLContribFull(I163*100,"ASK",O163,"Slot46","TICKER",3,,"Valid")</f>
        <v>9.335 (12:14:42.774166)</v>
      </c>
      <c r="R163" s="3" t="s">
        <v>903</v>
      </c>
      <c r="S163" s="14" t="str">
        <f>_xll.PLContribFull(C163*100,"BID",R163,"Slot46","TICKER",3,,"Valid")</f>
        <v>-1.110 (12:14:42.743167)</v>
      </c>
      <c r="T163" s="14" t="str">
        <f>_xll.PLContribFull(J163*100,"ASK",R163,"Slot46","TICKER",3,,"Valid")</f>
        <v>-0.810 (12:14:42.752166)</v>
      </c>
      <c r="U163" s="3" t="s">
        <v>904</v>
      </c>
      <c r="V163" s="14" t="str">
        <f>_xll.PLContribFull(D163*100,"BID",U163,"Slot46","TICKER",3,,"Valid")</f>
        <v>-2.270 (12:14:42.772166)</v>
      </c>
      <c r="W163" s="5" t="str">
        <f>_xll.PLContribFull(K163*100,"ASK",U163,"Slot46","TICKER",3,,"Valid")</f>
        <v>-1.670 (12:14:42.741170)</v>
      </c>
      <c r="X163" s="3" t="s">
        <v>905</v>
      </c>
      <c r="Y163" s="14" t="str">
        <f>_xll.PLContribFull(E163*100,"BID",X163,"Slot46","TICKER",3,,"Valid")</f>
        <v>0.250 (12:14:42.767165)</v>
      </c>
      <c r="Z163" s="14" t="str">
        <f>_xll.PLContribFull(L163*100,"ASK",X163,"Slot46","TICKER",3,,"Valid")</f>
        <v>0.450 (12:14:42.754169)</v>
      </c>
      <c r="AA163" s="3" t="s">
        <v>906</v>
      </c>
      <c r="AB163" s="14" t="str">
        <f>_xll.PLContribFull(F163*100,"BID",AA163,"Slot46","TICKER",3,,"Valid")</f>
        <v>0.980 (12:14:42.753167)</v>
      </c>
      <c r="AC163" s="5" t="str">
        <f>_xll.PLContribFull(M163*100,"ASK",AA163,"Slot46","TICKER",3,,"Valid")</f>
        <v>1.380 (12:14:42.759166)</v>
      </c>
      <c r="AD163" s="16"/>
    </row>
    <row r="166" spans="1:30" x14ac:dyDescent="0.25">
      <c r="A166" s="10" t="s">
        <v>361</v>
      </c>
      <c r="O166" s="3" t="s">
        <v>67</v>
      </c>
      <c r="P166" s="15" t="s">
        <v>68</v>
      </c>
      <c r="Q166" s="15"/>
      <c r="R166" s="3" t="s">
        <v>67</v>
      </c>
      <c r="S166" s="15" t="s">
        <v>68</v>
      </c>
      <c r="T166" s="15"/>
      <c r="U166" s="3" t="s">
        <v>67</v>
      </c>
      <c r="V166" s="15" t="s">
        <v>68</v>
      </c>
      <c r="W166" s="15"/>
      <c r="X166" s="3" t="s">
        <v>67</v>
      </c>
      <c r="Y166" s="15" t="s">
        <v>68</v>
      </c>
      <c r="Z166" s="6"/>
      <c r="AA166" s="3" t="s">
        <v>67</v>
      </c>
      <c r="AB166" s="15" t="s">
        <v>68</v>
      </c>
      <c r="AC166" s="6"/>
    </row>
    <row r="167" spans="1:30" ht="14.25" x14ac:dyDescent="0.25">
      <c r="A167" s="12" t="s">
        <v>331</v>
      </c>
      <c r="B167" s="12" t="s">
        <v>0</v>
      </c>
      <c r="C167" s="12" t="s">
        <v>1</v>
      </c>
      <c r="D167" s="12" t="s">
        <v>2</v>
      </c>
      <c r="E167" s="12" t="s">
        <v>3</v>
      </c>
      <c r="F167" s="12" t="s">
        <v>4</v>
      </c>
      <c r="H167" s="10" t="s">
        <v>16</v>
      </c>
      <c r="I167" s="10" t="s">
        <v>0</v>
      </c>
      <c r="J167" s="10" t="s">
        <v>1</v>
      </c>
      <c r="K167" s="10" t="s">
        <v>2</v>
      </c>
      <c r="L167" s="10" t="s">
        <v>3</v>
      </c>
      <c r="M167" s="10" t="s">
        <v>4</v>
      </c>
      <c r="O167" s="3" t="s">
        <v>66</v>
      </c>
      <c r="P167" s="13" t="s">
        <v>15</v>
      </c>
      <c r="Q167" s="13" t="s">
        <v>16</v>
      </c>
      <c r="R167" s="3" t="s">
        <v>1</v>
      </c>
      <c r="S167" s="13" t="s">
        <v>15</v>
      </c>
      <c r="T167" s="13" t="s">
        <v>16</v>
      </c>
      <c r="U167" s="3" t="s">
        <v>2</v>
      </c>
      <c r="V167" s="13" t="s">
        <v>15</v>
      </c>
      <c r="W167" s="13" t="s">
        <v>16</v>
      </c>
      <c r="X167" s="3" t="s">
        <v>3</v>
      </c>
      <c r="Y167" s="13" t="s">
        <v>15</v>
      </c>
      <c r="Z167" s="4" t="s">
        <v>16</v>
      </c>
      <c r="AA167" s="3" t="s">
        <v>4</v>
      </c>
      <c r="AB167" s="13" t="s">
        <v>15</v>
      </c>
      <c r="AC167" s="4" t="s">
        <v>16</v>
      </c>
      <c r="AD167" s="2"/>
    </row>
    <row r="168" spans="1:30" x14ac:dyDescent="0.2">
      <c r="A168" s="12" t="s">
        <v>5</v>
      </c>
      <c r="B168" s="11">
        <f>'G7 Input'!Q156</f>
        <v>4.7050000000000002E-2</v>
      </c>
      <c r="C168" s="11">
        <f>'G7 Input'!R156</f>
        <v>-1.6300000000000002E-2</v>
      </c>
      <c r="D168" s="11">
        <f>'G7 Input'!S156</f>
        <v>-3.2300000000000002E-2</v>
      </c>
      <c r="E168" s="11">
        <f>'G7 Input'!T156</f>
        <v>-6.5000000000000006E-3</v>
      </c>
      <c r="F168" s="11">
        <f>'G7 Input'!U156</f>
        <v>-1.04E-2</v>
      </c>
      <c r="H168" s="10" t="s">
        <v>5</v>
      </c>
      <c r="I168" s="11">
        <f>'G7 Input'!X156</f>
        <v>0.11674999999999999</v>
      </c>
      <c r="J168" s="11">
        <f>'G7 Input'!Y156</f>
        <v>7.7000000000000002E-3</v>
      </c>
      <c r="K168" s="11">
        <f>'G7 Input'!Z156</f>
        <v>1.5699999999999999E-2</v>
      </c>
      <c r="L168" s="11">
        <f>'G7 Input'!AA156</f>
        <v>9.4999999999999998E-3</v>
      </c>
      <c r="M168" s="11">
        <f>'G7 Input'!AB156</f>
        <v>2.1600000000000001E-2</v>
      </c>
      <c r="O168" s="3" t="s">
        <v>222</v>
      </c>
      <c r="P168" s="14" t="str">
        <f>_xll.PLContribFull(B168*100,"BID",O168,"Slot46","TICKER",3,,"Valid")</f>
        <v>4.705 (12:14:42.779168)</v>
      </c>
      <c r="Q168" s="5" t="str">
        <f>_xll.PLContribFull(I168*100,"ASK",O168,"Slot46","TICKER",3,,"Valid")</f>
        <v>11.675 (12:14:42.761166)</v>
      </c>
      <c r="R168" s="3" t="s">
        <v>232</v>
      </c>
      <c r="S168" s="14" t="str">
        <f>_xll.PLContribFull(C168*100,"BID",R168,"Slot46","TICKER",3,,"Valid")</f>
        <v>-1.630 (12:14:42.755167)</v>
      </c>
      <c r="T168" s="14" t="str">
        <f>_xll.PLContribFull(J168*100,"ASK",R168,"Slot46","TICKER",3,,"Valid")</f>
        <v>0.770 (12:14:42.774166)</v>
      </c>
      <c r="U168" s="3" t="s">
        <v>242</v>
      </c>
      <c r="V168" s="14" t="str">
        <f>_xll.PLContribFull(D168*100,"BID",U168,"Slot46","TICKER",3,,"Valid")</f>
        <v>-3.230 (12:14:42.742167)</v>
      </c>
      <c r="W168" s="5" t="str">
        <f>_xll.PLContribFull(K168*100,"ASK",U168,"Slot46","TICKER",3,,"Valid")</f>
        <v>1.570 (12:14:42.771168)</v>
      </c>
      <c r="X168" s="3" t="s">
        <v>515</v>
      </c>
      <c r="Y168" s="14" t="str">
        <f>_xll.PLContribFull(E168*100,"BID",X168,"Slot46","TICKER",3,,"Valid")</f>
        <v>-0.650 (12:14:42.752166)</v>
      </c>
      <c r="Z168" s="14" t="str">
        <f>_xll.PLContribFull(L168*100,"ASK",X168,"Slot46","TICKER",3,,"Valid")</f>
        <v>0.950 (12:14:42.774166)</v>
      </c>
      <c r="AA168" s="3" t="s">
        <v>252</v>
      </c>
      <c r="AB168" s="14" t="str">
        <f>_xll.PLContribFull(F168*100,"BID",AA168,"Slot46","TICKER",3,,"Valid")</f>
        <v>-1.040 (12:14:42.749167)</v>
      </c>
      <c r="AC168" s="5" t="str">
        <f>_xll.PLContribFull(M168*100,"ASK",AA168,"Slot46","TICKER",3,,"Valid")</f>
        <v>2.160 (12:14:42.777166)</v>
      </c>
      <c r="AD168" s="16"/>
    </row>
    <row r="169" spans="1:30" x14ac:dyDescent="0.2">
      <c r="A169" s="12" t="s">
        <v>6</v>
      </c>
      <c r="B169" s="11">
        <f>'G7 Input'!Q157</f>
        <v>5.4800000000000001E-2</v>
      </c>
      <c r="C169" s="11">
        <f>'G7 Input'!R157</f>
        <v>-7.9000000000000008E-3</v>
      </c>
      <c r="D169" s="11">
        <f>'G7 Input'!S157</f>
        <v>-1.5599999999999999E-2</v>
      </c>
      <c r="E169" s="11">
        <f>'G7 Input'!T157</f>
        <v>-1.5999999999999999E-3</v>
      </c>
      <c r="F169" s="11">
        <f>'G7 Input'!U157</f>
        <v>-8.9999999999999976E-4</v>
      </c>
      <c r="H169" s="10" t="s">
        <v>6</v>
      </c>
      <c r="I169" s="11">
        <f>'G7 Input'!X157</f>
        <v>9.4600000000000004E-2</v>
      </c>
      <c r="J169" s="11">
        <f>'G7 Input'!Y157</f>
        <v>9.9999999999999829E-5</v>
      </c>
      <c r="K169" s="11">
        <f>'G7 Input'!Z157</f>
        <v>4.0000000000000018E-4</v>
      </c>
      <c r="L169" s="11">
        <f>'G7 Input'!AA157</f>
        <v>4.4000000000000003E-3</v>
      </c>
      <c r="M169" s="11">
        <f>'G7 Input'!AB157</f>
        <v>1.11E-2</v>
      </c>
      <c r="O169" s="3" t="s">
        <v>223</v>
      </c>
      <c r="P169" s="14" t="str">
        <f>_xll.PLContribFull(B169*100,"BID",O169,"Slot46","TICKER",3,,"Valid")</f>
        <v>5.480 (12:14:42.771168)</v>
      </c>
      <c r="Q169" s="5" t="str">
        <f>_xll.PLContribFull(I169*100,"ASK",O169,"Slot46","TICKER",3,,"Valid")</f>
        <v>9.460 (12:14:42.772166)</v>
      </c>
      <c r="R169" s="3" t="s">
        <v>233</v>
      </c>
      <c r="S169" s="14" t="str">
        <f>_xll.PLContribFull(C169*100,"BID",R169,"Slot46","TICKER",3,,"Valid")</f>
        <v>-0.790 (12:14:42.771168)</v>
      </c>
      <c r="T169" s="14" t="str">
        <f>_xll.PLContribFull(J169*100,"ASK",R169,"Slot46","TICKER",3,,"Valid")</f>
        <v>0.010 (12:14:42.777166)</v>
      </c>
      <c r="U169" s="3" t="s">
        <v>243</v>
      </c>
      <c r="V169" s="14" t="str">
        <f>_xll.PLContribFull(D169*100,"BID",U169,"Slot46","TICKER",3,,"Valid")</f>
        <v>-1.560 (12:14:42.764166)</v>
      </c>
      <c r="W169" s="5" t="str">
        <f>_xll.PLContribFull(K169*100,"ASK",U169,"Slot46","TICKER",3,,"Valid")</f>
        <v>0.040 (12:14:42.770167)</v>
      </c>
      <c r="X169" s="3" t="s">
        <v>516</v>
      </c>
      <c r="Y169" s="14" t="str">
        <f>_xll.PLContribFull(E169*100,"BID",X169,"Slot46","TICKER",3,,"Valid")</f>
        <v>-0.160 (12:14:42.755167)</v>
      </c>
      <c r="Z169" s="14" t="str">
        <f>_xll.PLContribFull(L169*100,"ASK",X169,"Slot46","TICKER",3,,"Valid")</f>
        <v>0.440 (12:14:42.771168)</v>
      </c>
      <c r="AA169" s="3" t="s">
        <v>253</v>
      </c>
      <c r="AB169" s="14" t="str">
        <f>_xll.PLContribFull(F169*100,"BID",AA169,"Slot46","TICKER",3,,"Valid")</f>
        <v>-0.090 (12:14:42.764166)</v>
      </c>
      <c r="AC169" s="5" t="str">
        <f>_xll.PLContribFull(M169*100,"ASK",AA169,"Slot46","TICKER",3,,"Valid")</f>
        <v>1.110 (12:14:42.753167)</v>
      </c>
      <c r="AD169" s="16"/>
    </row>
    <row r="170" spans="1:30" x14ac:dyDescent="0.2">
      <c r="A170" s="12" t="s">
        <v>7</v>
      </c>
      <c r="B170" s="11">
        <f>'G7 Input'!Q158</f>
        <v>6.3699999999999993E-2</v>
      </c>
      <c r="C170" s="11">
        <f>'G7 Input'!R158</f>
        <v>-7.0999999999999995E-3</v>
      </c>
      <c r="D170" s="11">
        <f>'G7 Input'!S158</f>
        <v>-1.3900000000000001E-2</v>
      </c>
      <c r="E170" s="11">
        <f>'G7 Input'!T158</f>
        <v>-5.9999999999999984E-4</v>
      </c>
      <c r="F170" s="11">
        <f>'G7 Input'!U158</f>
        <v>1.2999999999999999E-3</v>
      </c>
      <c r="H170" s="10" t="s">
        <v>7</v>
      </c>
      <c r="I170" s="11">
        <f>'G7 Input'!X158</f>
        <v>8.9099999999999999E-2</v>
      </c>
      <c r="J170" s="11">
        <f>'G7 Input'!Y158</f>
        <v>-1.0999999999999994E-3</v>
      </c>
      <c r="K170" s="11">
        <f>'G7 Input'!Z158</f>
        <v>-1.9000000000000006E-3</v>
      </c>
      <c r="L170" s="11">
        <f>'G7 Input'!AA158</f>
        <v>3.4000000000000002E-3</v>
      </c>
      <c r="M170" s="11">
        <f>'G7 Input'!AB158</f>
        <v>9.2999999999999992E-3</v>
      </c>
      <c r="O170" s="3" t="s">
        <v>224</v>
      </c>
      <c r="P170" s="14" t="str">
        <f>_xll.PLContribFull(B170*100,"BID",O170,"Slot46","TICKER",3,,"Valid")</f>
        <v>6.370 (12:14:42.769168)</v>
      </c>
      <c r="Q170" s="5" t="str">
        <f>_xll.PLContribFull(I170*100,"ASK",O170,"Slot46","TICKER",3,,"Valid")</f>
        <v>8.910 (12:14:42.763166)</v>
      </c>
      <c r="R170" s="3" t="s">
        <v>234</v>
      </c>
      <c r="S170" s="14" t="str">
        <f>_xll.PLContribFull(C170*100,"BID",R170,"Slot46","TICKER",3,,"Valid")</f>
        <v>-0.710 (12:14:42.766166)</v>
      </c>
      <c r="T170" s="14" t="str">
        <f>_xll.PLContribFull(J170*100,"ASK",R170,"Slot46","TICKER",3,,"Valid")</f>
        <v>-0.110 (12:14:42.773167)</v>
      </c>
      <c r="U170" s="3" t="s">
        <v>244</v>
      </c>
      <c r="V170" s="14" t="str">
        <f>_xll.PLContribFull(D170*100,"BID",U170,"Slot46","TICKER",3,,"Valid")</f>
        <v>-1.390 (12:14:42.777166)</v>
      </c>
      <c r="W170" s="5" t="str">
        <f>_xll.PLContribFull(K170*100,"ASK",U170,"Slot46","TICKER",3,,"Valid")</f>
        <v>-0.190 (12:14:42.760167)</v>
      </c>
      <c r="X170" s="3" t="s">
        <v>517</v>
      </c>
      <c r="Y170" s="14" t="str">
        <f>_xll.PLContribFull(E170*100,"BID",X170,"Slot46","TICKER",3,,"Valid")</f>
        <v>-0.060 (12:14:42.747168)</v>
      </c>
      <c r="Z170" s="14" t="str">
        <f>_xll.PLContribFull(L170*100,"ASK",X170,"Slot46","TICKER",3,,"Valid")</f>
        <v>0.340 (12:14:42.771168)</v>
      </c>
      <c r="AA170" s="3" t="s">
        <v>254</v>
      </c>
      <c r="AB170" s="14" t="str">
        <f>_xll.PLContribFull(F170*100,"BID",AA170,"Slot46","TICKER",3,,"Valid")</f>
        <v>0.130 (12:14:42.777166)</v>
      </c>
      <c r="AC170" s="5" t="str">
        <f>_xll.PLContribFull(M170*100,"ASK",AA170,"Slot46","TICKER",3,,"Valid")</f>
        <v>0.930 (12:14:42.778167)</v>
      </c>
      <c r="AD170" s="16"/>
    </row>
    <row r="171" spans="1:30" x14ac:dyDescent="0.2">
      <c r="A171" s="12" t="s">
        <v>8</v>
      </c>
      <c r="B171" s="11">
        <f>'G7 Input'!Q159</f>
        <v>6.8250000000000005E-2</v>
      </c>
      <c r="C171" s="11">
        <f>'G7 Input'!R159</f>
        <v>-5.5999999999999991E-3</v>
      </c>
      <c r="D171" s="11">
        <f>'G7 Input'!S159</f>
        <v>-1.0800000000000001E-2</v>
      </c>
      <c r="E171" s="11">
        <f>'G7 Input'!T159</f>
        <v>4.0000000000000018E-4</v>
      </c>
      <c r="F171" s="11">
        <f>'G7 Input'!U159</f>
        <v>3.1999999999999997E-3</v>
      </c>
      <c r="H171" s="10" t="s">
        <v>8</v>
      </c>
      <c r="I171" s="11">
        <f>'G7 Input'!X159</f>
        <v>8.1749999999999989E-2</v>
      </c>
      <c r="J171" s="11">
        <f>'G7 Input'!Y159</f>
        <v>-2.5999999999999994E-3</v>
      </c>
      <c r="K171" s="11">
        <f>'G7 Input'!Z159</f>
        <v>-4.8000000000000004E-3</v>
      </c>
      <c r="L171" s="11">
        <f>'G7 Input'!AA159</f>
        <v>2.4000000000000002E-3</v>
      </c>
      <c r="M171" s="11">
        <f>'G7 Input'!AB159</f>
        <v>7.1999999999999998E-3</v>
      </c>
      <c r="O171" s="3" t="s">
        <v>225</v>
      </c>
      <c r="P171" s="14" t="str">
        <f>_xll.PLContribFull(B171*100,"BID",O171,"Slot46","TICKER",3,,"Valid")</f>
        <v>6.825 (12:14:42.762166)</v>
      </c>
      <c r="Q171" s="5" t="str">
        <f>_xll.PLContribFull(I171*100,"ASK",O171,"Slot46","TICKER",3,,"Valid")</f>
        <v>8.175 (12:14:42.768166)</v>
      </c>
      <c r="R171" s="3" t="s">
        <v>235</v>
      </c>
      <c r="S171" s="14" t="str">
        <f>_xll.PLContribFull(C171*100,"BID",R171,"Slot46","TICKER",3,,"Valid")</f>
        <v>-0.560 (12:14:42.754169)</v>
      </c>
      <c r="T171" s="14" t="str">
        <f>_xll.PLContribFull(J171*100,"ASK",R171,"Slot46","TICKER",3,,"Valid")</f>
        <v>-0.260 (12:14:42.774166)</v>
      </c>
      <c r="U171" s="3" t="s">
        <v>245</v>
      </c>
      <c r="V171" s="14" t="str">
        <f>_xll.PLContribFull(D171*100,"BID",U171,"Slot46","TICKER",3,,"Valid")</f>
        <v>-1.080 (12:14:42.761166)</v>
      </c>
      <c r="W171" s="5" t="str">
        <f>_xll.PLContribFull(K171*100,"ASK",U171,"Slot46","TICKER",3,,"Valid")</f>
        <v>-0.480 (12:14:42.772166)</v>
      </c>
      <c r="X171" s="3" t="s">
        <v>518</v>
      </c>
      <c r="Y171" s="14" t="str">
        <f>_xll.PLContribFull(E171*100,"BID",X171,"Slot46","TICKER",3,,"Valid")</f>
        <v>0.040 (12:14:42.745167)</v>
      </c>
      <c r="Z171" s="14" t="str">
        <f>_xll.PLContribFull(L171*100,"ASK",X171,"Slot46","TICKER",3,,"Valid")</f>
        <v>0.240 (12:14:42.778167)</v>
      </c>
      <c r="AA171" s="3" t="s">
        <v>255</v>
      </c>
      <c r="AB171" s="14" t="str">
        <f>_xll.PLContribFull(F171*100,"BID",AA171,"Slot46","TICKER",3,,"Valid")</f>
        <v>0.320 (12:14:42.775167)</v>
      </c>
      <c r="AC171" s="5" t="str">
        <f>_xll.PLContribFull(M171*100,"ASK",AA171,"Slot46","TICKER",3,,"Valid")</f>
        <v>0.720 (12:14:42.777166)</v>
      </c>
      <c r="AD171" s="16"/>
    </row>
    <row r="172" spans="1:30" x14ac:dyDescent="0.2">
      <c r="A172" s="12" t="s">
        <v>9</v>
      </c>
      <c r="B172" s="11">
        <f>'G7 Input'!Q160</f>
        <v>7.2400000000000006E-2</v>
      </c>
      <c r="C172" s="11">
        <f>'G7 Input'!R160</f>
        <v>-6.6999999999999994E-3</v>
      </c>
      <c r="D172" s="11">
        <f>'G7 Input'!S160</f>
        <v>-1.3100000000000001E-2</v>
      </c>
      <c r="E172" s="11">
        <f>'G7 Input'!T160</f>
        <v>7.000000000000001E-4</v>
      </c>
      <c r="F172" s="11">
        <f>'G7 Input'!U160</f>
        <v>4.3E-3</v>
      </c>
      <c r="H172" s="10" t="s">
        <v>9</v>
      </c>
      <c r="I172" s="11">
        <f>'G7 Input'!X160</f>
        <v>8.48E-2</v>
      </c>
      <c r="J172" s="11">
        <f>'G7 Input'!Y160</f>
        <v>-3.6999999999999997E-3</v>
      </c>
      <c r="K172" s="11">
        <f>'G7 Input'!Z160</f>
        <v>-7.0999999999999995E-3</v>
      </c>
      <c r="L172" s="11">
        <f>'G7 Input'!AA160</f>
        <v>2.7000000000000001E-3</v>
      </c>
      <c r="M172" s="11">
        <f>'G7 Input'!AB160</f>
        <v>8.3000000000000001E-3</v>
      </c>
      <c r="O172" s="3" t="s">
        <v>226</v>
      </c>
      <c r="P172" s="14" t="str">
        <f>_xll.PLContribFull(B172*100,"BID",O172,"Slot46","TICKER",3,,"Valid")</f>
        <v>7.240 (12:14:42.773167)</v>
      </c>
      <c r="Q172" s="5" t="str">
        <f>_xll.PLContribFull(I172*100,"ASK",O172,"Slot46","TICKER",3,,"Valid")</f>
        <v>8.480 (12:14:42.760167)</v>
      </c>
      <c r="R172" s="3" t="s">
        <v>236</v>
      </c>
      <c r="S172" s="14" t="str">
        <f>_xll.PLContribFull(C172*100,"BID",R172,"Slot46","TICKER",3,,"Valid")</f>
        <v>-0.670 (12:14:42.772166)</v>
      </c>
      <c r="T172" s="14" t="str">
        <f>_xll.PLContribFull(J172*100,"ASK",R172,"Slot46","TICKER",3,,"Valid")</f>
        <v>-0.370 (12:14:42.753167)</v>
      </c>
      <c r="U172" s="3" t="s">
        <v>246</v>
      </c>
      <c r="V172" s="14" t="str">
        <f>_xll.PLContribFull(D172*100,"BID",U172,"Slot46","TICKER",3,,"Valid")</f>
        <v>-1.310 (12:14:42.764166)</v>
      </c>
      <c r="W172" s="5" t="str">
        <f>_xll.PLContribFull(K172*100,"ASK",U172,"Slot46","TICKER",3,,"Valid")</f>
        <v>-0.710 (12:14:42.775167)</v>
      </c>
      <c r="X172" s="3" t="s">
        <v>519</v>
      </c>
      <c r="Y172" s="14" t="str">
        <f>_xll.PLContribFull(E172*100,"BID",X172,"Slot46","TICKER",3,,"Valid")</f>
        <v>0.070 (12:14:42.748167)</v>
      </c>
      <c r="Z172" s="14" t="str">
        <f>_xll.PLContribFull(L172*100,"ASK",X172,"Slot46","TICKER",3,,"Valid")</f>
        <v>0.270 (12:14:42.774166)</v>
      </c>
      <c r="AA172" s="3" t="s">
        <v>256</v>
      </c>
      <c r="AB172" s="14" t="str">
        <f>_xll.PLContribFull(F172*100,"BID",AA172,"Slot46","TICKER",3,,"Valid")</f>
        <v>0.430 (12:14:42.746167)</v>
      </c>
      <c r="AC172" s="5" t="str">
        <f>_xll.PLContribFull(M172*100,"ASK",AA172,"Slot46","TICKER",3,,"Valid")</f>
        <v>0.830 (12:14:42.778167)</v>
      </c>
      <c r="AD172" s="16"/>
    </row>
    <row r="173" spans="1:30" x14ac:dyDescent="0.2">
      <c r="A173" s="12" t="s">
        <v>10</v>
      </c>
      <c r="B173" s="11">
        <f>'G7 Input'!Q161</f>
        <v>7.2849999999999998E-2</v>
      </c>
      <c r="C173" s="11">
        <f>'G7 Input'!R161</f>
        <v>-7.4999999999999997E-3</v>
      </c>
      <c r="D173" s="11">
        <f>'G7 Input'!S161</f>
        <v>-1.4499999999999999E-2</v>
      </c>
      <c r="E173" s="11">
        <f>'G7 Input'!T161</f>
        <v>7.9999999999999993E-4</v>
      </c>
      <c r="F173" s="11">
        <f>'G7 Input'!U161</f>
        <v>4.8000000000000004E-3</v>
      </c>
      <c r="H173" s="10" t="s">
        <v>10</v>
      </c>
      <c r="I173" s="11">
        <f>'G7 Input'!X161</f>
        <v>8.5150000000000003E-2</v>
      </c>
      <c r="J173" s="11">
        <f>'G7 Input'!Y161</f>
        <v>-4.5000000000000005E-3</v>
      </c>
      <c r="K173" s="11">
        <f>'G7 Input'!Z161</f>
        <v>-8.5000000000000006E-3</v>
      </c>
      <c r="L173" s="11">
        <f>'G7 Input'!AA161</f>
        <v>2.8E-3</v>
      </c>
      <c r="M173" s="11">
        <f>'G7 Input'!AB161</f>
        <v>8.8000000000000005E-3</v>
      </c>
      <c r="O173" s="3" t="s">
        <v>227</v>
      </c>
      <c r="P173" s="14" t="str">
        <f>_xll.PLContribFull(B173*100,"BID",O173,"Slot46","TICKER",3,,"Valid")</f>
        <v>7.285 (12:14:42.771168)</v>
      </c>
      <c r="Q173" s="5" t="str">
        <f>_xll.PLContribFull(I173*100,"ASK",O173,"Slot46","TICKER",3,,"Valid")</f>
        <v>8.515 (12:14:42.763166)</v>
      </c>
      <c r="R173" s="3" t="s">
        <v>237</v>
      </c>
      <c r="S173" s="14" t="str">
        <f>_xll.PLContribFull(C173*100,"BID",R173,"Slot46","TICKER",3,,"Valid")</f>
        <v>-0.750 (12:14:42.772166)</v>
      </c>
      <c r="T173" s="14" t="str">
        <f>_xll.PLContribFull(J173*100,"ASK",R173,"Slot46","TICKER",3,,"Valid")</f>
        <v>-0.450 (12:14:42.741170)</v>
      </c>
      <c r="U173" s="3" t="s">
        <v>247</v>
      </c>
      <c r="V173" s="14" t="str">
        <f>_xll.PLContribFull(D173*100,"BID",U173,"Slot46","TICKER",3,,"Valid")</f>
        <v>-1.450 (12:14:42.759166)</v>
      </c>
      <c r="W173" s="5" t="str">
        <f>_xll.PLContribFull(K173*100,"ASK",U173,"Slot46","TICKER",3,,"Valid")</f>
        <v>-0.850 (12:14:42.771168)</v>
      </c>
      <c r="X173" s="3" t="s">
        <v>520</v>
      </c>
      <c r="Y173" s="14" t="str">
        <f>_xll.PLContribFull(E173*100,"BID",X173,"Slot46","TICKER",3,,"Valid")</f>
        <v>0.080 (12:14:42.777166)</v>
      </c>
      <c r="Z173" s="14" t="str">
        <f>_xll.PLContribFull(L173*100,"ASK",X173,"Slot46","TICKER",3,,"Valid")</f>
        <v>0.280 (12:14:42.774166)</v>
      </c>
      <c r="AA173" s="3" t="s">
        <v>257</v>
      </c>
      <c r="AB173" s="14" t="str">
        <f>_xll.PLContribFull(F173*100,"BID",AA173,"Slot46","TICKER",3,,"Valid")</f>
        <v>0.480 (12:14:42.773167)</v>
      </c>
      <c r="AC173" s="5" t="str">
        <f>_xll.PLContribFull(M173*100,"ASK",AA173,"Slot46","TICKER",3,,"Valid")</f>
        <v>0.880 (12:14:42.758167)</v>
      </c>
      <c r="AD173" s="16"/>
    </row>
    <row r="174" spans="1:30" x14ac:dyDescent="0.2">
      <c r="A174" s="12" t="s">
        <v>11</v>
      </c>
      <c r="B174" s="11">
        <f>'G7 Input'!Q162</f>
        <v>7.46E-2</v>
      </c>
      <c r="C174" s="11">
        <f>'G7 Input'!R162</f>
        <v>-8.6999999999999994E-3</v>
      </c>
      <c r="D174" s="11">
        <f>'G7 Input'!S162</f>
        <v>-1.67E-2</v>
      </c>
      <c r="E174" s="11">
        <f>'G7 Input'!T162</f>
        <v>8.9999999999999998E-4</v>
      </c>
      <c r="F174" s="11">
        <f>'G7 Input'!U162</f>
        <v>5.1999999999999998E-3</v>
      </c>
      <c r="H174" s="10" t="s">
        <v>11</v>
      </c>
      <c r="I174" s="11">
        <f>'G7 Input'!X162</f>
        <v>8.6199999999999999E-2</v>
      </c>
      <c r="J174" s="11">
        <f>'G7 Input'!Y162</f>
        <v>-5.7000000000000002E-3</v>
      </c>
      <c r="K174" s="11">
        <f>'G7 Input'!Z162</f>
        <v>-1.0700000000000001E-2</v>
      </c>
      <c r="L174" s="11">
        <f>'G7 Input'!AA162</f>
        <v>2.8999999999999998E-3</v>
      </c>
      <c r="M174" s="11">
        <f>'G7 Input'!AB162</f>
        <v>9.1999999999999998E-3</v>
      </c>
      <c r="O174" s="3" t="s">
        <v>228</v>
      </c>
      <c r="P174" s="14" t="str">
        <f>_xll.PLContribFull(B174*100,"BID",O174,"Slot46","TICKER",3,,"Valid")</f>
        <v>7.460 (12:14:42.762166)</v>
      </c>
      <c r="Q174" s="5" t="str">
        <f>_xll.PLContribFull(I174*100,"ASK",O174,"Slot46","TICKER",3,,"Valid")</f>
        <v>8.620 (12:14:42.768166)</v>
      </c>
      <c r="R174" s="3" t="s">
        <v>238</v>
      </c>
      <c r="S174" s="14" t="str">
        <f>_xll.PLContribFull(C174*100,"BID",R174,"Slot46","TICKER",3,,"Valid")</f>
        <v>-0.870 (12:14:42.778167)</v>
      </c>
      <c r="T174" s="14" t="str">
        <f>_xll.PLContribFull(J174*100,"ASK",R174,"Slot46","TICKER",3,,"Valid")</f>
        <v>-0.570 (12:14:42.771168)</v>
      </c>
      <c r="U174" s="3" t="s">
        <v>248</v>
      </c>
      <c r="V174" s="14" t="str">
        <f>_xll.PLContribFull(D174*100,"BID",U174,"Slot46","TICKER",3,,"Valid")</f>
        <v>-1.670 (12:14:42.769168)</v>
      </c>
      <c r="W174" s="5" t="str">
        <f>_xll.PLContribFull(K174*100,"ASK",U174,"Slot46","TICKER",3,,"Valid")</f>
        <v>-1.070 (12:14:42.762166)</v>
      </c>
      <c r="X174" s="3" t="s">
        <v>521</v>
      </c>
      <c r="Y174" s="14" t="str">
        <f>_xll.PLContribFull(E174*100,"BID",X174,"Slot46","TICKER",3,,"Valid")</f>
        <v>0.090 (12:14:42.759166)</v>
      </c>
      <c r="Z174" s="14" t="str">
        <f>_xll.PLContribFull(L174*100,"ASK",X174,"Slot46","TICKER",3,,"Valid")</f>
        <v>0.290 (12:14:42.773167)</v>
      </c>
      <c r="AA174" s="3" t="s">
        <v>258</v>
      </c>
      <c r="AB174" s="14" t="str">
        <f>_xll.PLContribFull(F174*100,"BID",AA174,"Slot46","TICKER",3,,"Valid")</f>
        <v>0.520 (12:14:42.768166)</v>
      </c>
      <c r="AC174" s="5" t="str">
        <f>_xll.PLContribFull(M174*100,"ASK",AA174,"Slot46","TICKER",3,,"Valid")</f>
        <v>0.920 (12:14:42.775167)</v>
      </c>
      <c r="AD174" s="16"/>
    </row>
    <row r="175" spans="1:30" x14ac:dyDescent="0.2">
      <c r="A175" s="12" t="s">
        <v>12</v>
      </c>
      <c r="B175" s="11">
        <f>'G7 Input'!Q163</f>
        <v>7.825E-2</v>
      </c>
      <c r="C175" s="11">
        <f>'G7 Input'!R163</f>
        <v>-9.8999999999999991E-3</v>
      </c>
      <c r="D175" s="11">
        <f>'G7 Input'!S163</f>
        <v>-1.9099999999999999E-2</v>
      </c>
      <c r="E175" s="11">
        <f>'G7 Input'!T163</f>
        <v>1.2000000000000001E-3</v>
      </c>
      <c r="F175" s="11">
        <f>'G7 Input'!U163</f>
        <v>6.6E-3</v>
      </c>
      <c r="H175" s="10" t="s">
        <v>12</v>
      </c>
      <c r="I175" s="11">
        <f>'G7 Input'!X163</f>
        <v>8.9550000000000005E-2</v>
      </c>
      <c r="J175" s="11">
        <f>'G7 Input'!Y163</f>
        <v>-6.8999999999999999E-3</v>
      </c>
      <c r="K175" s="11">
        <f>'G7 Input'!Z163</f>
        <v>-1.3100000000000001E-2</v>
      </c>
      <c r="L175" s="11">
        <f>'G7 Input'!AA163</f>
        <v>3.2000000000000002E-3</v>
      </c>
      <c r="M175" s="11">
        <f>'G7 Input'!AB163</f>
        <v>1.06E-2</v>
      </c>
      <c r="O175" s="3" t="s">
        <v>229</v>
      </c>
      <c r="P175" s="14" t="str">
        <f>_xll.PLContribFull(B175*100,"BID",O175,"Slot46","TICKER",3,,"Valid")</f>
        <v>7.825 (12:14:42.774166)</v>
      </c>
      <c r="Q175" s="5" t="str">
        <f>_xll.PLContribFull(I175*100,"ASK",O175,"Slot46","TICKER",3,,"Valid")</f>
        <v>8.955 (12:14:42.767165)</v>
      </c>
      <c r="R175" s="3" t="s">
        <v>239</v>
      </c>
      <c r="S175" s="14" t="str">
        <f>_xll.PLContribFull(C175*100,"BID",R175,"Slot46","TICKER",3,,"Valid")</f>
        <v>-0.990 (12:14:42.759166)</v>
      </c>
      <c r="T175" s="14" t="str">
        <f>_xll.PLContribFull(J175*100,"ASK",R175,"Slot46","TICKER",3,,"Valid")</f>
        <v>-0.690 (12:14:42.768166)</v>
      </c>
      <c r="U175" s="3" t="s">
        <v>249</v>
      </c>
      <c r="V175" s="14" t="str">
        <f>_xll.PLContribFull(D175*100,"BID",U175,"Slot46","TICKER",3,,"Valid")</f>
        <v>-1.910 (12:14:42.769168)</v>
      </c>
      <c r="W175" s="5" t="str">
        <f>_xll.PLContribFull(K175*100,"ASK",U175,"Slot46","TICKER",3,,"Valid")</f>
        <v>-1.310 (12:14:42.774166)</v>
      </c>
      <c r="X175" s="3" t="s">
        <v>522</v>
      </c>
      <c r="Y175" s="14" t="str">
        <f>_xll.PLContribFull(E175*100,"BID",X175,"Slot46","TICKER",3,,"Valid")</f>
        <v>0.120 (12:14:42.772166)</v>
      </c>
      <c r="Z175" s="14" t="str">
        <f>_xll.PLContribFull(L175*100,"ASK",X175,"Slot46","TICKER",3,,"Valid")</f>
        <v>0.320 (12:14:42.765166)</v>
      </c>
      <c r="AA175" s="3" t="s">
        <v>259</v>
      </c>
      <c r="AB175" s="14" t="str">
        <f>_xll.PLContribFull(F175*100,"BID",AA175,"Slot46","TICKER",3,,"Valid")</f>
        <v>0.660 (12:14:42.767165)</v>
      </c>
      <c r="AC175" s="5" t="str">
        <f>_xll.PLContribFull(M175*100,"ASK",AA175,"Slot46","TICKER",3,,"Valid")</f>
        <v>1.060 (12:14:42.767165)</v>
      </c>
      <c r="AD175" s="16"/>
    </row>
    <row r="176" spans="1:30" x14ac:dyDescent="0.2">
      <c r="A176" s="12" t="s">
        <v>13</v>
      </c>
      <c r="B176" s="11">
        <f>'G7 Input'!Q164</f>
        <v>8.0199999999999994E-2</v>
      </c>
      <c r="C176" s="11">
        <f>'G7 Input'!R164</f>
        <v>-1.06E-2</v>
      </c>
      <c r="D176" s="11">
        <f>'G7 Input'!S164</f>
        <v>-2.0299999999999999E-2</v>
      </c>
      <c r="E176" s="11">
        <f>'G7 Input'!T164</f>
        <v>1.2999999999999999E-3</v>
      </c>
      <c r="F176" s="11">
        <f>'G7 Input'!U164</f>
        <v>7.3999999999999986E-3</v>
      </c>
      <c r="H176" s="10" t="s">
        <v>13</v>
      </c>
      <c r="I176" s="11">
        <f>'G7 Input'!X164</f>
        <v>9.1599999999999987E-2</v>
      </c>
      <c r="J176" s="11">
        <f>'G7 Input'!Y164</f>
        <v>-7.6000000000000009E-3</v>
      </c>
      <c r="K176" s="11">
        <f>'G7 Input'!Z164</f>
        <v>-1.43E-2</v>
      </c>
      <c r="L176" s="11">
        <f>'G7 Input'!AA164</f>
        <v>3.3E-3</v>
      </c>
      <c r="M176" s="11">
        <f>'G7 Input'!AB164</f>
        <v>1.1399999999999999E-2</v>
      </c>
      <c r="O176" s="3" t="s">
        <v>230</v>
      </c>
      <c r="P176" s="14" t="str">
        <f>_xll.PLContribFull(B176*100,"BID",O176,"Slot46","TICKER",3,,"Valid")</f>
        <v>8.020 (12:14:42.759166)</v>
      </c>
      <c r="Q176" s="5" t="str">
        <f>_xll.PLContribFull(I176*100,"ASK",O176,"Slot46","TICKER",3,,"Valid")</f>
        <v>9.160 (12:14:42.761166)</v>
      </c>
      <c r="R176" s="3" t="s">
        <v>240</v>
      </c>
      <c r="S176" s="14" t="str">
        <f>_xll.PLContribFull(C176*100,"BID",R176,"Slot46","TICKER",3,,"Valid")</f>
        <v>-1.060 (12:14:42.769168)</v>
      </c>
      <c r="T176" s="14" t="str">
        <f>_xll.PLContribFull(J176*100,"ASK",R176,"Slot46","TICKER",3,,"Valid")</f>
        <v>-0.760 (12:14:42.763166)</v>
      </c>
      <c r="U176" s="3" t="s">
        <v>250</v>
      </c>
      <c r="V176" s="14" t="str">
        <f>_xll.PLContribFull(D176*100,"BID",U176,"Slot46","TICKER",3,,"Valid")</f>
        <v>-2.030 (12:14:42.777166)</v>
      </c>
      <c r="W176" s="5" t="str">
        <f>_xll.PLContribFull(K176*100,"ASK",U176,"Slot46","TICKER",3,,"Valid")</f>
        <v>-1.430 (12:14:42.763166)</v>
      </c>
      <c r="X176" s="3" t="s">
        <v>523</v>
      </c>
      <c r="Y176" s="14" t="str">
        <f>_xll.PLContribFull(E176*100,"BID",X176,"Slot46","TICKER",3,,"Valid")</f>
        <v>0.130 (12:14:42.764166)</v>
      </c>
      <c r="Z176" s="14" t="str">
        <f>_xll.PLContribFull(L176*100,"ASK",X176,"Slot46","TICKER",3,,"Valid")</f>
        <v>0.330 (12:14:42.759166)</v>
      </c>
      <c r="AA176" s="3" t="s">
        <v>260</v>
      </c>
      <c r="AB176" s="14" t="str">
        <f>_xll.PLContribFull(F176*100,"BID",AA176,"Slot46","TICKER",3,,"Valid")</f>
        <v>0.740 (12:14:42.770167)</v>
      </c>
      <c r="AC176" s="5" t="str">
        <f>_xll.PLContribFull(M176*100,"ASK",AA176,"Slot46","TICKER",3,,"Valid")</f>
        <v>1.140 (12:14:42.776167)</v>
      </c>
      <c r="AD176" s="16"/>
    </row>
    <row r="177" spans="1:30" x14ac:dyDescent="0.2">
      <c r="A177" s="12" t="s">
        <v>14</v>
      </c>
      <c r="B177" s="11">
        <f>'G7 Input'!Q165</f>
        <v>8.2400000000000001E-2</v>
      </c>
      <c r="C177" s="11">
        <f>'G7 Input'!R165</f>
        <v>-1.21E-2</v>
      </c>
      <c r="D177" s="11">
        <f>'G7 Input'!S165</f>
        <v>-2.3E-2</v>
      </c>
      <c r="E177" s="11">
        <f>'G7 Input'!T165</f>
        <v>1.5999999999999999E-3</v>
      </c>
      <c r="F177" s="11">
        <f>'G7 Input'!U165</f>
        <v>9.0000000000000011E-3</v>
      </c>
      <c r="H177" s="10" t="s">
        <v>14</v>
      </c>
      <c r="I177" s="11">
        <f>'G7 Input'!X165</f>
        <v>9.5599999999999991E-2</v>
      </c>
      <c r="J177" s="11">
        <f>'G7 Input'!Y165</f>
        <v>-9.1000000000000004E-3</v>
      </c>
      <c r="K177" s="11">
        <f>'G7 Input'!Z165</f>
        <v>-1.7000000000000001E-2</v>
      </c>
      <c r="L177" s="11">
        <f>'G7 Input'!AA165</f>
        <v>3.5999999999999999E-3</v>
      </c>
      <c r="M177" s="11">
        <f>'G7 Input'!AB165</f>
        <v>1.3000000000000001E-2</v>
      </c>
      <c r="O177" s="3" t="s">
        <v>231</v>
      </c>
      <c r="P177" s="14" t="str">
        <f>_xll.PLContribFull(B177*100,"BID",O177,"Slot46","TICKER",3,,"Valid")</f>
        <v>8.240 (12:14:42.761166)</v>
      </c>
      <c r="Q177" s="5" t="str">
        <f>_xll.PLContribFull(I177*100,"ASK",O177,"Slot46","TICKER",3,,"Valid")</f>
        <v>9.560 (12:14:42.774166)</v>
      </c>
      <c r="R177" s="3" t="s">
        <v>241</v>
      </c>
      <c r="S177" s="14" t="str">
        <f>_xll.PLContribFull(C177*100,"BID",R177,"Slot46","TICKER",3,,"Valid")</f>
        <v>-1.210 (12:14:42.768166)</v>
      </c>
      <c r="T177" s="14" t="str">
        <f>_xll.PLContribFull(J177*100,"ASK",R177,"Slot46","TICKER",3,,"Valid")</f>
        <v>-0.910 (12:14:42.759166)</v>
      </c>
      <c r="U177" s="3" t="s">
        <v>251</v>
      </c>
      <c r="V177" s="14" t="str">
        <f>_xll.PLContribFull(D177*100,"BID",U177,"Slot46","TICKER",3,,"Valid")</f>
        <v>-2.300 (12:14:42.772166)</v>
      </c>
      <c r="W177" s="5" t="str">
        <f>_xll.PLContribFull(K177*100,"ASK",U177,"Slot46","TICKER",3,,"Valid")</f>
        <v>-1.700 (12:14:42.767165)</v>
      </c>
      <c r="X177" s="3" t="s">
        <v>524</v>
      </c>
      <c r="Y177" s="14" t="str">
        <f>_xll.PLContribFull(E177*100,"BID",X177,"Slot46","TICKER",3,,"Valid")</f>
        <v>0.160 (12:14:42.766166)</v>
      </c>
      <c r="Z177" s="14" t="str">
        <f>_xll.PLContribFull(L177*100,"ASK",X177,"Slot46","TICKER",3,,"Valid")</f>
        <v>0.360 (12:14:42.742167)</v>
      </c>
      <c r="AA177" s="3" t="s">
        <v>261</v>
      </c>
      <c r="AB177" s="14" t="str">
        <f>_xll.PLContribFull(F177*100,"BID",AA177,"Slot46","TICKER",3,,"Valid")</f>
        <v>0.900 (12:14:42.756167)</v>
      </c>
      <c r="AC177" s="5" t="str">
        <f>_xll.PLContribFull(M177*100,"ASK",AA177,"Slot46","TICKER",3,,"Valid")</f>
        <v>1.300 (12:14:42.769168)</v>
      </c>
      <c r="AD177" s="16"/>
    </row>
    <row r="178" spans="1:30" x14ac:dyDescent="0.2">
      <c r="A178" s="12" t="s">
        <v>876</v>
      </c>
      <c r="B178" s="11">
        <f>'G7 Input'!Q166</f>
        <v>7.8899999999999998E-2</v>
      </c>
      <c r="C178" s="11">
        <f>'G7 Input'!R166</f>
        <v>-1.26E-2</v>
      </c>
      <c r="D178" s="11">
        <f>'G7 Input'!S166</f>
        <v>-2.3699999999999999E-2</v>
      </c>
      <c r="E178" s="11">
        <f>'G7 Input'!T166</f>
        <v>1.5E-3</v>
      </c>
      <c r="F178" s="11">
        <f>'G7 Input'!U166</f>
        <v>8.8999999999999999E-3</v>
      </c>
      <c r="H178" s="10" t="s">
        <v>876</v>
      </c>
      <c r="I178" s="11">
        <f>'G7 Input'!X166</f>
        <v>0.10269999999999999</v>
      </c>
      <c r="J178" s="11">
        <f>'G7 Input'!Y166</f>
        <v>-9.6000000000000009E-3</v>
      </c>
      <c r="K178" s="11">
        <f>'G7 Input'!Z166</f>
        <v>-1.77E-2</v>
      </c>
      <c r="L178" s="11">
        <f>'G7 Input'!AA166</f>
        <v>3.5000000000000001E-3</v>
      </c>
      <c r="M178" s="11">
        <f>'G7 Input'!AB166</f>
        <v>1.29E-2</v>
      </c>
      <c r="O178" s="3" t="s">
        <v>922</v>
      </c>
      <c r="P178" s="14" t="str">
        <f>_xll.PLContribFull(B178*100,"BID",O178,"Slot46","TICKER",3,,"Valid")</f>
        <v>7.890 (12:14:42.759166)</v>
      </c>
      <c r="Q178" s="5" t="str">
        <f>_xll.PLContribFull(I178*100,"ASK",O178,"Slot46","TICKER",3,,"Valid")</f>
        <v>10.270 (12:14:42.773167)</v>
      </c>
      <c r="R178" s="3" t="s">
        <v>923</v>
      </c>
      <c r="S178" s="14" t="str">
        <f>_xll.PLContribFull(C178*100,"BID",R178,"Slot46","TICKER",3,,"Valid")</f>
        <v>-1.260 (12:14:42.766166)</v>
      </c>
      <c r="T178" s="14" t="str">
        <f>_xll.PLContribFull(J178*100,"ASK",R178,"Slot46","TICKER",3,,"Valid")</f>
        <v>-0.960 (12:14:42.763166)</v>
      </c>
      <c r="U178" s="3" t="s">
        <v>924</v>
      </c>
      <c r="V178" s="14" t="str">
        <f>_xll.PLContribFull(D178*100,"BID",U178,"Slot46","TICKER",3,,"Valid")</f>
        <v>-2.370 (12:14:42.746167)</v>
      </c>
      <c r="W178" s="5" t="str">
        <f>_xll.PLContribFull(K178*100,"ASK",U178,"Slot46","TICKER",3,,"Valid")</f>
        <v>-1.770 (12:14:42.777166)</v>
      </c>
      <c r="X178" s="3" t="s">
        <v>925</v>
      </c>
      <c r="Y178" s="14" t="str">
        <f>_xll.PLContribFull(E178*100,"BID",X178,"Slot46","TICKER",3,,"Valid")</f>
        <v>0.150 (12:14:42.772166)</v>
      </c>
      <c r="Z178" s="14" t="str">
        <f>_xll.PLContribFull(L178*100,"ASK",X178,"Slot46","TICKER",3,,"Valid")</f>
        <v>0.350 (12:14:42.770167)</v>
      </c>
      <c r="AA178" s="3" t="s">
        <v>926</v>
      </c>
      <c r="AB178" s="14" t="str">
        <f>_xll.PLContribFull(F178*100,"BID",AA178,"Slot46","TICKER",3,,"Valid")</f>
        <v>0.890 (12:14:42.775167)</v>
      </c>
      <c r="AC178" s="5" t="str">
        <f>_xll.PLContribFull(M178*100,"ASK",AA178,"Slot46","TICKER",3,,"Valid")</f>
        <v>1.290 (12:14:42.764166)</v>
      </c>
      <c r="AD178" s="16"/>
    </row>
    <row r="181" spans="1:30" x14ac:dyDescent="0.25">
      <c r="A181" s="10" t="s">
        <v>1683</v>
      </c>
      <c r="O181" s="3" t="s">
        <v>67</v>
      </c>
      <c r="P181" s="15" t="s">
        <v>68</v>
      </c>
      <c r="Q181" s="15"/>
      <c r="R181" s="3" t="s">
        <v>67</v>
      </c>
      <c r="S181" s="15" t="s">
        <v>68</v>
      </c>
      <c r="T181" s="15"/>
      <c r="U181" s="3" t="s">
        <v>67</v>
      </c>
      <c r="V181" s="15" t="s">
        <v>68</v>
      </c>
      <c r="W181" s="15"/>
      <c r="X181" s="3" t="s">
        <v>67</v>
      </c>
      <c r="Y181" s="15" t="s">
        <v>68</v>
      </c>
      <c r="Z181" s="6"/>
      <c r="AA181" s="3" t="s">
        <v>67</v>
      </c>
      <c r="AB181" s="15" t="s">
        <v>68</v>
      </c>
      <c r="AC181" s="6"/>
    </row>
    <row r="182" spans="1:30" ht="14.25" x14ac:dyDescent="0.25">
      <c r="A182" s="12" t="s">
        <v>15</v>
      </c>
      <c r="B182" s="12" t="s">
        <v>0</v>
      </c>
      <c r="C182" s="12" t="s">
        <v>1</v>
      </c>
      <c r="D182" s="12" t="s">
        <v>2</v>
      </c>
      <c r="E182" s="12" t="s">
        <v>3</v>
      </c>
      <c r="F182" s="12" t="s">
        <v>4</v>
      </c>
      <c r="H182" s="10" t="s">
        <v>16</v>
      </c>
      <c r="I182" s="10" t="s">
        <v>0</v>
      </c>
      <c r="J182" s="10" t="s">
        <v>1</v>
      </c>
      <c r="K182" s="10" t="s">
        <v>2</v>
      </c>
      <c r="L182" s="10" t="s">
        <v>3</v>
      </c>
      <c r="M182" s="10" t="s">
        <v>4</v>
      </c>
      <c r="O182" s="3" t="s">
        <v>66</v>
      </c>
      <c r="P182" s="13" t="s">
        <v>15</v>
      </c>
      <c r="Q182" s="13" t="s">
        <v>16</v>
      </c>
      <c r="R182" s="3" t="s">
        <v>1</v>
      </c>
      <c r="S182" s="13" t="s">
        <v>15</v>
      </c>
      <c r="T182" s="13" t="s">
        <v>16</v>
      </c>
      <c r="U182" s="3" t="s">
        <v>2</v>
      </c>
      <c r="V182" s="13" t="s">
        <v>15</v>
      </c>
      <c r="W182" s="13" t="s">
        <v>16</v>
      </c>
      <c r="X182" s="3" t="s">
        <v>3</v>
      </c>
      <c r="Y182" s="13" t="s">
        <v>15</v>
      </c>
      <c r="Z182" s="4" t="s">
        <v>16</v>
      </c>
      <c r="AA182" s="3" t="s">
        <v>4</v>
      </c>
      <c r="AB182" s="13" t="s">
        <v>15</v>
      </c>
      <c r="AC182" s="4" t="s">
        <v>16</v>
      </c>
      <c r="AD182" s="2"/>
    </row>
    <row r="183" spans="1:30" x14ac:dyDescent="0.2">
      <c r="A183" s="12" t="s">
        <v>5</v>
      </c>
      <c r="B183" s="11">
        <f>'G7 Input'!Q170</f>
        <v>5.0899999999999994E-2</v>
      </c>
      <c r="C183" s="11">
        <f>'G7 Input'!R170</f>
        <v>-1.14E-2</v>
      </c>
      <c r="D183" s="11">
        <f>'G7 Input'!S170</f>
        <v>-2.2699999999999998E-2</v>
      </c>
      <c r="E183" s="11">
        <f>'G7 Input'!T170</f>
        <v>-4.5999999999999999E-3</v>
      </c>
      <c r="F183" s="11">
        <f>'G7 Input'!U170</f>
        <v>-6.8999999999999999E-3</v>
      </c>
      <c r="H183" s="10" t="s">
        <v>5</v>
      </c>
      <c r="I183" s="11">
        <f>'G7 Input'!X170</f>
        <v>8.5299999999999987E-2</v>
      </c>
      <c r="J183" s="11">
        <f>'G7 Input'!Y170</f>
        <v>3.5999999999999995E-3</v>
      </c>
      <c r="K183" s="11">
        <f>'G7 Input'!Z170</f>
        <v>7.2999999999999992E-3</v>
      </c>
      <c r="L183" s="11">
        <f>'G7 Input'!AA170</f>
        <v>7.4000000000000003E-3</v>
      </c>
      <c r="M183" s="11">
        <f>'G7 Input'!AB170</f>
        <v>1.7100000000000001E-2</v>
      </c>
      <c r="O183" s="3" t="s">
        <v>1685</v>
      </c>
      <c r="P183" s="14" t="str">
        <f>_xll.PLContribFull(B183*100,"BID",O183,"Slot46","TICKER",3,,"Valid")</f>
        <v>5.090 (12:14:42.767165)</v>
      </c>
      <c r="Q183" s="5" t="str">
        <f>_xll.PLContribFull(I183*100,"ASK",O183,"Slot46","TICKER",3,,"Valid")</f>
        <v>8.530 (12:14:42.766166)</v>
      </c>
      <c r="R183" s="3" t="s">
        <v>1696</v>
      </c>
      <c r="S183" s="14" t="str">
        <f>_xll.PLContribFull(C183*100,"BID",R183,"Slot46","TICKER",3,,"Valid")</f>
        <v>-1.140 (12:14:42.751168)</v>
      </c>
      <c r="T183" s="14" t="str">
        <f>_xll.PLContribFull(J183*100,"ASK",R183,"Slot46","TICKER",3,,"Valid")</f>
        <v>0.360 (12:14:42.771168)</v>
      </c>
      <c r="U183" s="3" t="s">
        <v>1707</v>
      </c>
      <c r="V183" s="14" t="str">
        <f>_xll.PLContribFull(D183*100,"BID",U183,"Slot46","TICKER",3,,"Valid")</f>
        <v>-2.270 (12:14:42.770167)</v>
      </c>
      <c r="W183" s="5" t="str">
        <f>_xll.PLContribFull(K183*100,"ASK",U183,"Slot46","TICKER",3,,"Valid")</f>
        <v>0.730 (12:14:42.769168)</v>
      </c>
      <c r="X183" s="3" t="s">
        <v>1718</v>
      </c>
      <c r="Y183" s="14" t="str">
        <f>_xll.PLContribFull(E183*100,"BID",X183,"Slot46","TICKER",3,,"Valid")</f>
        <v>-0.460 (12:14:42.770167)</v>
      </c>
      <c r="Z183" s="14" t="str">
        <f>_xll.PLContribFull(L183*100,"ASK",X183,"Slot46","TICKER",3,,"Valid")</f>
        <v>0.740 (12:14:42.774166)</v>
      </c>
      <c r="AA183" s="3" t="s">
        <v>1729</v>
      </c>
      <c r="AB183" s="14" t="str">
        <f>_xll.PLContribFull(F183*100,"BID",AA183,"Slot46","TICKER",3,,"Valid")</f>
        <v>-0.690 (12:14:42.775167)</v>
      </c>
      <c r="AC183" s="5" t="str">
        <f>_xll.PLContribFull(M183*100,"ASK",AA183,"Slot46","TICKER",3,,"Valid")</f>
        <v>1.710 (12:14:42.761166)</v>
      </c>
      <c r="AD183" s="16"/>
    </row>
    <row r="184" spans="1:30" x14ac:dyDescent="0.2">
      <c r="A184" s="12" t="s">
        <v>6</v>
      </c>
      <c r="B184" s="11">
        <f>'G7 Input'!Q171</f>
        <v>5.7049999999999997E-2</v>
      </c>
      <c r="C184" s="11">
        <f>'G7 Input'!R171</f>
        <v>-6.2000000000000006E-3</v>
      </c>
      <c r="D184" s="11">
        <f>'G7 Input'!S171</f>
        <v>-1.2E-2</v>
      </c>
      <c r="E184" s="11">
        <f>'G7 Input'!T171</f>
        <v>-5.9999999999999984E-4</v>
      </c>
      <c r="F184" s="11">
        <f>'G7 Input'!U171</f>
        <v>8.9999999999999976E-4</v>
      </c>
      <c r="H184" s="10" t="s">
        <v>6</v>
      </c>
      <c r="I184" s="11">
        <f>'G7 Input'!X171</f>
        <v>7.2550000000000003E-2</v>
      </c>
      <c r="J184" s="11">
        <f>'G7 Input'!Y171</f>
        <v>-1.2000000000000001E-3</v>
      </c>
      <c r="K184" s="11">
        <f>'G7 Input'!Z171</f>
        <v>-1.9999999999999992E-3</v>
      </c>
      <c r="L184" s="11">
        <f>'G7 Input'!AA171</f>
        <v>3.4000000000000002E-3</v>
      </c>
      <c r="M184" s="11">
        <f>'G7 Input'!AB171</f>
        <v>8.8999999999999999E-3</v>
      </c>
      <c r="O184" s="3" t="s">
        <v>1686</v>
      </c>
      <c r="P184" s="14" t="str">
        <f>_xll.PLContribFull(B184*100,"BID",O184,"Slot46","TICKER",3,,"Valid")</f>
        <v>5.705 (12:14:42.774166)</v>
      </c>
      <c r="Q184" s="5" t="str">
        <f>_xll.PLContribFull(I184*100,"ASK",O184,"Slot46","TICKER",3,,"Valid")</f>
        <v>7.255 (12:14:42.777166)</v>
      </c>
      <c r="R184" s="3" t="s">
        <v>1697</v>
      </c>
      <c r="S184" s="14" t="str">
        <f>_xll.PLContribFull(C184*100,"BID",R184,"Slot46","TICKER",3,,"Valid")</f>
        <v>-0.620 (12:14:42.777166)</v>
      </c>
      <c r="T184" s="14" t="str">
        <f>_xll.PLContribFull(J184*100,"ASK",R184,"Slot46","TICKER",3,,"Valid")</f>
        <v>-0.120 (12:14:42.769168)</v>
      </c>
      <c r="U184" s="3" t="s">
        <v>1708</v>
      </c>
      <c r="V184" s="14" t="str">
        <f>_xll.PLContribFull(D184*100,"BID",U184,"Slot46","TICKER",3,,"Valid")</f>
        <v>-1.200 (12:14:42.775167)</v>
      </c>
      <c r="W184" s="5" t="str">
        <f>_xll.PLContribFull(K184*100,"ASK",U184,"Slot46","TICKER",3,,"Valid")</f>
        <v>-0.200 (12:14:42.764166)</v>
      </c>
      <c r="X184" s="3" t="s">
        <v>1719</v>
      </c>
      <c r="Y184" s="14" t="str">
        <f>_xll.PLContribFull(E184*100,"BID",X184,"Slot46","TICKER",3,,"Valid")</f>
        <v>-0.060 (12:14:42.753167)</v>
      </c>
      <c r="Z184" s="14" t="str">
        <f>_xll.PLContribFull(L184*100,"ASK",X184,"Slot46","TICKER",3,,"Valid")</f>
        <v>0.340 (12:14:42.766166)</v>
      </c>
      <c r="AA184" s="3" t="s">
        <v>1730</v>
      </c>
      <c r="AB184" s="14" t="str">
        <f>_xll.PLContribFull(F184*100,"BID",AA184,"Slot46","TICKER",3,,"Valid")</f>
        <v>0.090 (12:14:42.768166)</v>
      </c>
      <c r="AC184" s="5" t="str">
        <f>_xll.PLContribFull(M184*100,"ASK",AA184,"Slot46","TICKER",3,,"Valid")</f>
        <v>0.890 (12:14:42.766166)</v>
      </c>
      <c r="AD184" s="16"/>
    </row>
    <row r="185" spans="1:30" x14ac:dyDescent="0.2">
      <c r="A185" s="12" t="s">
        <v>7</v>
      </c>
      <c r="B185" s="11">
        <f>'G7 Input'!Q172</f>
        <v>6.2199999999999991E-2</v>
      </c>
      <c r="C185" s="11">
        <f>'G7 Input'!R172</f>
        <v>-4.8999999999999998E-3</v>
      </c>
      <c r="D185" s="11">
        <f>'G7 Input'!S172</f>
        <v>-9.1999999999999998E-3</v>
      </c>
      <c r="E185" s="11">
        <f>'G7 Input'!T172</f>
        <v>4.0000000000000018E-4</v>
      </c>
      <c r="F185" s="11">
        <f>'G7 Input'!U172</f>
        <v>3.0000000000000001E-3</v>
      </c>
      <c r="H185" s="10" t="s">
        <v>7</v>
      </c>
      <c r="I185" s="11">
        <f>'G7 Input'!X172</f>
        <v>7.1999999999999995E-2</v>
      </c>
      <c r="J185" s="11">
        <f>'G7 Input'!Y172</f>
        <v>-2.9000000000000002E-3</v>
      </c>
      <c r="K185" s="11">
        <f>'G7 Input'!Z172</f>
        <v>-5.1999999999999998E-3</v>
      </c>
      <c r="L185" s="11">
        <f>'G7 Input'!AA172</f>
        <v>2.4000000000000002E-3</v>
      </c>
      <c r="M185" s="11">
        <f>'G7 Input'!AB172</f>
        <v>7.0000000000000001E-3</v>
      </c>
      <c r="O185" s="3" t="s">
        <v>1687</v>
      </c>
      <c r="P185" s="14" t="str">
        <f>_xll.PLContribFull(B185*100,"BID",O185,"Slot46","TICKER",3,,"Valid")</f>
        <v>6.220 (12:14:42.775167)</v>
      </c>
      <c r="Q185" s="5" t="str">
        <f>_xll.PLContribFull(I185*100,"ASK",O185,"Slot46","TICKER",3,,"Valid")</f>
        <v>7.200 (12:14:42.759166)</v>
      </c>
      <c r="R185" s="3" t="s">
        <v>1698</v>
      </c>
      <c r="S185" s="14" t="str">
        <f>_xll.PLContribFull(C185*100,"BID",R185,"Slot46","TICKER",3,,"Valid")</f>
        <v>-0.490 (12:14:42.767165)</v>
      </c>
      <c r="T185" s="14" t="str">
        <f>_xll.PLContribFull(J185*100,"ASK",R185,"Slot46","TICKER",3,,"Valid")</f>
        <v>-0.290 (12:14:42.773167)</v>
      </c>
      <c r="U185" s="3" t="s">
        <v>1709</v>
      </c>
      <c r="V185" s="14" t="str">
        <f>_xll.PLContribFull(D185*100,"BID",U185,"Slot46","TICKER",3,,"Valid")</f>
        <v>-0.920 (12:14:42.746167)</v>
      </c>
      <c r="W185" s="5" t="str">
        <f>_xll.PLContribFull(K185*100,"ASK",U185,"Slot46","TICKER",3,,"Valid")</f>
        <v>-0.520 (12:14:42.770167)</v>
      </c>
      <c r="X185" s="3" t="s">
        <v>1720</v>
      </c>
      <c r="Y185" s="14" t="str">
        <f>_xll.PLContribFull(E185*100,"BID",X185,"Slot46","TICKER",3,,"Valid")</f>
        <v>0.040 (12:14:42.768166)</v>
      </c>
      <c r="Z185" s="14" t="str">
        <f>_xll.PLContribFull(L185*100,"ASK",X185,"Slot46","TICKER",3,,"Valid")</f>
        <v>0.240 (12:14:42.759166)</v>
      </c>
      <c r="AA185" s="3" t="s">
        <v>1731</v>
      </c>
      <c r="AB185" s="14" t="str">
        <f>_xll.PLContribFull(F185*100,"BID",AA185,"Slot46","TICKER",3,,"Valid")</f>
        <v>0.300 (12:14:42.765166)</v>
      </c>
      <c r="AC185" s="5" t="str">
        <f>_xll.PLContribFull(M185*100,"ASK",AA185,"Slot46","TICKER",3,,"Valid")</f>
        <v>0.700 (12:14:42.765166)</v>
      </c>
      <c r="AD185" s="16"/>
    </row>
    <row r="186" spans="1:30" x14ac:dyDescent="0.2">
      <c r="A186" s="12" t="s">
        <v>8</v>
      </c>
      <c r="B186" s="11">
        <f>'G7 Input'!Q173</f>
        <v>6.3250000000000001E-2</v>
      </c>
      <c r="C186" s="11">
        <f>'G7 Input'!R173</f>
        <v>-4.8000000000000004E-3</v>
      </c>
      <c r="D186" s="11">
        <f>'G7 Input'!S173</f>
        <v>-9.1000000000000004E-3</v>
      </c>
      <c r="E186" s="11">
        <f>'G7 Input'!T173</f>
        <v>4.0000000000000018E-4</v>
      </c>
      <c r="F186" s="11">
        <f>'G7 Input'!U173</f>
        <v>3.0000000000000001E-3</v>
      </c>
      <c r="H186" s="10" t="s">
        <v>8</v>
      </c>
      <c r="I186" s="11">
        <f>'G7 Input'!X173</f>
        <v>6.8149999999999988E-2</v>
      </c>
      <c r="J186" s="11">
        <f>'G7 Input'!Y173</f>
        <v>-2.8E-3</v>
      </c>
      <c r="K186" s="11">
        <f>'G7 Input'!Z173</f>
        <v>-5.0999999999999995E-3</v>
      </c>
      <c r="L186" s="11">
        <f>'G7 Input'!AA173</f>
        <v>2.4000000000000002E-3</v>
      </c>
      <c r="M186" s="11">
        <f>'G7 Input'!AB173</f>
        <v>7.0000000000000001E-3</v>
      </c>
      <c r="O186" s="3" t="s">
        <v>1688</v>
      </c>
      <c r="P186" s="14" t="str">
        <f>_xll.PLContribFull(B186*100,"BID",O186,"Slot46","TICKER",3,,"Valid")</f>
        <v>6.325 (12:14:42.754169)</v>
      </c>
      <c r="Q186" s="5" t="str">
        <f>_xll.PLContribFull(I186*100,"ASK",O186,"Slot46","TICKER",3,,"Valid")</f>
        <v>6.815 (12:14:42.778167)</v>
      </c>
      <c r="R186" s="3" t="s">
        <v>1706</v>
      </c>
      <c r="S186" s="14" t="str">
        <f>_xll.PLContribFull(C186*100,"BID",R186,"Slot46","TICKER",3,,"Valid")</f>
        <v>-0.480 (12:14:42.756167)</v>
      </c>
      <c r="T186" s="14" t="str">
        <f>_xll.PLContribFull(J186*100,"ASK",R186,"Slot46","TICKER",3,,"Valid")</f>
        <v>-0.280 (12:14:42.766166)</v>
      </c>
      <c r="U186" s="3" t="s">
        <v>1710</v>
      </c>
      <c r="V186" s="14" t="str">
        <f>_xll.PLContribFull(D186*100,"BID",U186,"Slot46","TICKER",3,,"Valid")</f>
        <v>-0.910 (12:14:42.776167)</v>
      </c>
      <c r="W186" s="5" t="str">
        <f>_xll.PLContribFull(K186*100,"ASK",U186,"Slot46","TICKER",3,,"Valid")</f>
        <v>-0.510 (12:14:42.775167)</v>
      </c>
      <c r="X186" s="3" t="s">
        <v>1721</v>
      </c>
      <c r="Y186" s="14" t="str">
        <f>_xll.PLContribFull(E186*100,"BID",X186,"Slot46","TICKER",3,,"Valid")</f>
        <v>0.040 (12:14:42.744167)</v>
      </c>
      <c r="Z186" s="14" t="str">
        <f>_xll.PLContribFull(L186*100,"ASK",X186,"Slot46","TICKER",3,,"Valid")</f>
        <v>0.240 (12:14:42.764166)</v>
      </c>
      <c r="AA186" s="3" t="s">
        <v>1732</v>
      </c>
      <c r="AB186" s="14" t="str">
        <f>_xll.PLContribFull(F186*100,"BID",AA186,"Slot46","TICKER",3,,"Valid")</f>
        <v>0.300 (12:14:42.763166)</v>
      </c>
      <c r="AC186" s="5" t="str">
        <f>_xll.PLContribFull(M186*100,"ASK",AA186,"Slot46","TICKER",3,,"Valid")</f>
        <v>0.700 (12:14:42.759166)</v>
      </c>
      <c r="AD186" s="16"/>
    </row>
    <row r="187" spans="1:30" x14ac:dyDescent="0.2">
      <c r="A187" s="12" t="s">
        <v>9</v>
      </c>
      <c r="B187" s="11">
        <f>'G7 Input'!Q174</f>
        <v>6.2899999999999998E-2</v>
      </c>
      <c r="C187" s="11">
        <f>'G7 Input'!R174</f>
        <v>-5.0999999999999995E-3</v>
      </c>
      <c r="D187" s="11">
        <f>'G7 Input'!S174</f>
        <v>-9.4999999999999998E-3</v>
      </c>
      <c r="E187" s="11">
        <f>'G7 Input'!T174</f>
        <v>5.0000000000000001E-4</v>
      </c>
      <c r="F187" s="11">
        <f>'G7 Input'!U174</f>
        <v>3.4000000000000002E-3</v>
      </c>
      <c r="H187" s="10" t="s">
        <v>9</v>
      </c>
      <c r="I187" s="11">
        <f>'G7 Input'!X174</f>
        <v>6.8699999999999997E-2</v>
      </c>
      <c r="J187" s="11">
        <f>'G7 Input'!Y174</f>
        <v>-3.0999999999999995E-3</v>
      </c>
      <c r="K187" s="11">
        <f>'G7 Input'!Z174</f>
        <v>-5.4999999999999997E-3</v>
      </c>
      <c r="L187" s="11">
        <f>'G7 Input'!AA174</f>
        <v>2.5000000000000001E-3</v>
      </c>
      <c r="M187" s="11">
        <f>'G7 Input'!AB174</f>
        <v>7.4000000000000003E-3</v>
      </c>
      <c r="O187" s="3" t="s">
        <v>1689</v>
      </c>
      <c r="P187" s="14" t="str">
        <f>_xll.PLContribFull(B187*100,"BID",O187,"Slot46","TICKER",3,,"Valid")</f>
        <v>6.290 (12:14:42.765166)</v>
      </c>
      <c r="Q187" s="5" t="str">
        <f>_xll.PLContribFull(I187*100,"ASK",O187,"Slot46","TICKER",3,,"Valid")</f>
        <v>6.870 (12:14:42.745167)</v>
      </c>
      <c r="R187" s="3" t="s">
        <v>1699</v>
      </c>
      <c r="S187" s="14" t="str">
        <f>_xll.PLContribFull(C187*100,"BID",R187,"Slot46","TICKER",3,,"Valid")</f>
        <v>-0.510 (12:14:42.776167)</v>
      </c>
      <c r="T187" s="14" t="str">
        <f>_xll.PLContribFull(J187*100,"ASK",R187,"Slot46","TICKER",3,,"Valid")</f>
        <v>-0.310 (12:14:42.763166)</v>
      </c>
      <c r="U187" s="3" t="s">
        <v>1711</v>
      </c>
      <c r="V187" s="14" t="str">
        <f>_xll.PLContribFull(D187*100,"BID",U187,"Slot46","TICKER",3,,"Valid")</f>
        <v>-0.950 (12:14:42.772166)</v>
      </c>
      <c r="W187" s="5" t="str">
        <f>_xll.PLContribFull(K187*100,"ASK",U187,"Slot46","TICKER",3,,"Valid")</f>
        <v>-0.550 (12:14:42.770167)</v>
      </c>
      <c r="X187" s="3" t="s">
        <v>1722</v>
      </c>
      <c r="Y187" s="14" t="str">
        <f>_xll.PLContribFull(E187*100,"BID",X187,"Slot46","TICKER",3,,"Valid")</f>
        <v>0.050 (12:14:42.765166)</v>
      </c>
      <c r="Z187" s="14" t="str">
        <f>_xll.PLContribFull(L187*100,"ASK",X187,"Slot46","TICKER",3,,"Valid")</f>
        <v>0.250 (12:14:42.759166)</v>
      </c>
      <c r="AA187" s="3" t="s">
        <v>1733</v>
      </c>
      <c r="AB187" s="14" t="str">
        <f>_xll.PLContribFull(F187*100,"BID",AA187,"Slot46","TICKER",3,,"Valid")</f>
        <v>0.340 (12:14:42.759166)</v>
      </c>
      <c r="AC187" s="5" t="str">
        <f>_xll.PLContribFull(M187*100,"ASK",AA187,"Slot46","TICKER",3,,"Valid")</f>
        <v>0.740 (12:14:42.774166)</v>
      </c>
      <c r="AD187" s="16"/>
    </row>
    <row r="188" spans="1:30" x14ac:dyDescent="0.2">
      <c r="A188" s="12" t="s">
        <v>10</v>
      </c>
      <c r="B188" s="11">
        <f>'G7 Input'!Q175</f>
        <v>6.3649999999999998E-2</v>
      </c>
      <c r="C188" s="11">
        <f>'G7 Input'!R175</f>
        <v>-5.4000000000000003E-3</v>
      </c>
      <c r="D188" s="11">
        <f>'G7 Input'!S175</f>
        <v>-1.0100000000000001E-2</v>
      </c>
      <c r="E188" s="11">
        <f>'G7 Input'!T175</f>
        <v>6.0000000000000006E-4</v>
      </c>
      <c r="F188" s="11">
        <f>'G7 Input'!U175</f>
        <v>3.8999999999999998E-3</v>
      </c>
      <c r="H188" s="10" t="s">
        <v>10</v>
      </c>
      <c r="I188" s="11">
        <f>'G7 Input'!X175</f>
        <v>6.8150000000000002E-2</v>
      </c>
      <c r="J188" s="11">
        <f>'G7 Input'!Y175</f>
        <v>-3.4000000000000002E-3</v>
      </c>
      <c r="K188" s="11">
        <f>'G7 Input'!Z175</f>
        <v>-6.1000000000000013E-3</v>
      </c>
      <c r="L188" s="11">
        <f>'G7 Input'!AA175</f>
        <v>2.5999999999999999E-3</v>
      </c>
      <c r="M188" s="11">
        <f>'G7 Input'!AB175</f>
        <v>7.9000000000000008E-3</v>
      </c>
      <c r="O188" s="3" t="s">
        <v>1690</v>
      </c>
      <c r="P188" s="14" t="str">
        <f>_xll.PLContribFull(B188*100,"BID",O188,"Slot46","TICKER",3,,"Valid")</f>
        <v>6.365 (12:14:42.765166)</v>
      </c>
      <c r="Q188" s="5" t="str">
        <f>_xll.PLContribFull(I188*100,"ASK",O188,"Slot46","TICKER",3,,"Valid")</f>
        <v>6.815 (12:14:42.769168)</v>
      </c>
      <c r="R188" s="3" t="s">
        <v>1700</v>
      </c>
      <c r="S188" s="14" t="str">
        <f>_xll.PLContribFull(C188*100,"BID",R188,"Slot46","TICKER",3,,"Valid")</f>
        <v>-0.540 (12:14:42.769168)</v>
      </c>
      <c r="T188" s="14" t="str">
        <f>_xll.PLContribFull(J188*100,"ASK",R188,"Slot46","TICKER",3,,"Valid")</f>
        <v>-0.340 (12:14:42.764166)</v>
      </c>
      <c r="U188" s="3" t="s">
        <v>1712</v>
      </c>
      <c r="V188" s="14" t="str">
        <f>_xll.PLContribFull(D188*100,"BID",U188,"Slot46","TICKER",3,,"Valid")</f>
        <v>-1.010 (12:14:42.763166)</v>
      </c>
      <c r="W188" s="5" t="str">
        <f>_xll.PLContribFull(K188*100,"ASK",U188,"Slot46","TICKER",3,,"Valid")</f>
        <v>-0.610 (12:14:42.766166)</v>
      </c>
      <c r="X188" s="3" t="s">
        <v>1723</v>
      </c>
      <c r="Y188" s="14" t="str">
        <f>_xll.PLContribFull(E188*100,"BID",X188,"Slot46","TICKER",3,,"Valid")</f>
        <v>0.060 (12:14:42.767165)</v>
      </c>
      <c r="Z188" s="14" t="str">
        <f>_xll.PLContribFull(L188*100,"ASK",X188,"Slot46","TICKER",3,,"Valid")</f>
        <v>0.260 (12:14:42.772166)</v>
      </c>
      <c r="AA188" s="3" t="s">
        <v>1734</v>
      </c>
      <c r="AB188" s="14" t="str">
        <f>_xll.PLContribFull(F188*100,"BID",AA188,"Slot46","TICKER",3,,"Valid")</f>
        <v>0.390 (12:14:42.772166)</v>
      </c>
      <c r="AC188" s="5" t="str">
        <f>_xll.PLContribFull(M188*100,"ASK",AA188,"Slot46","TICKER",3,,"Valid")</f>
        <v>0.790 (12:14:42.763166)</v>
      </c>
      <c r="AD188" s="16"/>
    </row>
    <row r="189" spans="1:30" x14ac:dyDescent="0.2">
      <c r="A189" s="12" t="s">
        <v>11</v>
      </c>
      <c r="B189" s="11">
        <f>'G7 Input'!Q176</f>
        <v>6.565E-2</v>
      </c>
      <c r="C189" s="11">
        <f>'G7 Input'!R176</f>
        <v>-6.6999999999999994E-3</v>
      </c>
      <c r="D189" s="11">
        <f>'G7 Input'!S176</f>
        <v>-1.26E-2</v>
      </c>
      <c r="E189" s="11">
        <f>'G7 Input'!T176</f>
        <v>1.2000000000000001E-3</v>
      </c>
      <c r="F189" s="11">
        <f>'G7 Input'!U176</f>
        <v>6.1999999999999989E-3</v>
      </c>
      <c r="H189" s="10" t="s">
        <v>11</v>
      </c>
      <c r="I189" s="11">
        <f>'G7 Input'!X176</f>
        <v>6.9949999999999998E-2</v>
      </c>
      <c r="J189" s="11">
        <f>'G7 Input'!Y176</f>
        <v>-4.6999999999999993E-3</v>
      </c>
      <c r="K189" s="11">
        <f>'G7 Input'!Z176</f>
        <v>-8.6E-3</v>
      </c>
      <c r="L189" s="11">
        <f>'G7 Input'!AA176</f>
        <v>3.2000000000000002E-3</v>
      </c>
      <c r="M189" s="11">
        <f>'G7 Input'!AB176</f>
        <v>1.0199999999999999E-2</v>
      </c>
      <c r="O189" s="3" t="s">
        <v>1691</v>
      </c>
      <c r="P189" s="14" t="str">
        <f>_xll.PLContribFull(B189*100,"BID",O189,"Slot46","TICKER",3,,"Valid")</f>
        <v>6.565 (12:14:42.765166)</v>
      </c>
      <c r="Q189" s="5" t="str">
        <f>_xll.PLContribFull(I189*100,"ASK",O189,"Slot46","TICKER",3,,"Valid")</f>
        <v>6.995 (12:14:42.771168)</v>
      </c>
      <c r="R189" s="3" t="s">
        <v>1701</v>
      </c>
      <c r="S189" s="14" t="str">
        <f>_xll.PLContribFull(C189*100,"BID",R189,"Slot46","TICKER",3,,"Valid")</f>
        <v>-0.670 (12:14:42.743167)</v>
      </c>
      <c r="T189" s="14" t="str">
        <f>_xll.PLContribFull(J189*100,"ASK",R189,"Slot46","TICKER",3,,"Valid")</f>
        <v>-0.470 (12:14:42.761166)</v>
      </c>
      <c r="U189" s="3" t="s">
        <v>1713</v>
      </c>
      <c r="V189" s="14" t="str">
        <f>_xll.PLContribFull(D189*100,"BID",U189,"Slot46","TICKER",3,,"Valid")</f>
        <v>-1.260 (12:14:42.768166)</v>
      </c>
      <c r="W189" s="5" t="str">
        <f>_xll.PLContribFull(K189*100,"ASK",U189,"Slot46","TICKER",3,,"Valid")</f>
        <v>-0.860 (12:14:42.774166)</v>
      </c>
      <c r="X189" s="3" t="s">
        <v>1724</v>
      </c>
      <c r="Y189" s="14" t="str">
        <f>_xll.PLContribFull(E189*100,"BID",X189,"Slot46","TICKER",3,,"Valid")</f>
        <v>0.120 (12:14:42.770167)</v>
      </c>
      <c r="Z189" s="14" t="str">
        <f>_xll.PLContribFull(L189*100,"ASK",X189,"Slot46","TICKER",3,,"Valid")</f>
        <v>0.320 (12:14:42.763166)</v>
      </c>
      <c r="AA189" s="3" t="s">
        <v>1735</v>
      </c>
      <c r="AB189" s="14" t="str">
        <f>_xll.PLContribFull(F189*100,"BID",AA189,"Slot46","TICKER",3,,"Valid")</f>
        <v>0.620 (12:14:42.769168)</v>
      </c>
      <c r="AC189" s="5" t="str">
        <f>_xll.PLContribFull(M189*100,"ASK",AA189,"Slot46","TICKER",3,,"Valid")</f>
        <v>1.020 (12:14:42.778167)</v>
      </c>
      <c r="AD189" s="16"/>
    </row>
    <row r="190" spans="1:30" x14ac:dyDescent="0.2">
      <c r="A190" s="12" t="s">
        <v>12</v>
      </c>
      <c r="B190" s="11">
        <f>'G7 Input'!Q177</f>
        <v>6.83E-2</v>
      </c>
      <c r="C190" s="11">
        <f>'G7 Input'!R177</f>
        <v>-7.0999999999999995E-3</v>
      </c>
      <c r="D190" s="11">
        <f>'G7 Input'!S177</f>
        <v>-1.35E-2</v>
      </c>
      <c r="E190" s="11">
        <f>'G7 Input'!T177</f>
        <v>1.3999999999999998E-3</v>
      </c>
      <c r="F190" s="11">
        <f>'G7 Input'!U177</f>
        <v>7.4999999999999997E-3</v>
      </c>
      <c r="H190" s="10" t="s">
        <v>12</v>
      </c>
      <c r="I190" s="11">
        <f>'G7 Input'!X177</f>
        <v>7.2500000000000009E-2</v>
      </c>
      <c r="J190" s="11">
        <f>'G7 Input'!Y177</f>
        <v>-5.0999999999999995E-3</v>
      </c>
      <c r="K190" s="11">
        <f>'G7 Input'!Z177</f>
        <v>-9.4999999999999998E-3</v>
      </c>
      <c r="L190" s="11">
        <f>'G7 Input'!AA177</f>
        <v>3.3999999999999998E-3</v>
      </c>
      <c r="M190" s="11">
        <f>'G7 Input'!AB177</f>
        <v>1.15E-2</v>
      </c>
      <c r="O190" s="3" t="s">
        <v>1692</v>
      </c>
      <c r="P190" s="14" t="str">
        <f>_xll.PLContribFull(B190*100,"BID",O190,"Slot46","TICKER",3,,"Valid")</f>
        <v>6.830 (12:14:42.768166)</v>
      </c>
      <c r="Q190" s="5" t="str">
        <f>_xll.PLContribFull(I190*100,"ASK",O190,"Slot46","TICKER",3,,"Valid")</f>
        <v>7.250 (12:14:42.760167)</v>
      </c>
      <c r="R190" s="3" t="s">
        <v>1702</v>
      </c>
      <c r="S190" s="14" t="str">
        <f>_xll.PLContribFull(C190*100,"BID",R190,"Slot46","TICKER",3,,"Valid")</f>
        <v>-0.710 (12:14:42.747168)</v>
      </c>
      <c r="T190" s="14" t="str">
        <f>_xll.PLContribFull(J190*100,"ASK",R190,"Slot46","TICKER",3,,"Valid")</f>
        <v>-0.510 (12:14:42.764166)</v>
      </c>
      <c r="U190" s="3" t="s">
        <v>1714</v>
      </c>
      <c r="V190" s="14" t="str">
        <f>_xll.PLContribFull(D190*100,"BID",U190,"Slot46","TICKER",3,,"Valid")</f>
        <v>-1.350 (12:14:42.747168)</v>
      </c>
      <c r="W190" s="5" t="str">
        <f>_xll.PLContribFull(K190*100,"ASK",U190,"Slot46","TICKER",3,,"Valid")</f>
        <v>-0.950 (12:14:42.770167)</v>
      </c>
      <c r="X190" s="3" t="s">
        <v>1725</v>
      </c>
      <c r="Y190" s="14" t="str">
        <f>_xll.PLContribFull(E190*100,"BID",X190,"Slot46","TICKER",3,,"Valid")</f>
        <v>0.140 (12:14:42.761166)</v>
      </c>
      <c r="Z190" s="14" t="str">
        <f>_xll.PLContribFull(L190*100,"ASK",X190,"Slot46","TICKER",3,,"Valid")</f>
        <v>0.340 (12:14:42.748167)</v>
      </c>
      <c r="AA190" s="3" t="s">
        <v>1736</v>
      </c>
      <c r="AB190" s="14" t="str">
        <f>_xll.PLContribFull(F190*100,"BID",AA190,"Slot46","TICKER",3,,"Valid")</f>
        <v>0.750 (12:14:42.768166)</v>
      </c>
      <c r="AC190" s="5" t="str">
        <f>_xll.PLContribFull(M190*100,"ASK",AA190,"Slot46","TICKER",3,,"Valid")</f>
        <v>1.150 (12:14:42.762166)</v>
      </c>
      <c r="AD190" s="16"/>
    </row>
    <row r="191" spans="1:30" x14ac:dyDescent="0.2">
      <c r="A191" s="12" t="s">
        <v>13</v>
      </c>
      <c r="B191" s="11">
        <f>'G7 Input'!Q178</f>
        <v>7.060000000000001E-2</v>
      </c>
      <c r="C191" s="11">
        <f>'G7 Input'!R178</f>
        <v>-7.6E-3</v>
      </c>
      <c r="D191" s="11">
        <f>'G7 Input'!S178</f>
        <v>-1.43E-2</v>
      </c>
      <c r="E191" s="11">
        <f>'G7 Input'!T178</f>
        <v>1.7000000000000001E-3</v>
      </c>
      <c r="F191" s="11">
        <f>'G7 Input'!U178</f>
        <v>8.7000000000000011E-3</v>
      </c>
      <c r="H191" s="10" t="s">
        <v>13</v>
      </c>
      <c r="I191" s="11">
        <f>'G7 Input'!X178</f>
        <v>7.4999999999999997E-2</v>
      </c>
      <c r="J191" s="11">
        <f>'G7 Input'!Y178</f>
        <v>-5.5999999999999999E-3</v>
      </c>
      <c r="K191" s="11">
        <f>'G7 Input'!Z178</f>
        <v>-1.03E-2</v>
      </c>
      <c r="L191" s="11">
        <f>'G7 Input'!AA178</f>
        <v>3.7000000000000002E-3</v>
      </c>
      <c r="M191" s="11">
        <f>'G7 Input'!AB178</f>
        <v>1.2700000000000001E-2</v>
      </c>
      <c r="O191" s="3" t="s">
        <v>1693</v>
      </c>
      <c r="P191" s="14" t="str">
        <f>_xll.PLContribFull(B191*100,"BID",O191,"Slot46","TICKER",3,,"Valid")</f>
        <v>7.060 (12:14:42.762166)</v>
      </c>
      <c r="Q191" s="5" t="str">
        <f>_xll.PLContribFull(I191*100,"ASK",O191,"Slot46","TICKER",3,,"Valid")</f>
        <v>7.500 (12:14:42.766166)</v>
      </c>
      <c r="R191" s="3" t="s">
        <v>1703</v>
      </c>
      <c r="S191" s="14" t="str">
        <f>_xll.PLContribFull(C191*100,"BID",R191,"Slot46","TICKER",3,,"Valid")</f>
        <v>-0.760 (12:14:42.754169)</v>
      </c>
      <c r="T191" s="14" t="str">
        <f>_xll.PLContribFull(J191*100,"ASK",R191,"Slot46","TICKER",3,,"Valid")</f>
        <v>-0.560 (12:14:42.776167)</v>
      </c>
      <c r="U191" s="3" t="s">
        <v>1715</v>
      </c>
      <c r="V191" s="14" t="str">
        <f>_xll.PLContribFull(D191*100,"BID",U191,"Slot46","TICKER",3,,"Valid")</f>
        <v>-1.430 (12:14:42.772166)</v>
      </c>
      <c r="W191" s="5" t="str">
        <f>_xll.PLContribFull(K191*100,"ASK",U191,"Slot46","TICKER",3,,"Valid")</f>
        <v>-1.030 (12:14:42.760167)</v>
      </c>
      <c r="X191" s="3" t="s">
        <v>1726</v>
      </c>
      <c r="Y191" s="14" t="str">
        <f>_xll.PLContribFull(E191*100,"BID",X191,"Slot46","TICKER",3,,"Valid")</f>
        <v>0.170 (12:14:42.750168)</v>
      </c>
      <c r="Z191" s="14" t="str">
        <f>_xll.PLContribFull(L191*100,"ASK",X191,"Slot46","TICKER",3,,"Valid")</f>
        <v>0.370 (12:14:42.770167)</v>
      </c>
      <c r="AA191" s="3" t="s">
        <v>1737</v>
      </c>
      <c r="AB191" s="14" t="str">
        <f>_xll.PLContribFull(F191*100,"BID",AA191,"Slot46","TICKER",3,,"Valid")</f>
        <v>0.870 (12:14:42.778167)</v>
      </c>
      <c r="AC191" s="5" t="str">
        <f>_xll.PLContribFull(M191*100,"ASK",AA191,"Slot46","TICKER",3,,"Valid")</f>
        <v>1.270 (12:14:42.744167)</v>
      </c>
      <c r="AD191" s="16"/>
    </row>
    <row r="192" spans="1:30" x14ac:dyDescent="0.2">
      <c r="A192" s="12" t="s">
        <v>14</v>
      </c>
      <c r="B192" s="11">
        <f>'G7 Input'!Q179</f>
        <v>7.46E-2</v>
      </c>
      <c r="C192" s="11">
        <f>'G7 Input'!R179</f>
        <v>-8.5000000000000006E-3</v>
      </c>
      <c r="D192" s="11">
        <f>'G7 Input'!S179</f>
        <v>-1.5300000000000001E-2</v>
      </c>
      <c r="E192" s="11">
        <f>'G7 Input'!T179</f>
        <v>2.0999999999999999E-3</v>
      </c>
      <c r="F192" s="11">
        <f>'G7 Input'!U179</f>
        <v>9.5999999999999992E-3</v>
      </c>
      <c r="H192" s="10" t="s">
        <v>14</v>
      </c>
      <c r="I192" s="11">
        <f>'G7 Input'!X179</f>
        <v>7.8999999999999987E-2</v>
      </c>
      <c r="J192" s="11">
        <f>'G7 Input'!Y179</f>
        <v>-6.4999999999999997E-3</v>
      </c>
      <c r="K192" s="11">
        <f>'G7 Input'!Z179</f>
        <v>-1.1300000000000001E-2</v>
      </c>
      <c r="L192" s="11">
        <f>'G7 Input'!AA179</f>
        <v>4.0999999999999995E-3</v>
      </c>
      <c r="M192" s="11">
        <f>'G7 Input'!AB179</f>
        <v>1.3599999999999999E-2</v>
      </c>
      <c r="O192" s="3" t="s">
        <v>1694</v>
      </c>
      <c r="P192" s="14" t="str">
        <f>_xll.PLContribFull(B192*100,"BID",O192,"Slot46","TICKER",3,,"Valid")</f>
        <v>7.460 (12:14:42.762166)</v>
      </c>
      <c r="Q192" s="5" t="str">
        <f>_xll.PLContribFull(I192*100,"ASK",O192,"Slot46","TICKER",3,,"Valid")</f>
        <v>7.900 (12:14:42.766166)</v>
      </c>
      <c r="R192" s="3" t="s">
        <v>1704</v>
      </c>
      <c r="S192" s="14" t="str">
        <f>_xll.PLContribFull(C192*100,"BID",R192,"Slot46","TICKER",3,,"Valid")</f>
        <v>-0.850 (12:14:42.773167)</v>
      </c>
      <c r="T192" s="14" t="str">
        <f>_xll.PLContribFull(J192*100,"ASK",R192,"Slot46","TICKER",3,,"Valid")</f>
        <v>-0.650 (12:14:42.761166)</v>
      </c>
      <c r="U192" s="3" t="s">
        <v>1716</v>
      </c>
      <c r="V192" s="14" t="str">
        <f>_xll.PLContribFull(D192*100,"BID",U192,"Slot46","TICKER",3,,"Valid")</f>
        <v>-1.530 (12:14:42.762166)</v>
      </c>
      <c r="W192" s="5" t="str">
        <f>_xll.PLContribFull(K192*100,"ASK",U192,"Slot46","TICKER",3,,"Valid")</f>
        <v>-1.130 (12:14:42.760167)</v>
      </c>
      <c r="X192" s="3" t="s">
        <v>1727</v>
      </c>
      <c r="Y192" s="14" t="str">
        <f>_xll.PLContribFull(E192*100,"BID",X192,"Slot46","TICKER",3,,"Valid")</f>
        <v>0.210 (12:14:42.775167)</v>
      </c>
      <c r="Z192" s="14" t="str">
        <f>_xll.PLContribFull(L192*100,"ASK",X192,"Slot46","TICKER",3,,"Valid")</f>
        <v>0.410 (12:14:42.776167)</v>
      </c>
      <c r="AA192" s="3" t="s">
        <v>1738</v>
      </c>
      <c r="AB192" s="14" t="str">
        <f>_xll.PLContribFull(F192*100,"BID",AA192,"Slot46","TICKER",3,,"Valid")</f>
        <v>0.960 (12:14:42.741170)</v>
      </c>
      <c r="AC192" s="5" t="str">
        <f>_xll.PLContribFull(M192*100,"ASK",AA192,"Slot46","TICKER",3,,"Valid")</f>
        <v>1.360 (12:14:42.775167)</v>
      </c>
      <c r="AD192" s="16"/>
    </row>
    <row r="193" spans="1:30" x14ac:dyDescent="0.2">
      <c r="A193" s="12" t="s">
        <v>876</v>
      </c>
      <c r="B193" s="11">
        <f>'G7 Input'!Q180</f>
        <v>7.6850000000000002E-2</v>
      </c>
      <c r="C193" s="11">
        <f>'G7 Input'!R180</f>
        <v>-9.3999999999999986E-3</v>
      </c>
      <c r="D193" s="11">
        <f>'G7 Input'!S180</f>
        <v>-1.67E-2</v>
      </c>
      <c r="E193" s="11">
        <f>'G7 Input'!T180</f>
        <v>2E-3</v>
      </c>
      <c r="F193" s="11">
        <f>'G7 Input'!U180</f>
        <v>9.7999999999999997E-3</v>
      </c>
      <c r="H193" s="10" t="s">
        <v>876</v>
      </c>
      <c r="I193" s="11">
        <f>'G7 Input'!X180</f>
        <v>8.2350000000000007E-2</v>
      </c>
      <c r="J193" s="11">
        <f>'G7 Input'!Y180</f>
        <v>-7.3999999999999995E-3</v>
      </c>
      <c r="K193" s="11">
        <f>'G7 Input'!Z180</f>
        <v>-1.2699999999999999E-2</v>
      </c>
      <c r="L193" s="11">
        <f>'G7 Input'!AA180</f>
        <v>4.0000000000000001E-3</v>
      </c>
      <c r="M193" s="11">
        <f>'G7 Input'!AB180</f>
        <v>1.38E-2</v>
      </c>
      <c r="O193" s="3" t="s">
        <v>1695</v>
      </c>
      <c r="P193" s="14" t="str">
        <f>_xll.PLContribFull(B193*100,"BID",O193,"Slot46","TICKER",3,,"Valid")</f>
        <v>7.685 (12:14:42.764166)</v>
      </c>
      <c r="Q193" s="5" t="str">
        <f>_xll.PLContribFull(I193*100,"ASK",O193,"Slot46","TICKER",3,,"Valid")</f>
        <v>8.235 (12:14:42.759166)</v>
      </c>
      <c r="R193" s="3" t="s">
        <v>1705</v>
      </c>
      <c r="S193" s="14" t="str">
        <f>_xll.PLContribFull(C193*100,"BID",R193,"Slot46","TICKER",3,,"Valid")</f>
        <v>-0.940 (12:14:42.771168)</v>
      </c>
      <c r="T193" s="14" t="str">
        <f>_xll.PLContribFull(J193*100,"ASK",R193,"Slot46","TICKER",3,,"Valid")</f>
        <v>-0.740 (12:14:42.764166)</v>
      </c>
      <c r="U193" s="3" t="s">
        <v>1717</v>
      </c>
      <c r="V193" s="14" t="str">
        <f>_xll.PLContribFull(D193*100,"BID",U193,"Slot46","TICKER",3,,"Valid")</f>
        <v>-1.670 (12:14:42.772166)</v>
      </c>
      <c r="W193" s="5" t="str">
        <f>_xll.PLContribFull(K193*100,"ASK",U193,"Slot46","TICKER",3,,"Valid")</f>
        <v>-1.270 (12:14:42.773167)</v>
      </c>
      <c r="X193" s="3" t="s">
        <v>1728</v>
      </c>
      <c r="Y193" s="14" t="str">
        <f>_xll.PLContribFull(E193*100,"BID",X193,"Slot46","TICKER",3,,"Valid")</f>
        <v>0.200 (12:14:42.769168)</v>
      </c>
      <c r="Z193" s="14" t="str">
        <f>_xll.PLContribFull(L193*100,"ASK",X193,"Slot46","TICKER",3,,"Valid")</f>
        <v>0.400 (12:14:42.763166)</v>
      </c>
      <c r="AA193" s="3" t="s">
        <v>1739</v>
      </c>
      <c r="AB193" s="14" t="str">
        <f>_xll.PLContribFull(F193*100,"BID",AA193,"Slot46","TICKER",3,,"Valid")</f>
        <v>0.980 (12:14:42.754169)</v>
      </c>
      <c r="AC193" s="5" t="str">
        <f>_xll.PLContribFull(M193*100,"ASK",AA193,"Slot46","TICKER",3,,"Valid")</f>
        <v>1.380 (12:14:42.778167)</v>
      </c>
      <c r="AD193" s="16"/>
    </row>
    <row r="196" spans="1:30" x14ac:dyDescent="0.25">
      <c r="A196" s="10" t="s">
        <v>1684</v>
      </c>
      <c r="O196" s="3" t="s">
        <v>67</v>
      </c>
      <c r="P196" s="15" t="s">
        <v>68</v>
      </c>
      <c r="Q196" s="15"/>
      <c r="R196" s="3" t="s">
        <v>67</v>
      </c>
      <c r="S196" s="15" t="s">
        <v>68</v>
      </c>
      <c r="T196" s="15"/>
      <c r="U196" s="3" t="s">
        <v>67</v>
      </c>
      <c r="V196" s="15" t="s">
        <v>68</v>
      </c>
      <c r="W196" s="15"/>
      <c r="X196" s="3" t="s">
        <v>67</v>
      </c>
      <c r="Y196" s="15" t="s">
        <v>68</v>
      </c>
      <c r="Z196" s="6"/>
      <c r="AA196" s="3" t="s">
        <v>67</v>
      </c>
      <c r="AB196" s="15" t="s">
        <v>68</v>
      </c>
      <c r="AC196" s="6"/>
    </row>
    <row r="197" spans="1:30" ht="14.25" x14ac:dyDescent="0.25">
      <c r="A197" s="12" t="s">
        <v>15</v>
      </c>
      <c r="B197" s="12" t="s">
        <v>0</v>
      </c>
      <c r="C197" s="12" t="s">
        <v>1</v>
      </c>
      <c r="D197" s="12" t="s">
        <v>2</v>
      </c>
      <c r="E197" s="12" t="s">
        <v>3</v>
      </c>
      <c r="F197" s="12" t="s">
        <v>4</v>
      </c>
      <c r="H197" s="10" t="s">
        <v>16</v>
      </c>
      <c r="I197" s="10" t="s">
        <v>0</v>
      </c>
      <c r="J197" s="10" t="s">
        <v>1</v>
      </c>
      <c r="K197" s="10" t="s">
        <v>2</v>
      </c>
      <c r="L197" s="10" t="s">
        <v>3</v>
      </c>
      <c r="M197" s="10" t="s">
        <v>4</v>
      </c>
      <c r="O197" s="3" t="s">
        <v>66</v>
      </c>
      <c r="P197" s="13" t="s">
        <v>15</v>
      </c>
      <c r="Q197" s="13" t="s">
        <v>16</v>
      </c>
      <c r="R197" s="3" t="s">
        <v>1</v>
      </c>
      <c r="S197" s="13" t="s">
        <v>15</v>
      </c>
      <c r="T197" s="13" t="s">
        <v>16</v>
      </c>
      <c r="U197" s="3" t="s">
        <v>2</v>
      </c>
      <c r="V197" s="13" t="s">
        <v>15</v>
      </c>
      <c r="W197" s="13" t="s">
        <v>16</v>
      </c>
      <c r="X197" s="3" t="s">
        <v>3</v>
      </c>
      <c r="Y197" s="13" t="s">
        <v>15</v>
      </c>
      <c r="Z197" s="4" t="s">
        <v>16</v>
      </c>
      <c r="AA197" s="3" t="s">
        <v>4</v>
      </c>
      <c r="AB197" s="13" t="s">
        <v>15</v>
      </c>
      <c r="AC197" s="4" t="s">
        <v>16</v>
      </c>
      <c r="AD197" s="2"/>
    </row>
    <row r="198" spans="1:30" x14ac:dyDescent="0.2">
      <c r="A198" s="12" t="s">
        <v>5</v>
      </c>
      <c r="B198" s="11">
        <f>'G7 Input'!Q184</f>
        <v>5.4749999999999993E-2</v>
      </c>
      <c r="C198" s="11">
        <f>'G7 Input'!R184</f>
        <v>-7.3000000000000001E-3</v>
      </c>
      <c r="D198" s="11">
        <f>'G7 Input'!S184</f>
        <v>-1.4499999999999999E-2</v>
      </c>
      <c r="E198" s="11">
        <f>'G7 Input'!T184</f>
        <v>-4.5999999999999999E-3</v>
      </c>
      <c r="F198" s="11">
        <f>'G7 Input'!U184</f>
        <v>-6.8000000000000005E-3</v>
      </c>
      <c r="H198" s="10" t="s">
        <v>5</v>
      </c>
      <c r="I198" s="11">
        <f>'G7 Input'!X184</f>
        <v>8.3449999999999996E-2</v>
      </c>
      <c r="J198" s="11">
        <f>'G7 Input'!Y184</f>
        <v>7.6999999999999994E-3</v>
      </c>
      <c r="K198" s="11">
        <f>'G7 Input'!Z184</f>
        <v>1.55E-2</v>
      </c>
      <c r="L198" s="11">
        <f>'G7 Input'!AA184</f>
        <v>7.4000000000000003E-3</v>
      </c>
      <c r="M198" s="11">
        <f>'G7 Input'!AB184</f>
        <v>1.72E-2</v>
      </c>
      <c r="O198" s="3" t="s">
        <v>1740</v>
      </c>
      <c r="P198" s="14" t="str">
        <f>_xll.PLContribFull(B198*100,"BID",O198,"Slot46","TICKER",3,,"Valid")</f>
        <v>5.475 (12:14:42.777166)</v>
      </c>
      <c r="Q198" s="5" t="str">
        <f>_xll.PLContribFull(I198*100,"ASK",O198,"Slot46","TICKER",3,,"Valid")</f>
        <v>8.345 (12:14:42.772166)</v>
      </c>
      <c r="R198" s="3" t="s">
        <v>1751</v>
      </c>
      <c r="S198" s="14" t="str">
        <f>_xll.PLContribFull(C198*100,"BID",R198,"Slot46","TICKER",3,,"Valid")</f>
        <v>-0.730 (12:14:42.766166)</v>
      </c>
      <c r="T198" s="14" t="str">
        <f>_xll.PLContribFull(J198*100,"ASK",R198,"Slot46","TICKER",3,,"Valid")</f>
        <v>0.770 (12:14:42.771168)</v>
      </c>
      <c r="U198" s="3" t="s">
        <v>1762</v>
      </c>
      <c r="V198" s="14" t="str">
        <f>_xll.PLContribFull(D198*100,"BID",U198,"Slot46","TICKER",3,,"Valid")</f>
        <v>-1.450 (12:14:42.772166)</v>
      </c>
      <c r="W198" s="5" t="str">
        <f>_xll.PLContribFull(K198*100,"ASK",U198,"Slot46","TICKER",3,,"Valid")</f>
        <v>1.550 (12:14:42.744167)</v>
      </c>
      <c r="X198" s="3" t="s">
        <v>1773</v>
      </c>
      <c r="Y198" s="14" t="str">
        <f>_xll.PLContribFull(E198*100,"BID",X198,"Slot46","TICKER",3,,"Valid")</f>
        <v>-0.460 (12:14:42.760167)</v>
      </c>
      <c r="Z198" s="14" t="str">
        <f>_xll.PLContribFull(L198*100,"ASK",X198,"Slot46","TICKER",3,,"Valid")</f>
        <v>0.740 (12:14:42.771168)</v>
      </c>
      <c r="AA198" s="3" t="s">
        <v>1784</v>
      </c>
      <c r="AB198" s="14" t="str">
        <f>_xll.PLContribFull(F198*100,"BID",AA198,"Slot46","TICKER",3,,"Valid")</f>
        <v>-0.680 (12:14:42.768166)</v>
      </c>
      <c r="AC198" s="5" t="str">
        <f>_xll.PLContribFull(M198*100,"ASK",AA198,"Slot46","TICKER",3,,"Valid")</f>
        <v>1.720 (12:14:42.769168)</v>
      </c>
      <c r="AD198" s="16"/>
    </row>
    <row r="199" spans="1:30" x14ac:dyDescent="0.2">
      <c r="A199" s="12" t="s">
        <v>6</v>
      </c>
      <c r="B199" s="11">
        <f>'G7 Input'!Q185</f>
        <v>5.8950000000000002E-2</v>
      </c>
      <c r="C199" s="11">
        <f>'G7 Input'!R185</f>
        <v>-2.3E-3</v>
      </c>
      <c r="D199" s="11">
        <f>'G7 Input'!S185</f>
        <v>-4.5999999999999999E-3</v>
      </c>
      <c r="E199" s="11">
        <f>'G7 Input'!T185</f>
        <v>-5.9999999999999984E-4</v>
      </c>
      <c r="F199" s="11">
        <f>'G7 Input'!U185</f>
        <v>8.9999999999999976E-4</v>
      </c>
      <c r="H199" s="10" t="s">
        <v>6</v>
      </c>
      <c r="I199" s="11">
        <f>'G7 Input'!X185</f>
        <v>7.0849999999999996E-2</v>
      </c>
      <c r="J199" s="11">
        <f>'G7 Input'!Y185</f>
        <v>2.7000000000000001E-3</v>
      </c>
      <c r="K199" s="11">
        <f>'G7 Input'!Z185</f>
        <v>5.4000000000000003E-3</v>
      </c>
      <c r="L199" s="11">
        <f>'G7 Input'!AA185</f>
        <v>3.4000000000000002E-3</v>
      </c>
      <c r="M199" s="11">
        <f>'G7 Input'!AB185</f>
        <v>8.8999999999999999E-3</v>
      </c>
      <c r="O199" s="3" t="s">
        <v>1741</v>
      </c>
      <c r="P199" s="14" t="str">
        <f>_xll.PLContribFull(B199*100,"BID",O199,"Slot46","TICKER",3,,"Valid")</f>
        <v>5.895 (12:14:42.769168)</v>
      </c>
      <c r="Q199" s="5" t="str">
        <f>_xll.PLContribFull(I199*100,"ASK",O199,"Slot46","TICKER",3,,"Valid")</f>
        <v>7.085 (12:14:42.764166)</v>
      </c>
      <c r="R199" s="3" t="s">
        <v>1752</v>
      </c>
      <c r="S199" s="14" t="str">
        <f>_xll.PLContribFull(C199*100,"BID",R199,"Slot46","TICKER",3,,"Valid")</f>
        <v>-0.230 (12:14:42.760167)</v>
      </c>
      <c r="T199" s="14" t="str">
        <f>_xll.PLContribFull(J199*100,"ASK",R199,"Slot46","TICKER",3,,"Valid")</f>
        <v>0.270 (12:14:42.763166)</v>
      </c>
      <c r="U199" s="3" t="s">
        <v>1763</v>
      </c>
      <c r="V199" s="14" t="str">
        <f>_xll.PLContribFull(D199*100,"BID",U199,"Slot46","TICKER",3,,"Valid")</f>
        <v>-0.460 (12:14:42.768166)</v>
      </c>
      <c r="W199" s="5" t="str">
        <f>_xll.PLContribFull(K199*100,"ASK",U199,"Slot46","TICKER",3,,"Valid")</f>
        <v>0.540 (12:14:42.775167)</v>
      </c>
      <c r="X199" s="3" t="s">
        <v>1774</v>
      </c>
      <c r="Y199" s="14" t="str">
        <f>_xll.PLContribFull(E199*100,"BID",X199,"Slot46","TICKER",3,,"Valid")</f>
        <v>-0.060 (12:14:42.760167)</v>
      </c>
      <c r="Z199" s="14" t="str">
        <f>_xll.PLContribFull(L199*100,"ASK",X199,"Slot46","TICKER",3,,"Valid")</f>
        <v>0.340 (12:14:42.768166)</v>
      </c>
      <c r="AA199" s="3" t="s">
        <v>1785</v>
      </c>
      <c r="AB199" s="14" t="str">
        <f>_xll.PLContribFull(F199*100,"BID",AA199,"Slot46","TICKER",3,,"Valid")</f>
        <v>0.090 (12:14:42.760167)</v>
      </c>
      <c r="AC199" s="5" t="str">
        <f>_xll.PLContribFull(M199*100,"ASK",AA199,"Slot46","TICKER",3,,"Valid")</f>
        <v>0.890 (12:14:42.754169)</v>
      </c>
      <c r="AD199" s="16"/>
    </row>
    <row r="200" spans="1:30" x14ac:dyDescent="0.2">
      <c r="A200" s="12" t="s">
        <v>7</v>
      </c>
      <c r="B200" s="11">
        <f>'G7 Input'!Q186</f>
        <v>6.1499999999999985E-2</v>
      </c>
      <c r="C200" s="11">
        <f>'G7 Input'!R186</f>
        <v>-1.9999999999999998E-4</v>
      </c>
      <c r="D200" s="11">
        <f>'G7 Input'!S186</f>
        <v>-2.9999999999999992E-4</v>
      </c>
      <c r="E200" s="11">
        <f>'G7 Input'!T186</f>
        <v>4.0000000000000018E-4</v>
      </c>
      <c r="F200" s="11">
        <f>'G7 Input'!U186</f>
        <v>3.1000000000000003E-3</v>
      </c>
      <c r="H200" s="10" t="s">
        <v>7</v>
      </c>
      <c r="I200" s="11">
        <f>'G7 Input'!X186</f>
        <v>7.1499999999999994E-2</v>
      </c>
      <c r="J200" s="11">
        <f>'G7 Input'!Y186</f>
        <v>1.8E-3</v>
      </c>
      <c r="K200" s="11">
        <f>'G7 Input'!Z186</f>
        <v>3.7000000000000002E-3</v>
      </c>
      <c r="L200" s="11">
        <f>'G7 Input'!AA186</f>
        <v>2.4000000000000002E-3</v>
      </c>
      <c r="M200" s="11">
        <f>'G7 Input'!AB186</f>
        <v>7.1000000000000004E-3</v>
      </c>
      <c r="O200" s="3" t="s">
        <v>1742</v>
      </c>
      <c r="P200" s="14" t="str">
        <f>_xll.PLContribFull(B200*100,"BID",O200,"Slot46","TICKER",3,,"Valid")</f>
        <v>6.150 (12:14:42.770167)</v>
      </c>
      <c r="Q200" s="5" t="str">
        <f>_xll.PLContribFull(I200*100,"ASK",O200,"Slot46","TICKER",3,,"Valid")</f>
        <v>7.150 (12:14:42.774166)</v>
      </c>
      <c r="R200" s="3" t="s">
        <v>1753</v>
      </c>
      <c r="S200" s="14" t="str">
        <f>_xll.PLContribFull(C200*100,"BID",R200,"Slot46","TICKER",3,,"Valid")</f>
        <v>-0.020 (12:14:42.767165)</v>
      </c>
      <c r="T200" s="14" t="str">
        <f>_xll.PLContribFull(J200*100,"ASK",R200,"Slot46","TICKER",3,,"Valid")</f>
        <v>0.180 (12:14:42.773167)</v>
      </c>
      <c r="U200" s="3" t="s">
        <v>1764</v>
      </c>
      <c r="V200" s="14" t="str">
        <f>_xll.PLContribFull(D200*100,"BID",U200,"Slot46","TICKER",3,,"Valid")</f>
        <v>-0.030 (12:14:42.764166)</v>
      </c>
      <c r="W200" s="5" t="str">
        <f>_xll.PLContribFull(K200*100,"ASK",U200,"Slot46","TICKER",3,,"Valid")</f>
        <v>0.370 (12:14:42.771168)</v>
      </c>
      <c r="X200" s="3" t="s">
        <v>1775</v>
      </c>
      <c r="Y200" s="14" t="str">
        <f>_xll.PLContribFull(E200*100,"BID",X200,"Slot46","TICKER",3,,"Valid")</f>
        <v>0.040 (12:14:42.774166)</v>
      </c>
      <c r="Z200" s="14" t="str">
        <f>_xll.PLContribFull(L200*100,"ASK",X200,"Slot46","TICKER",3,,"Valid")</f>
        <v>0.240 (12:14:42.746167)</v>
      </c>
      <c r="AA200" s="3" t="s">
        <v>1786</v>
      </c>
      <c r="AB200" s="14" t="str">
        <f>_xll.PLContribFull(F200*100,"BID",AA200,"Slot46","TICKER",3,,"Valid")</f>
        <v>0.310 (12:14:42.769168)</v>
      </c>
      <c r="AC200" s="5" t="str">
        <f>_xll.PLContribFull(M200*100,"ASK",AA200,"Slot46","TICKER",3,,"Valid")</f>
        <v>0.710 (12:14:42.755167)</v>
      </c>
      <c r="AD200" s="16"/>
    </row>
    <row r="201" spans="1:30" x14ac:dyDescent="0.2">
      <c r="A201" s="12" t="s">
        <v>8</v>
      </c>
      <c r="B201" s="11">
        <f>'G7 Input'!Q187</f>
        <v>6.2199999999999991E-2</v>
      </c>
      <c r="C201" s="11">
        <f>'G7 Input'!R187</f>
        <v>1.0000000000000005E-4</v>
      </c>
      <c r="D201" s="11">
        <f>'G7 Input'!S187</f>
        <v>2.0000000000000009E-4</v>
      </c>
      <c r="E201" s="11">
        <f>'G7 Input'!T187</f>
        <v>4.0000000000000018E-4</v>
      </c>
      <c r="F201" s="11">
        <f>'G7 Input'!U187</f>
        <v>3.1000000000000003E-3</v>
      </c>
      <c r="H201" s="10" t="s">
        <v>8</v>
      </c>
      <c r="I201" s="11">
        <f>'G7 Input'!X187</f>
        <v>6.8999999999999992E-2</v>
      </c>
      <c r="J201" s="11">
        <f>'G7 Input'!Y187</f>
        <v>2.1000000000000003E-3</v>
      </c>
      <c r="K201" s="11">
        <f>'G7 Input'!Z187</f>
        <v>4.2000000000000006E-3</v>
      </c>
      <c r="L201" s="11">
        <f>'G7 Input'!AA187</f>
        <v>2.4000000000000002E-3</v>
      </c>
      <c r="M201" s="11">
        <f>'G7 Input'!AB187</f>
        <v>7.1000000000000004E-3</v>
      </c>
      <c r="O201" s="3" t="s">
        <v>1743</v>
      </c>
      <c r="P201" s="14" t="str">
        <f>_xll.PLContribFull(B201*100,"BID",O201,"Slot46","TICKER",3,,"Valid")</f>
        <v>6.220 (12:14:42.769168)</v>
      </c>
      <c r="Q201" s="5" t="str">
        <f>_xll.PLContribFull(I201*100,"ASK",O201,"Slot46","TICKER",3,,"Valid")</f>
        <v>6.900 (12:14:42.777166)</v>
      </c>
      <c r="R201" s="3" t="s">
        <v>1761</v>
      </c>
      <c r="S201" s="14" t="str">
        <f>_xll.PLContribFull(C201*100,"BID",R201,"Slot46","TICKER",3,,"Valid")</f>
        <v>0.010 (12:14:42.763166)</v>
      </c>
      <c r="T201" s="14" t="str">
        <f>_xll.PLContribFull(J201*100,"ASK",R201,"Slot46","TICKER",3,,"Valid")</f>
        <v>0.210 (12:14:42.760167)</v>
      </c>
      <c r="U201" s="3" t="s">
        <v>1765</v>
      </c>
      <c r="V201" s="14" t="str">
        <f>_xll.PLContribFull(D201*100,"BID",U201,"Slot46","TICKER",3,,"Valid")</f>
        <v>0.020 (12:14:42.743167)</v>
      </c>
      <c r="W201" s="5" t="str">
        <f>_xll.PLContribFull(K201*100,"ASK",U201,"Slot46","TICKER",3,,"Valid")</f>
        <v>0.420 (12:14:42.768166)</v>
      </c>
      <c r="X201" s="3" t="s">
        <v>1776</v>
      </c>
      <c r="Y201" s="14" t="str">
        <f>_xll.PLContribFull(E201*100,"BID",X201,"Slot46","TICKER",3,,"Valid")</f>
        <v>0.040 (12:14:42.776167)</v>
      </c>
      <c r="Z201" s="14" t="str">
        <f>_xll.PLContribFull(L201*100,"ASK",X201,"Slot46","TICKER",3,,"Valid")</f>
        <v>0.240 (12:14:42.777166)</v>
      </c>
      <c r="AA201" s="3" t="s">
        <v>1787</v>
      </c>
      <c r="AB201" s="14" t="str">
        <f>_xll.PLContribFull(F201*100,"BID",AA201,"Slot46","TICKER",3,,"Valid")</f>
        <v>0.310 (12:14:42.766166)</v>
      </c>
      <c r="AC201" s="5" t="str">
        <f>_xll.PLContribFull(M201*100,"ASK",AA201,"Slot46","TICKER",3,,"Valid")</f>
        <v>0.710 (12:14:42.753167)</v>
      </c>
      <c r="AD201" s="16"/>
    </row>
    <row r="202" spans="1:30" x14ac:dyDescent="0.2">
      <c r="A202" s="12" t="s">
        <v>9</v>
      </c>
      <c r="B202" s="11">
        <f>'G7 Input'!Q188</f>
        <v>6.2349999999999989E-2</v>
      </c>
      <c r="C202" s="11">
        <f>'G7 Input'!R188</f>
        <v>1.8999999999999998E-3</v>
      </c>
      <c r="D202" s="11">
        <f>'G7 Input'!S188</f>
        <v>3.6999999999999993E-3</v>
      </c>
      <c r="E202" s="11">
        <f>'G7 Input'!T188</f>
        <v>6.0000000000000006E-4</v>
      </c>
      <c r="F202" s="11">
        <f>'G7 Input'!U188</f>
        <v>3.6999999999999993E-3</v>
      </c>
      <c r="H202" s="10" t="s">
        <v>9</v>
      </c>
      <c r="I202" s="11">
        <f>'G7 Input'!X188</f>
        <v>6.905E-2</v>
      </c>
      <c r="J202" s="11">
        <f>'G7 Input'!Y188</f>
        <v>3.8999999999999998E-3</v>
      </c>
      <c r="K202" s="11">
        <f>'G7 Input'!Z188</f>
        <v>7.6999999999999994E-3</v>
      </c>
      <c r="L202" s="11">
        <f>'G7 Input'!AA188</f>
        <v>2.5999999999999999E-3</v>
      </c>
      <c r="M202" s="11">
        <f>'G7 Input'!AB188</f>
        <v>7.6999999999999994E-3</v>
      </c>
      <c r="O202" s="3" t="s">
        <v>1744</v>
      </c>
      <c r="P202" s="14" t="str">
        <f>_xll.PLContribFull(B202*100,"BID",O202,"Slot46","TICKER",3,,"Valid")</f>
        <v>6.235 (12:14:42.760167)</v>
      </c>
      <c r="Q202" s="5" t="str">
        <f>_xll.PLContribFull(I202*100,"ASK",O202,"Slot46","TICKER",3,,"Valid")</f>
        <v>6.905 (12:14:42.762166)</v>
      </c>
      <c r="R202" s="3" t="s">
        <v>1754</v>
      </c>
      <c r="S202" s="14" t="str">
        <f>_xll.PLContribFull(C202*100,"BID",R202,"Slot46","TICKER",3,,"Valid")</f>
        <v>0.190 (12:14:42.764166)</v>
      </c>
      <c r="T202" s="14" t="str">
        <f>_xll.PLContribFull(J202*100,"ASK",R202,"Slot46","TICKER",3,,"Valid")</f>
        <v>0.390 (12:14:42.762166)</v>
      </c>
      <c r="U202" s="3" t="s">
        <v>1766</v>
      </c>
      <c r="V202" s="14" t="str">
        <f>_xll.PLContribFull(D202*100,"BID",U202,"Slot46","TICKER",3,,"Valid")</f>
        <v>0.370 (12:14:42.778167)</v>
      </c>
      <c r="W202" s="5" t="str">
        <f>_xll.PLContribFull(K202*100,"ASK",U202,"Slot46","TICKER",3,,"Valid")</f>
        <v>0.770 (12:14:42.744167)</v>
      </c>
      <c r="X202" s="3" t="s">
        <v>1777</v>
      </c>
      <c r="Y202" s="14" t="str">
        <f>_xll.PLContribFull(E202*100,"BID",X202,"Slot46","TICKER",3,,"Valid")</f>
        <v>0.060 (12:14:42.758167)</v>
      </c>
      <c r="Z202" s="14" t="str">
        <f>_xll.PLContribFull(L202*100,"ASK",X202,"Slot46","TICKER",3,,"Valid")</f>
        <v>0.260 (12:14:42.745167)</v>
      </c>
      <c r="AA202" s="3" t="s">
        <v>1788</v>
      </c>
      <c r="AB202" s="14" t="str">
        <f>_xll.PLContribFull(F202*100,"BID",AA202,"Slot46","TICKER",3,,"Valid")</f>
        <v>0.370 (12:14:42.777166)</v>
      </c>
      <c r="AC202" s="5" t="str">
        <f>_xll.PLContribFull(M202*100,"ASK",AA202,"Slot46","TICKER",3,,"Valid")</f>
        <v>0.770 (12:14:42.775167)</v>
      </c>
      <c r="AD202" s="16"/>
    </row>
    <row r="203" spans="1:30" x14ac:dyDescent="0.2">
      <c r="A203" s="12" t="s">
        <v>10</v>
      </c>
      <c r="B203" s="11">
        <f>'G7 Input'!Q189</f>
        <v>6.2299999999999994E-2</v>
      </c>
      <c r="C203" s="11">
        <f>'G7 Input'!R189</f>
        <v>3.5000000000000005E-3</v>
      </c>
      <c r="D203" s="11">
        <f>'G7 Input'!S189</f>
        <v>6.8999999999999999E-3</v>
      </c>
      <c r="E203" s="11">
        <f>'G7 Input'!T189</f>
        <v>7.000000000000001E-4</v>
      </c>
      <c r="F203" s="11">
        <f>'G7 Input'!U189</f>
        <v>4.3E-3</v>
      </c>
      <c r="H203" s="10" t="s">
        <v>10</v>
      </c>
      <c r="I203" s="11">
        <f>'G7 Input'!X189</f>
        <v>6.9099999999999995E-2</v>
      </c>
      <c r="J203" s="11">
        <f>'G7 Input'!Y189</f>
        <v>5.5000000000000005E-3</v>
      </c>
      <c r="K203" s="11">
        <f>'G7 Input'!Z189</f>
        <v>1.09E-2</v>
      </c>
      <c r="L203" s="11">
        <f>'G7 Input'!AA189</f>
        <v>2.7000000000000001E-3</v>
      </c>
      <c r="M203" s="11">
        <f>'G7 Input'!AB189</f>
        <v>8.3000000000000001E-3</v>
      </c>
      <c r="O203" s="3" t="s">
        <v>1745</v>
      </c>
      <c r="P203" s="14" t="str">
        <f>_xll.PLContribFull(B203*100,"BID",O203,"Slot46","TICKER",3,,"Valid")</f>
        <v>6.230 (12:14:42.769168)</v>
      </c>
      <c r="Q203" s="5" t="str">
        <f>_xll.PLContribFull(I203*100,"ASK",O203,"Slot46","TICKER",3,,"Valid")</f>
        <v>6.910 (12:14:42.772166)</v>
      </c>
      <c r="R203" s="3" t="s">
        <v>1755</v>
      </c>
      <c r="S203" s="14" t="str">
        <f>_xll.PLContribFull(C203*100,"BID",R203,"Slot46","TICKER",3,,"Valid")</f>
        <v>0.350 (12:14:42.772166)</v>
      </c>
      <c r="T203" s="14" t="str">
        <f>_xll.PLContribFull(J203*100,"ASK",R203,"Slot46","TICKER",3,,"Valid")</f>
        <v>0.550 (12:14:42.779168)</v>
      </c>
      <c r="U203" s="3" t="s">
        <v>1767</v>
      </c>
      <c r="V203" s="14" t="str">
        <f>_xll.PLContribFull(D203*100,"BID",U203,"Slot46","TICKER",3,,"Valid")</f>
        <v>0.690 (12:14:42.772166)</v>
      </c>
      <c r="W203" s="5" t="str">
        <f>_xll.PLContribFull(K203*100,"ASK",U203,"Slot46","TICKER",3,,"Valid")</f>
        <v>1.090 (12:14:42.764166)</v>
      </c>
      <c r="X203" s="3" t="s">
        <v>1778</v>
      </c>
      <c r="Y203" s="14" t="str">
        <f>_xll.PLContribFull(E203*100,"BID",X203,"Slot46","TICKER",3,,"Valid")</f>
        <v>0.070 (12:14:42.768166)</v>
      </c>
      <c r="Z203" s="14" t="str">
        <f>_xll.PLContribFull(L203*100,"ASK",X203,"Slot46","TICKER",3,,"Valid")</f>
        <v>0.270 (12:14:42.749167)</v>
      </c>
      <c r="AA203" s="3" t="s">
        <v>1789</v>
      </c>
      <c r="AB203" s="14" t="str">
        <f>_xll.PLContribFull(F203*100,"BID",AA203,"Slot46","TICKER",3,,"Valid")</f>
        <v>0.430 (12:14:42.771168)</v>
      </c>
      <c r="AC203" s="5" t="str">
        <f>_xll.PLContribFull(M203*100,"ASK",AA203,"Slot46","TICKER",3,,"Valid")</f>
        <v>0.830 (12:14:42.778167)</v>
      </c>
      <c r="AD203" s="16"/>
    </row>
    <row r="204" spans="1:30" x14ac:dyDescent="0.2">
      <c r="A204" s="12" t="s">
        <v>11</v>
      </c>
      <c r="B204" s="11">
        <f>'G7 Input'!Q190</f>
        <v>6.4200000000000007E-2</v>
      </c>
      <c r="C204" s="11">
        <f>'G7 Input'!R190</f>
        <v>4.8999999999999998E-3</v>
      </c>
      <c r="D204" s="11">
        <f>'G7 Input'!S190</f>
        <v>0.01</v>
      </c>
      <c r="E204" s="11">
        <f>'G7 Input'!T190</f>
        <v>1.5E-3</v>
      </c>
      <c r="F204" s="11">
        <f>'G7 Input'!U190</f>
        <v>6.8999999999999999E-3</v>
      </c>
      <c r="H204" s="10" t="s">
        <v>11</v>
      </c>
      <c r="I204" s="11">
        <f>'G7 Input'!X190</f>
        <v>7.0800000000000002E-2</v>
      </c>
      <c r="J204" s="11">
        <f>'G7 Input'!Y190</f>
        <v>6.8999999999999999E-3</v>
      </c>
      <c r="K204" s="11">
        <f>'G7 Input'!Z190</f>
        <v>1.4E-2</v>
      </c>
      <c r="L204" s="11">
        <f>'G7 Input'!AA190</f>
        <v>3.5000000000000001E-3</v>
      </c>
      <c r="M204" s="11">
        <f>'G7 Input'!AB190</f>
        <v>1.09E-2</v>
      </c>
      <c r="O204" s="3" t="s">
        <v>1746</v>
      </c>
      <c r="P204" s="14" t="str">
        <f>_xll.PLContribFull(B204*100,"BID",O204,"Slot46","TICKER",3,,"Valid")</f>
        <v>6.420 (12:14:42.766166)</v>
      </c>
      <c r="Q204" s="5" t="str">
        <f>_xll.PLContribFull(I204*100,"ASK",O204,"Slot46","TICKER",3,,"Valid")</f>
        <v>7.080 (12:14:42.777166)</v>
      </c>
      <c r="R204" s="3" t="s">
        <v>1756</v>
      </c>
      <c r="S204" s="14" t="str">
        <f>_xll.PLContribFull(C204*100,"BID",R204,"Slot46","TICKER",3,,"Valid")</f>
        <v>0.490 (12:14:42.745167)</v>
      </c>
      <c r="T204" s="14" t="str">
        <f>_xll.PLContribFull(J204*100,"ASK",R204,"Slot46","TICKER",3,,"Valid")</f>
        <v>0.690 (12:14:42.768166)</v>
      </c>
      <c r="U204" s="3" t="s">
        <v>1768</v>
      </c>
      <c r="V204" s="14" t="str">
        <f>_xll.PLContribFull(D204*100,"BID",U204,"Slot46","TICKER",3,,"Valid")</f>
        <v>1.000 (12:14:42.765166)</v>
      </c>
      <c r="W204" s="5" t="str">
        <f>_xll.PLContribFull(K204*100,"ASK",U204,"Slot46","TICKER",3,,"Valid")</f>
        <v>1.400 (12:14:42.774166)</v>
      </c>
      <c r="X204" s="3" t="s">
        <v>1779</v>
      </c>
      <c r="Y204" s="14" t="str">
        <f>_xll.PLContribFull(E204*100,"BID",X204,"Slot46","TICKER",3,,"Valid")</f>
        <v>0.150 (12:14:42.768166)</v>
      </c>
      <c r="Z204" s="14" t="str">
        <f>_xll.PLContribFull(L204*100,"ASK",X204,"Slot46","TICKER",3,,"Valid")</f>
        <v>0.350 (12:14:42.748167)</v>
      </c>
      <c r="AA204" s="3" t="s">
        <v>1790</v>
      </c>
      <c r="AB204" s="14" t="str">
        <f>_xll.PLContribFull(F204*100,"BID",AA204,"Slot46","TICKER",3,,"Valid")</f>
        <v>0.690 (12:14:42.771168)</v>
      </c>
      <c r="AC204" s="5" t="str">
        <f>_xll.PLContribFull(M204*100,"ASK",AA204,"Slot46","TICKER",3,,"Valid")</f>
        <v>1.090 (12:14:42.759166)</v>
      </c>
      <c r="AD204" s="16"/>
    </row>
    <row r="205" spans="1:30" x14ac:dyDescent="0.2">
      <c r="A205" s="12" t="s">
        <v>12</v>
      </c>
      <c r="B205" s="11">
        <f>'G7 Input'!Q191</f>
        <v>6.7449999999999996E-2</v>
      </c>
      <c r="C205" s="11">
        <f>'G7 Input'!R191</f>
        <v>5.7000000000000002E-3</v>
      </c>
      <c r="D205" s="11">
        <f>'G7 Input'!S191</f>
        <v>1.1899999999999999E-2</v>
      </c>
      <c r="E205" s="11">
        <f>'G7 Input'!T191</f>
        <v>2.0999999999999999E-3</v>
      </c>
      <c r="F205" s="11">
        <f>'G7 Input'!U191</f>
        <v>9.1000000000000004E-3</v>
      </c>
      <c r="H205" s="10" t="s">
        <v>12</v>
      </c>
      <c r="I205" s="11">
        <f>'G7 Input'!X191</f>
        <v>7.4150000000000008E-2</v>
      </c>
      <c r="J205" s="11">
        <f>'G7 Input'!Y191</f>
        <v>7.7000000000000002E-3</v>
      </c>
      <c r="K205" s="11">
        <f>'G7 Input'!Z191</f>
        <v>1.5899999999999997E-2</v>
      </c>
      <c r="L205" s="11">
        <f>'G7 Input'!AA191</f>
        <v>4.0999999999999995E-3</v>
      </c>
      <c r="M205" s="11">
        <f>'G7 Input'!AB191</f>
        <v>1.3100000000000001E-2</v>
      </c>
      <c r="O205" s="3" t="s">
        <v>1747</v>
      </c>
      <c r="P205" s="14" t="str">
        <f>_xll.PLContribFull(B205*100,"BID",O205,"Slot46","TICKER",3,,"Valid")</f>
        <v>6.745 (12:14:42.768166)</v>
      </c>
      <c r="Q205" s="5" t="str">
        <f>_xll.PLContribFull(I205*100,"ASK",O205,"Slot46","TICKER",3,,"Valid")</f>
        <v>7.415 (12:14:42.774166)</v>
      </c>
      <c r="R205" s="3" t="s">
        <v>1757</v>
      </c>
      <c r="S205" s="14" t="str">
        <f>_xll.PLContribFull(C205*100,"BID",R205,"Slot46","TICKER",3,,"Valid")</f>
        <v>0.570 (12:14:42.774166)</v>
      </c>
      <c r="T205" s="14" t="str">
        <f>_xll.PLContribFull(J205*100,"ASK",R205,"Slot46","TICKER",3,,"Valid")</f>
        <v>0.770 (12:14:42.765166)</v>
      </c>
      <c r="U205" s="3" t="s">
        <v>1769</v>
      </c>
      <c r="V205" s="14" t="str">
        <f>_xll.PLContribFull(D205*100,"BID",U205,"Slot46","TICKER",3,,"Valid")</f>
        <v>1.190 (12:14:42.775167)</v>
      </c>
      <c r="W205" s="5" t="str">
        <f>_xll.PLContribFull(K205*100,"ASK",U205,"Slot46","TICKER",3,,"Valid")</f>
        <v>1.590 (12:14:42.773167)</v>
      </c>
      <c r="X205" s="3" t="s">
        <v>1780</v>
      </c>
      <c r="Y205" s="14" t="str">
        <f>_xll.PLContribFull(E205*100,"BID",X205,"Slot46","TICKER",3,,"Valid")</f>
        <v>0.210 (12:14:42.776167)</v>
      </c>
      <c r="Z205" s="14" t="str">
        <f>_xll.PLContribFull(L205*100,"ASK",X205,"Slot46","TICKER",3,,"Valid")</f>
        <v>0.410 (12:14:42.775167)</v>
      </c>
      <c r="AA205" s="3" t="s">
        <v>1791</v>
      </c>
      <c r="AB205" s="14" t="str">
        <f>_xll.PLContribFull(F205*100,"BID",AA205,"Slot46","TICKER",3,,"Valid")</f>
        <v>0.910 (12:14:42.748167)</v>
      </c>
      <c r="AC205" s="5" t="str">
        <f>_xll.PLContribFull(M205*100,"ASK",AA205,"Slot46","TICKER",3,,"Valid")</f>
        <v>1.310 (12:14:42.764166)</v>
      </c>
      <c r="AD205" s="16"/>
    </row>
    <row r="206" spans="1:30" x14ac:dyDescent="0.2">
      <c r="A206" s="12" t="s">
        <v>13</v>
      </c>
      <c r="B206" s="11">
        <f>'G7 Input'!Q192</f>
        <v>6.93E-2</v>
      </c>
      <c r="C206" s="11">
        <f>'G7 Input'!R192</f>
        <v>6.0999999999999995E-3</v>
      </c>
      <c r="D206" s="11">
        <f>'G7 Input'!S192</f>
        <v>1.29E-2</v>
      </c>
      <c r="E206" s="11">
        <f>'G7 Input'!T192</f>
        <v>2.4000000000000002E-3</v>
      </c>
      <c r="F206" s="11">
        <f>'G7 Input'!U192</f>
        <v>1.0199999999999999E-2</v>
      </c>
      <c r="H206" s="10" t="s">
        <v>13</v>
      </c>
      <c r="I206" s="11">
        <f>'G7 Input'!X192</f>
        <v>7.6100000000000001E-2</v>
      </c>
      <c r="J206" s="11">
        <f>'G7 Input'!Y192</f>
        <v>8.0999999999999996E-3</v>
      </c>
      <c r="K206" s="11">
        <f>'G7 Input'!Z192</f>
        <v>1.6899999999999998E-2</v>
      </c>
      <c r="L206" s="11">
        <f>'G7 Input'!AA192</f>
        <v>4.4000000000000003E-3</v>
      </c>
      <c r="M206" s="11">
        <f>'G7 Input'!AB192</f>
        <v>1.4199999999999999E-2</v>
      </c>
      <c r="O206" s="3" t="s">
        <v>1748</v>
      </c>
      <c r="P206" s="14" t="str">
        <f>_xll.PLContribFull(B206*100,"BID",O206,"Slot46","TICKER",3,,"Valid")</f>
        <v>6.930 (12:14:42.775167)</v>
      </c>
      <c r="Q206" s="5" t="str">
        <f>_xll.PLContribFull(I206*100,"ASK",O206,"Slot46","TICKER",3,,"Valid")</f>
        <v>7.610 (12:14:42.758167)</v>
      </c>
      <c r="R206" s="3" t="s">
        <v>1758</v>
      </c>
      <c r="S206" s="14" t="str">
        <f>_xll.PLContribFull(C206*100,"BID",R206,"Slot46","TICKER",3,,"Valid")</f>
        <v>0.610 (12:14:42.772166)</v>
      </c>
      <c r="T206" s="14" t="str">
        <f>_xll.PLContribFull(J206*100,"ASK",R206,"Slot46","TICKER",3,,"Valid")</f>
        <v>0.810 (12:14:42.756167)</v>
      </c>
      <c r="U206" s="3" t="s">
        <v>1770</v>
      </c>
      <c r="V206" s="14" t="str">
        <f>_xll.PLContribFull(D206*100,"BID",U206,"Slot46","TICKER",3,,"Valid")</f>
        <v>1.290 (12:14:42.761166)</v>
      </c>
      <c r="W206" s="5" t="str">
        <f>_xll.PLContribFull(K206*100,"ASK",U206,"Slot46","TICKER",3,,"Valid")</f>
        <v>1.690 (12:14:42.774166)</v>
      </c>
      <c r="X206" s="3" t="s">
        <v>1781</v>
      </c>
      <c r="Y206" s="14" t="str">
        <f>_xll.PLContribFull(E206*100,"BID",X206,"Slot46","TICKER",3,,"Valid")</f>
        <v>0.240 (12:14:42.761166)</v>
      </c>
      <c r="Z206" s="14" t="str">
        <f>_xll.PLContribFull(L206*100,"ASK",X206,"Slot46","TICKER",3,,"Valid")</f>
        <v>0.440 (12:14:42.768166)</v>
      </c>
      <c r="AA206" s="3" t="s">
        <v>1792</v>
      </c>
      <c r="AB206" s="14" t="str">
        <f>_xll.PLContribFull(F206*100,"BID",AA206,"Slot46","TICKER",3,,"Valid")</f>
        <v>1.020 (12:14:42.761166)</v>
      </c>
      <c r="AC206" s="5" t="str">
        <f>_xll.PLContribFull(M206*100,"ASK",AA206,"Slot46","TICKER",3,,"Valid")</f>
        <v>1.420 (12:14:42.768166)</v>
      </c>
      <c r="AD206" s="16"/>
    </row>
    <row r="207" spans="1:30" x14ac:dyDescent="0.2">
      <c r="A207" s="12" t="s">
        <v>14</v>
      </c>
      <c r="B207" s="11">
        <f>'G7 Input'!Q193</f>
        <v>7.0749999999999993E-2</v>
      </c>
      <c r="C207" s="11">
        <f>'G7 Input'!R193</f>
        <v>6.7000000000000002E-3</v>
      </c>
      <c r="D207" s="11">
        <f>'G7 Input'!S193</f>
        <v>1.4500000000000001E-2</v>
      </c>
      <c r="E207" s="11">
        <f>'G7 Input'!T193</f>
        <v>2.5999999999999999E-3</v>
      </c>
      <c r="F207" s="11">
        <f>'G7 Input'!U193</f>
        <v>1.11E-2</v>
      </c>
      <c r="H207" s="10" t="s">
        <v>14</v>
      </c>
      <c r="I207" s="11">
        <f>'G7 Input'!X193</f>
        <v>8.2049999999999998E-2</v>
      </c>
      <c r="J207" s="11">
        <f>'G7 Input'!Y193</f>
        <v>8.6999999999999994E-3</v>
      </c>
      <c r="K207" s="11">
        <f>'G7 Input'!Z193</f>
        <v>1.8500000000000003E-2</v>
      </c>
      <c r="L207" s="11">
        <f>'G7 Input'!AA193</f>
        <v>4.5999999999999999E-3</v>
      </c>
      <c r="M207" s="11">
        <f>'G7 Input'!AB193</f>
        <v>1.5100000000000001E-2</v>
      </c>
      <c r="O207" s="3" t="s">
        <v>1749</v>
      </c>
      <c r="P207" s="14" t="str">
        <f>_xll.PLContribFull(B207*100,"BID",O207,"Slot46","TICKER",3,,"Valid")</f>
        <v>7.075 (12:14:42.768166)</v>
      </c>
      <c r="Q207" s="5" t="str">
        <f>_xll.PLContribFull(I207*100,"ASK",O207,"Slot46","TICKER",3,,"Valid")</f>
        <v>8.205 (12:14:42.759166)</v>
      </c>
      <c r="R207" s="3" t="s">
        <v>1759</v>
      </c>
      <c r="S207" s="14" t="str">
        <f>_xll.PLContribFull(C207*100,"BID",R207,"Slot46","TICKER",3,,"Valid")</f>
        <v>0.670 (12:14:42.748167)</v>
      </c>
      <c r="T207" s="14" t="str">
        <f>_xll.PLContribFull(J207*100,"ASK",R207,"Slot46","TICKER",3,,"Valid")</f>
        <v>0.870 (12:14:42.765166)</v>
      </c>
      <c r="U207" s="3" t="s">
        <v>1771</v>
      </c>
      <c r="V207" s="14" t="str">
        <f>_xll.PLContribFull(D207*100,"BID",U207,"Slot46","TICKER",3,,"Valid")</f>
        <v>1.450 (12:14:42.778167)</v>
      </c>
      <c r="W207" s="5" t="str">
        <f>_xll.PLContribFull(K207*100,"ASK",U207,"Slot46","TICKER",3,,"Valid")</f>
        <v>1.850 (12:14:42.776167)</v>
      </c>
      <c r="X207" s="3" t="s">
        <v>1782</v>
      </c>
      <c r="Y207" s="14" t="str">
        <f>_xll.PLContribFull(E207*100,"BID",X207,"Slot46","TICKER",3,,"Valid")</f>
        <v>0.260 (12:14:42.771168)</v>
      </c>
      <c r="Z207" s="14" t="str">
        <f>_xll.PLContribFull(L207*100,"ASK",X207,"Slot46","TICKER",3,,"Valid")</f>
        <v>0.460 (12:14:42.776167)</v>
      </c>
      <c r="AA207" s="3" t="s">
        <v>1793</v>
      </c>
      <c r="AB207" s="14" t="str">
        <f>_xll.PLContribFull(F207*100,"BID",AA207,"Slot46","TICKER",3,,"Valid")</f>
        <v>1.110 (12:14:42.741170)</v>
      </c>
      <c r="AC207" s="5" t="str">
        <f>_xll.PLContribFull(M207*100,"ASK",AA207,"Slot46","TICKER",3,,"Valid")</f>
        <v>1.510 (12:14:42.767165)</v>
      </c>
      <c r="AD207" s="16"/>
    </row>
    <row r="208" spans="1:30" x14ac:dyDescent="0.2">
      <c r="A208" s="12" t="s">
        <v>876</v>
      </c>
      <c r="B208" s="11">
        <f>'G7 Input'!Q194</f>
        <v>7.2549999999999989E-2</v>
      </c>
      <c r="C208" s="11">
        <f>'G7 Input'!R194</f>
        <v>7.8000000000000005E-3</v>
      </c>
      <c r="D208" s="11">
        <f>'G7 Input'!S194</f>
        <v>1.7099999999999997E-2</v>
      </c>
      <c r="E208" s="11">
        <f>'G7 Input'!T194</f>
        <v>2.9000000000000002E-3</v>
      </c>
      <c r="F208" s="11">
        <f>'G7 Input'!U194</f>
        <v>1.1899999999999999E-2</v>
      </c>
      <c r="H208" s="10" t="s">
        <v>876</v>
      </c>
      <c r="I208" s="11">
        <f>'G7 Input'!X194</f>
        <v>8.7449999999999986E-2</v>
      </c>
      <c r="J208" s="11">
        <f>'G7 Input'!Y194</f>
        <v>9.7999999999999997E-3</v>
      </c>
      <c r="K208" s="11">
        <f>'G7 Input'!Z194</f>
        <v>2.1100000000000001E-2</v>
      </c>
      <c r="L208" s="11">
        <f>'G7 Input'!AA194</f>
        <v>4.8999999999999998E-3</v>
      </c>
      <c r="M208" s="11">
        <f>'G7 Input'!AB194</f>
        <v>1.5899999999999997E-2</v>
      </c>
      <c r="O208" s="3" t="s">
        <v>1750</v>
      </c>
      <c r="P208" s="14" t="str">
        <f>_xll.PLContribFull(B208*100,"BID",O208,"Slot46","TICKER",3,,"Valid")</f>
        <v>7.255 (12:14:42.770167)</v>
      </c>
      <c r="Q208" s="5" t="str">
        <f>_xll.PLContribFull(I208*100,"ASK",O208,"Slot46","TICKER",3,,"Valid")</f>
        <v>8.745 (12:14:42.761166)</v>
      </c>
      <c r="R208" s="3" t="s">
        <v>1760</v>
      </c>
      <c r="S208" s="14" t="str">
        <f>_xll.PLContribFull(C208*100,"BID",R208,"Slot46","TICKER",3,,"Valid")</f>
        <v>0.780 (12:14:42.769168)</v>
      </c>
      <c r="T208" s="14" t="str">
        <f>_xll.PLContribFull(J208*100,"ASK",R208,"Slot46","TICKER",3,,"Valid")</f>
        <v>0.980 (12:14:42.779168)</v>
      </c>
      <c r="U208" s="3" t="s">
        <v>1772</v>
      </c>
      <c r="V208" s="14" t="str">
        <f>_xll.PLContribFull(D208*100,"BID",U208,"Slot46","TICKER",3,,"Valid")</f>
        <v>1.710 (12:14:42.743167)</v>
      </c>
      <c r="W208" s="5" t="str">
        <f>_xll.PLContribFull(K208*100,"ASK",U208,"Slot46","TICKER",3,,"Valid")</f>
        <v>2.110 (12:14:42.769168)</v>
      </c>
      <c r="X208" s="3" t="s">
        <v>1783</v>
      </c>
      <c r="Y208" s="14" t="str">
        <f>_xll.PLContribFull(E208*100,"BID",X208,"Slot46","TICKER",3,,"Valid")</f>
        <v>0.290 (12:14:42.776167)</v>
      </c>
      <c r="Z208" s="14" t="str">
        <f>_xll.PLContribFull(L208*100,"ASK",X208,"Slot46","TICKER",3,,"Valid")</f>
        <v>0.490 (12:14:42.774166)</v>
      </c>
      <c r="AA208" s="3" t="s">
        <v>1794</v>
      </c>
      <c r="AB208" s="14" t="str">
        <f>_xll.PLContribFull(F208*100,"BID",AA208,"Slot46","TICKER",3,,"Valid")</f>
        <v>1.190 (12:14:42.762166)</v>
      </c>
      <c r="AC208" s="5" t="str">
        <f>_xll.PLContribFull(M208*100,"ASK",AA208,"Slot46","TICKER",3,,"Valid")</f>
        <v>1.590 (12:14:42.763166)</v>
      </c>
      <c r="AD208" s="16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7"/>
  <dimension ref="A1:AB220"/>
  <sheetViews>
    <sheetView topLeftCell="A13" zoomScale="90" zoomScaleNormal="90" workbookViewId="0">
      <selection activeCell="H18" sqref="H18"/>
    </sheetView>
  </sheetViews>
  <sheetFormatPr defaultRowHeight="15.75" x14ac:dyDescent="0.25"/>
  <cols>
    <col min="1" max="1" width="9.5703125" bestFit="1" customWidth="1"/>
    <col min="2" max="2" width="5" bestFit="1" customWidth="1"/>
    <col min="3" max="3" width="9" bestFit="1" customWidth="1"/>
    <col min="4" max="5" width="8.5703125" bestFit="1" customWidth="1"/>
    <col min="6" max="7" width="8" bestFit="1" customWidth="1"/>
    <col min="8" max="8" width="8" customWidth="1"/>
    <col min="9" max="9" width="8.42578125" bestFit="1" customWidth="1"/>
    <col min="10" max="10" width="6.5703125" customWidth="1"/>
    <col min="11" max="12" width="8.42578125" bestFit="1" customWidth="1"/>
    <col min="13" max="14" width="8" bestFit="1" customWidth="1"/>
    <col min="15" max="15" width="8" customWidth="1"/>
    <col min="16" max="16" width="4.5703125" bestFit="1" customWidth="1"/>
    <col min="17" max="17" width="8" bestFit="1" customWidth="1"/>
    <col min="18" max="19" width="8.42578125" bestFit="1" customWidth="1"/>
    <col min="20" max="21" width="8" bestFit="1" customWidth="1"/>
    <col min="22" max="22" width="8" customWidth="1"/>
    <col min="23" max="23" width="7.5703125" bestFit="1" customWidth="1"/>
    <col min="24" max="24" width="8" bestFit="1" customWidth="1"/>
    <col min="25" max="26" width="8.42578125" bestFit="1" customWidth="1"/>
    <col min="27" max="28" width="8" bestFit="1" customWidth="1"/>
  </cols>
  <sheetData>
    <row r="1" spans="1:28" x14ac:dyDescent="0.25">
      <c r="A1" s="7" t="s">
        <v>70</v>
      </c>
      <c r="B1" s="7" t="s">
        <v>340</v>
      </c>
      <c r="C1" s="24" t="s">
        <v>341</v>
      </c>
      <c r="D1" s="24" t="s">
        <v>342</v>
      </c>
      <c r="E1" s="24" t="s">
        <v>343</v>
      </c>
      <c r="F1" s="24" t="s">
        <v>344</v>
      </c>
      <c r="G1" s="24" t="s">
        <v>345</v>
      </c>
      <c r="H1" s="8"/>
      <c r="I1" s="7" t="s">
        <v>346</v>
      </c>
      <c r="J1" s="7" t="s">
        <v>347</v>
      </c>
      <c r="K1" s="7" t="s">
        <v>348</v>
      </c>
      <c r="L1" s="7" t="s">
        <v>343</v>
      </c>
      <c r="M1" s="7" t="s">
        <v>344</v>
      </c>
      <c r="N1" s="7" t="s">
        <v>345</v>
      </c>
      <c r="O1" s="16"/>
      <c r="P1" s="7" t="s">
        <v>349</v>
      </c>
      <c r="Q1" s="7" t="s">
        <v>347</v>
      </c>
      <c r="R1" s="7" t="s">
        <v>348</v>
      </c>
      <c r="S1" s="7" t="s">
        <v>343</v>
      </c>
      <c r="T1" s="7" t="s">
        <v>344</v>
      </c>
      <c r="U1" s="7" t="s">
        <v>345</v>
      </c>
      <c r="V1" s="22"/>
      <c r="W1" s="7" t="s">
        <v>350</v>
      </c>
      <c r="X1" s="7" t="s">
        <v>347</v>
      </c>
      <c r="Y1" s="7" t="s">
        <v>348</v>
      </c>
      <c r="Z1" s="7" t="s">
        <v>343</v>
      </c>
      <c r="AA1" s="7" t="s">
        <v>344</v>
      </c>
      <c r="AB1" s="7" t="s">
        <v>345</v>
      </c>
    </row>
    <row r="2" spans="1:28" x14ac:dyDescent="0.25">
      <c r="A2" s="21" t="s">
        <v>938</v>
      </c>
      <c r="B2" s="21" t="s">
        <v>5</v>
      </c>
      <c r="C2" s="25">
        <f>[1]AUDCAD!$B15</f>
        <v>5.79E-2</v>
      </c>
      <c r="D2" s="25">
        <f>[1]AUDCAD!$F15</f>
        <v>-3.3E-3</v>
      </c>
      <c r="E2" s="25">
        <f>[1]AUDCAD!$E15</f>
        <v>-6.4000000000000003E-3</v>
      </c>
      <c r="F2" s="25">
        <f>[1]AUDCAD!$D15</f>
        <v>1.1999999999999999E-3</v>
      </c>
      <c r="G2" s="25">
        <f>[1]AUDCAD!$C15</f>
        <v>4.4000000000000003E-3</v>
      </c>
      <c r="H2" s="8"/>
      <c r="I2" s="21" t="s">
        <v>5</v>
      </c>
      <c r="J2" s="28">
        <f>'[2]G7 Cross'!$C14</f>
        <v>4.6100000000000003</v>
      </c>
      <c r="K2" s="28">
        <v>3</v>
      </c>
      <c r="L2" s="28">
        <v>6</v>
      </c>
      <c r="M2" s="28">
        <v>2.1</v>
      </c>
      <c r="N2" s="28">
        <v>4.2</v>
      </c>
      <c r="O2" s="16"/>
      <c r="P2" s="21" t="s">
        <v>5</v>
      </c>
      <c r="Q2" s="20">
        <f>(C2-J2/200)-0.002</f>
        <v>3.2849999999999997E-2</v>
      </c>
      <c r="R2" s="20">
        <f t="shared" ref="R2:U12" si="0">D2-K2/200</f>
        <v>-1.83E-2</v>
      </c>
      <c r="S2" s="20">
        <f t="shared" si="0"/>
        <v>-3.6400000000000002E-2</v>
      </c>
      <c r="T2" s="20">
        <f t="shared" si="0"/>
        <v>-9.300000000000001E-3</v>
      </c>
      <c r="U2" s="20">
        <f t="shared" si="0"/>
        <v>-1.66E-2</v>
      </c>
      <c r="V2" s="22"/>
      <c r="W2" s="21" t="s">
        <v>5</v>
      </c>
      <c r="X2" s="20">
        <f>(C2+J2/200)-0.002</f>
        <v>7.8949999999999992E-2</v>
      </c>
      <c r="Y2" s="20">
        <f t="shared" ref="Y2:Y12" si="1">D2+K2/200</f>
        <v>1.1699999999999999E-2</v>
      </c>
      <c r="Z2" s="20">
        <f t="shared" ref="Z2:Z12" si="2">E2+L2/200</f>
        <v>2.3599999999999999E-2</v>
      </c>
      <c r="AA2" s="20">
        <f t="shared" ref="AA2:AA12" si="3">F2+M2/200</f>
        <v>1.17E-2</v>
      </c>
      <c r="AB2" s="20">
        <f t="shared" ref="AB2:AB12" si="4">G2+N2/200</f>
        <v>2.5400000000000002E-2</v>
      </c>
    </row>
    <row r="3" spans="1:28" x14ac:dyDescent="0.25">
      <c r="A3" s="21" t="s">
        <v>938</v>
      </c>
      <c r="B3" s="21" t="s">
        <v>6</v>
      </c>
      <c r="C3" s="25">
        <f>[1]AUDCAD!$B16</f>
        <v>4.8099999999999997E-2</v>
      </c>
      <c r="D3" s="25">
        <f>[1]AUDCAD!$F16</f>
        <v>-2.7000000000000001E-3</v>
      </c>
      <c r="E3" s="25">
        <f>[1]AUDCAD!$E16</f>
        <v>-5.3E-3</v>
      </c>
      <c r="F3" s="25">
        <f>[1]AUDCAD!$D16</f>
        <v>1E-3</v>
      </c>
      <c r="G3" s="25">
        <f>[1]AUDCAD!$C16</f>
        <v>3.7000000000000002E-3</v>
      </c>
      <c r="H3" s="8"/>
      <c r="I3" s="21" t="s">
        <v>6</v>
      </c>
      <c r="J3" s="28">
        <f>'[2]G7 Cross'!$C15</f>
        <v>1.29</v>
      </c>
      <c r="K3" s="28">
        <v>1.2</v>
      </c>
      <c r="L3" s="28">
        <v>2.4</v>
      </c>
      <c r="M3" s="28">
        <v>0.8</v>
      </c>
      <c r="N3" s="28">
        <v>1.6</v>
      </c>
      <c r="O3" s="16"/>
      <c r="P3" s="21" t="s">
        <v>6</v>
      </c>
      <c r="Q3" s="20">
        <f t="shared" ref="Q3:Q12" si="5">(C3-J3/200)-0.002</f>
        <v>3.9649999999999998E-2</v>
      </c>
      <c r="R3" s="20">
        <f t="shared" si="0"/>
        <v>-8.6999999999999994E-3</v>
      </c>
      <c r="S3" s="20">
        <f t="shared" si="0"/>
        <v>-1.7299999999999999E-2</v>
      </c>
      <c r="T3" s="20">
        <f t="shared" si="0"/>
        <v>-3.0000000000000001E-3</v>
      </c>
      <c r="U3" s="20">
        <f t="shared" si="0"/>
        <v>-4.3E-3</v>
      </c>
      <c r="V3" s="22"/>
      <c r="W3" s="21" t="s">
        <v>6</v>
      </c>
      <c r="X3" s="20">
        <f t="shared" ref="X3:X12" si="6">(C3+J3/200)-0.002</f>
        <v>5.2549999999999993E-2</v>
      </c>
      <c r="Y3" s="20">
        <f t="shared" si="1"/>
        <v>3.3E-3</v>
      </c>
      <c r="Z3" s="20">
        <f t="shared" si="2"/>
        <v>6.7000000000000002E-3</v>
      </c>
      <c r="AA3" s="20">
        <f t="shared" si="3"/>
        <v>5.0000000000000001E-3</v>
      </c>
      <c r="AB3" s="20">
        <f t="shared" si="4"/>
        <v>1.17E-2</v>
      </c>
    </row>
    <row r="4" spans="1:28" x14ac:dyDescent="0.25">
      <c r="A4" s="21" t="s">
        <v>938</v>
      </c>
      <c r="B4" s="21" t="s">
        <v>7</v>
      </c>
      <c r="C4" s="25">
        <f>[1]AUDCAD!$B17</f>
        <v>4.7800000000000002E-2</v>
      </c>
      <c r="D4" s="25">
        <f>[1]AUDCAD!$F17</f>
        <v>-2.8000000000000004E-3</v>
      </c>
      <c r="E4" s="25">
        <f>[1]AUDCAD!$E17</f>
        <v>-5.5000000000000005E-3</v>
      </c>
      <c r="F4" s="25">
        <f>[1]AUDCAD!$D17</f>
        <v>1E-3</v>
      </c>
      <c r="G4" s="25">
        <f>[1]AUDCAD!$C17</f>
        <v>3.7000000000000002E-3</v>
      </c>
      <c r="H4" s="8"/>
      <c r="I4" s="21" t="s">
        <v>7</v>
      </c>
      <c r="J4" s="28">
        <f>'[2]G7 Cross'!$C16</f>
        <v>0.78</v>
      </c>
      <c r="K4" s="28">
        <v>0.8</v>
      </c>
      <c r="L4" s="28">
        <v>1.6</v>
      </c>
      <c r="M4" s="28">
        <v>0.6</v>
      </c>
      <c r="N4" s="28">
        <v>1.2</v>
      </c>
      <c r="O4" s="16"/>
      <c r="P4" s="21" t="s">
        <v>7</v>
      </c>
      <c r="Q4" s="20">
        <f t="shared" si="5"/>
        <v>4.19E-2</v>
      </c>
      <c r="R4" s="20">
        <f t="shared" si="0"/>
        <v>-6.8000000000000005E-3</v>
      </c>
      <c r="S4" s="20">
        <f t="shared" si="0"/>
        <v>-1.3500000000000002E-2</v>
      </c>
      <c r="T4" s="20">
        <f t="shared" si="0"/>
        <v>-2E-3</v>
      </c>
      <c r="U4" s="20">
        <f t="shared" si="0"/>
        <v>-2.3E-3</v>
      </c>
      <c r="V4" s="22"/>
      <c r="W4" s="21" t="s">
        <v>7</v>
      </c>
      <c r="X4" s="20">
        <f t="shared" si="6"/>
        <v>4.9700000000000001E-2</v>
      </c>
      <c r="Y4" s="20">
        <f t="shared" si="1"/>
        <v>1.1999999999999997E-3</v>
      </c>
      <c r="Z4" s="20">
        <f t="shared" si="2"/>
        <v>2.4999999999999996E-3</v>
      </c>
      <c r="AA4" s="20">
        <f t="shared" si="3"/>
        <v>4.0000000000000001E-3</v>
      </c>
      <c r="AB4" s="20">
        <f t="shared" si="4"/>
        <v>9.7000000000000003E-3</v>
      </c>
    </row>
    <row r="5" spans="1:28" x14ac:dyDescent="0.25">
      <c r="A5" s="21" t="s">
        <v>938</v>
      </c>
      <c r="B5" s="21" t="s">
        <v>8</v>
      </c>
      <c r="C5" s="25">
        <f>[1]AUDCAD!$B18</f>
        <v>5.2300000000000006E-2</v>
      </c>
      <c r="D5" s="25">
        <f>[1]AUDCAD!$F18</f>
        <v>-3.4000000000000002E-3</v>
      </c>
      <c r="E5" s="25">
        <f>[1]AUDCAD!$E18</f>
        <v>-6.7000000000000002E-3</v>
      </c>
      <c r="F5" s="25">
        <f>[1]AUDCAD!$D18</f>
        <v>1.1999999999999999E-3</v>
      </c>
      <c r="G5" s="25">
        <f>[1]AUDCAD!$C18</f>
        <v>4.3E-3</v>
      </c>
      <c r="H5" s="8"/>
      <c r="I5" s="21" t="s">
        <v>8</v>
      </c>
      <c r="J5" s="28">
        <f>'[2]G7 Cross'!$C17</f>
        <v>0.48</v>
      </c>
      <c r="K5" s="28">
        <v>0.5</v>
      </c>
      <c r="L5" s="28">
        <v>1</v>
      </c>
      <c r="M5" s="28">
        <v>0.4</v>
      </c>
      <c r="N5" s="28">
        <v>0.8</v>
      </c>
      <c r="O5" s="16"/>
      <c r="P5" s="21" t="s">
        <v>8</v>
      </c>
      <c r="Q5" s="20">
        <f t="shared" si="5"/>
        <v>4.7900000000000005E-2</v>
      </c>
      <c r="R5" s="20">
        <f t="shared" si="0"/>
        <v>-5.9000000000000007E-3</v>
      </c>
      <c r="S5" s="20">
        <f t="shared" si="0"/>
        <v>-1.17E-2</v>
      </c>
      <c r="T5" s="20">
        <f t="shared" si="0"/>
        <v>-8.0000000000000015E-4</v>
      </c>
      <c r="U5" s="20">
        <f t="shared" si="0"/>
        <v>2.9999999999999992E-4</v>
      </c>
      <c r="V5" s="22"/>
      <c r="W5" s="21" t="s">
        <v>8</v>
      </c>
      <c r="X5" s="20">
        <f t="shared" si="6"/>
        <v>5.2700000000000004E-2</v>
      </c>
      <c r="Y5" s="20">
        <f t="shared" si="1"/>
        <v>-9.0000000000000019E-4</v>
      </c>
      <c r="Z5" s="20">
        <f t="shared" si="2"/>
        <v>-1.7000000000000001E-3</v>
      </c>
      <c r="AA5" s="20">
        <f t="shared" si="3"/>
        <v>3.1999999999999997E-3</v>
      </c>
      <c r="AB5" s="20">
        <f t="shared" si="4"/>
        <v>8.3000000000000001E-3</v>
      </c>
    </row>
    <row r="6" spans="1:28" x14ac:dyDescent="0.25">
      <c r="A6" s="21" t="s">
        <v>938</v>
      </c>
      <c r="B6" s="21" t="s">
        <v>9</v>
      </c>
      <c r="C6" s="25">
        <f>[1]AUDCAD!$B19</f>
        <v>5.4000000000000006E-2</v>
      </c>
      <c r="D6" s="25">
        <f>[1]AUDCAD!$F19</f>
        <v>-3.9000000000000003E-3</v>
      </c>
      <c r="E6" s="25">
        <f>[1]AUDCAD!$E19</f>
        <v>-7.6E-3</v>
      </c>
      <c r="F6" s="25">
        <f>[1]AUDCAD!$D19</f>
        <v>1.2999999999999999E-3</v>
      </c>
      <c r="G6" s="25">
        <f>[1]AUDCAD!$C19</f>
        <v>5.1000000000000004E-3</v>
      </c>
      <c r="H6" s="8"/>
      <c r="I6" s="21" t="s">
        <v>9</v>
      </c>
      <c r="J6" s="28">
        <f>'[2]G7 Cross'!$C18</f>
        <v>0.44</v>
      </c>
      <c r="K6" s="28">
        <v>0.5</v>
      </c>
      <c r="L6" s="28">
        <v>1</v>
      </c>
      <c r="M6" s="28">
        <v>0.4</v>
      </c>
      <c r="N6" s="28">
        <v>0.8</v>
      </c>
      <c r="O6" s="16"/>
      <c r="P6" s="21" t="s">
        <v>9</v>
      </c>
      <c r="Q6" s="20">
        <f t="shared" si="5"/>
        <v>4.9800000000000004E-2</v>
      </c>
      <c r="R6" s="20">
        <f t="shared" si="0"/>
        <v>-6.4000000000000003E-3</v>
      </c>
      <c r="S6" s="20">
        <f t="shared" si="0"/>
        <v>-1.26E-2</v>
      </c>
      <c r="T6" s="20">
        <f t="shared" si="0"/>
        <v>-7.000000000000001E-4</v>
      </c>
      <c r="U6" s="20">
        <f t="shared" si="0"/>
        <v>1.1000000000000003E-3</v>
      </c>
      <c r="V6" s="22"/>
      <c r="W6" s="21" t="s">
        <v>9</v>
      </c>
      <c r="X6" s="20">
        <f t="shared" si="6"/>
        <v>5.4200000000000005E-2</v>
      </c>
      <c r="Y6" s="20">
        <f t="shared" si="1"/>
        <v>-1.4000000000000002E-3</v>
      </c>
      <c r="Z6" s="20">
        <f t="shared" si="2"/>
        <v>-2.5999999999999999E-3</v>
      </c>
      <c r="AA6" s="20">
        <f t="shared" si="3"/>
        <v>3.3E-3</v>
      </c>
      <c r="AB6" s="20">
        <f t="shared" si="4"/>
        <v>9.1000000000000004E-3</v>
      </c>
    </row>
    <row r="7" spans="1:28" x14ac:dyDescent="0.25">
      <c r="A7" s="21" t="s">
        <v>938</v>
      </c>
      <c r="B7" s="21" t="s">
        <v>10</v>
      </c>
      <c r="C7" s="25">
        <f>[1]AUDCAD!$B20</f>
        <v>5.57E-2</v>
      </c>
      <c r="D7" s="25">
        <f>[1]AUDCAD!$F20</f>
        <v>-4.4000000000000003E-3</v>
      </c>
      <c r="E7" s="25">
        <f>[1]AUDCAD!$E20</f>
        <v>-8.6E-3</v>
      </c>
      <c r="F7" s="25">
        <f>[1]AUDCAD!$D20</f>
        <v>1.5E-3</v>
      </c>
      <c r="G7" s="25">
        <f>[1]AUDCAD!$C20</f>
        <v>5.8999999999999999E-3</v>
      </c>
      <c r="H7" s="8"/>
      <c r="I7" s="21" t="s">
        <v>10</v>
      </c>
      <c r="J7" s="28">
        <f>'[2]G7 Cross'!$C19</f>
        <v>0.44</v>
      </c>
      <c r="K7" s="28">
        <v>0.5</v>
      </c>
      <c r="L7" s="28">
        <v>1</v>
      </c>
      <c r="M7" s="28">
        <v>0.4</v>
      </c>
      <c r="N7" s="28">
        <v>0.8</v>
      </c>
      <c r="O7" s="16"/>
      <c r="P7" s="21" t="s">
        <v>10</v>
      </c>
      <c r="Q7" s="20">
        <f t="shared" si="5"/>
        <v>5.1499999999999997E-2</v>
      </c>
      <c r="R7" s="20">
        <f t="shared" si="0"/>
        <v>-6.8999999999999999E-3</v>
      </c>
      <c r="S7" s="20">
        <f t="shared" si="0"/>
        <v>-1.3600000000000001E-2</v>
      </c>
      <c r="T7" s="20">
        <f t="shared" si="0"/>
        <v>-5.0000000000000001E-4</v>
      </c>
      <c r="U7" s="20">
        <f t="shared" si="0"/>
        <v>1.8999999999999998E-3</v>
      </c>
      <c r="V7" s="22"/>
      <c r="W7" s="21" t="s">
        <v>10</v>
      </c>
      <c r="X7" s="20">
        <f t="shared" si="6"/>
        <v>5.5899999999999998E-2</v>
      </c>
      <c r="Y7" s="20">
        <f t="shared" si="1"/>
        <v>-1.9000000000000002E-3</v>
      </c>
      <c r="Z7" s="20">
        <f t="shared" si="2"/>
        <v>-3.5999999999999999E-3</v>
      </c>
      <c r="AA7" s="20">
        <f t="shared" si="3"/>
        <v>3.5000000000000001E-3</v>
      </c>
      <c r="AB7" s="20">
        <f t="shared" si="4"/>
        <v>9.8999999999999991E-3</v>
      </c>
    </row>
    <row r="8" spans="1:28" x14ac:dyDescent="0.25">
      <c r="A8" s="21" t="s">
        <v>938</v>
      </c>
      <c r="B8" s="21" t="s">
        <v>11</v>
      </c>
      <c r="C8" s="25">
        <f>[1]AUDCAD!$B21</f>
        <v>5.7999999999999996E-2</v>
      </c>
      <c r="D8" s="25">
        <f>[1]AUDCAD!$F21</f>
        <v>-5.1000000000000004E-3</v>
      </c>
      <c r="E8" s="25">
        <f>[1]AUDCAD!$E21</f>
        <v>-1.01E-2</v>
      </c>
      <c r="F8" s="25">
        <f>[1]AUDCAD!$D21</f>
        <v>1.7000000000000001E-3</v>
      </c>
      <c r="G8" s="25">
        <f>[1]AUDCAD!$C21</f>
        <v>6.8999999999999999E-3</v>
      </c>
      <c r="H8" s="8"/>
      <c r="I8" s="21" t="s">
        <v>11</v>
      </c>
      <c r="J8" s="28">
        <f>'[2]G7 Cross'!$C20</f>
        <v>0.56000000000000005</v>
      </c>
      <c r="K8" s="28">
        <v>0.5</v>
      </c>
      <c r="L8" s="28">
        <v>1</v>
      </c>
      <c r="M8" s="28">
        <v>0.4</v>
      </c>
      <c r="N8" s="28">
        <v>0.8</v>
      </c>
      <c r="O8" s="16"/>
      <c r="P8" s="21" t="s">
        <v>11</v>
      </c>
      <c r="Q8" s="20">
        <f t="shared" si="5"/>
        <v>5.3199999999999997E-2</v>
      </c>
      <c r="R8" s="20">
        <f t="shared" si="0"/>
        <v>-7.6000000000000009E-3</v>
      </c>
      <c r="S8" s="20">
        <f t="shared" si="0"/>
        <v>-1.5099999999999999E-2</v>
      </c>
      <c r="T8" s="20">
        <f t="shared" si="0"/>
        <v>-2.9999999999999992E-4</v>
      </c>
      <c r="U8" s="20">
        <f t="shared" si="0"/>
        <v>2.8999999999999998E-3</v>
      </c>
      <c r="V8" s="22"/>
      <c r="W8" s="21" t="s">
        <v>11</v>
      </c>
      <c r="X8" s="20">
        <f t="shared" si="6"/>
        <v>5.8799999999999991E-2</v>
      </c>
      <c r="Y8" s="20">
        <f t="shared" si="1"/>
        <v>-2.6000000000000003E-3</v>
      </c>
      <c r="Z8" s="20">
        <f t="shared" si="2"/>
        <v>-5.0999999999999995E-3</v>
      </c>
      <c r="AA8" s="20">
        <f t="shared" si="3"/>
        <v>3.7000000000000002E-3</v>
      </c>
      <c r="AB8" s="20">
        <f t="shared" si="4"/>
        <v>1.09E-2</v>
      </c>
    </row>
    <row r="9" spans="1:28" x14ac:dyDescent="0.25">
      <c r="A9" s="21" t="s">
        <v>938</v>
      </c>
      <c r="B9" s="21" t="s">
        <v>12</v>
      </c>
      <c r="C9" s="25">
        <f>[1]AUDCAD!$B22</f>
        <v>0.06</v>
      </c>
      <c r="D9" s="25">
        <f>[1]AUDCAD!$F22</f>
        <v>-5.8999999999999999E-3</v>
      </c>
      <c r="E9" s="25">
        <f>[1]AUDCAD!$E22</f>
        <v>-1.1699999999999999E-2</v>
      </c>
      <c r="F9" s="25">
        <f>[1]AUDCAD!$D22</f>
        <v>1.9E-3</v>
      </c>
      <c r="G9" s="25">
        <f>[1]AUDCAD!$C22</f>
        <v>7.9000000000000008E-3</v>
      </c>
      <c r="H9" s="8"/>
      <c r="I9" s="21" t="s">
        <v>12</v>
      </c>
      <c r="J9" s="28">
        <f>'[2]G7 Cross'!$C21</f>
        <v>0.54</v>
      </c>
      <c r="K9" s="28">
        <v>0.5</v>
      </c>
      <c r="L9" s="28">
        <v>1</v>
      </c>
      <c r="M9" s="28">
        <v>0.4</v>
      </c>
      <c r="N9" s="28">
        <v>0.8</v>
      </c>
      <c r="O9" s="16"/>
      <c r="P9" s="21" t="s">
        <v>12</v>
      </c>
      <c r="Q9" s="20">
        <f t="shared" si="5"/>
        <v>5.5299999999999995E-2</v>
      </c>
      <c r="R9" s="20">
        <f t="shared" si="0"/>
        <v>-8.3999999999999995E-3</v>
      </c>
      <c r="S9" s="20">
        <f t="shared" si="0"/>
        <v>-1.67E-2</v>
      </c>
      <c r="T9" s="20">
        <f t="shared" si="0"/>
        <v>-1.0000000000000005E-4</v>
      </c>
      <c r="U9" s="20">
        <f t="shared" si="0"/>
        <v>3.9000000000000007E-3</v>
      </c>
      <c r="V9" s="22"/>
      <c r="W9" s="21" t="s">
        <v>12</v>
      </c>
      <c r="X9" s="20">
        <f t="shared" si="6"/>
        <v>6.069999999999999E-2</v>
      </c>
      <c r="Y9" s="20">
        <f t="shared" si="1"/>
        <v>-3.3999999999999998E-3</v>
      </c>
      <c r="Z9" s="20">
        <f t="shared" si="2"/>
        <v>-6.6999999999999985E-3</v>
      </c>
      <c r="AA9" s="20">
        <f t="shared" si="3"/>
        <v>3.8999999999999998E-3</v>
      </c>
      <c r="AB9" s="20">
        <f t="shared" si="4"/>
        <v>1.1900000000000001E-2</v>
      </c>
    </row>
    <row r="10" spans="1:28" x14ac:dyDescent="0.25">
      <c r="A10" s="21" t="s">
        <v>938</v>
      </c>
      <c r="B10" s="21" t="s">
        <v>13</v>
      </c>
      <c r="C10" s="25">
        <f>[1]AUDCAD!$B23</f>
        <v>6.1600000000000002E-2</v>
      </c>
      <c r="D10" s="25">
        <f>[1]AUDCAD!$F23</f>
        <v>-6.7000000000000002E-3</v>
      </c>
      <c r="E10" s="25">
        <f>[1]AUDCAD!$E23</f>
        <v>-1.34E-2</v>
      </c>
      <c r="F10" s="25">
        <f>[1]AUDCAD!$D23</f>
        <v>2.0999999999999999E-3</v>
      </c>
      <c r="G10" s="25">
        <f>[1]AUDCAD!$C23</f>
        <v>8.8999999999999999E-3</v>
      </c>
      <c r="H10" s="8"/>
      <c r="I10" s="21" t="s">
        <v>13</v>
      </c>
      <c r="J10" s="28">
        <f>'[2]G7 Cross'!$C22</f>
        <v>0.54</v>
      </c>
      <c r="K10" s="28">
        <v>0.5</v>
      </c>
      <c r="L10" s="28">
        <v>1</v>
      </c>
      <c r="M10" s="28">
        <v>0.4</v>
      </c>
      <c r="N10" s="28">
        <v>0.8</v>
      </c>
      <c r="O10" s="16"/>
      <c r="P10" s="21" t="s">
        <v>13</v>
      </c>
      <c r="Q10" s="20">
        <f t="shared" si="5"/>
        <v>5.6899999999999999E-2</v>
      </c>
      <c r="R10" s="20">
        <f t="shared" si="0"/>
        <v>-9.1999999999999998E-3</v>
      </c>
      <c r="S10" s="20">
        <f t="shared" si="0"/>
        <v>-1.84E-2</v>
      </c>
      <c r="T10" s="20">
        <f t="shared" si="0"/>
        <v>9.9999999999999829E-5</v>
      </c>
      <c r="U10" s="20">
        <f t="shared" si="0"/>
        <v>4.8999999999999998E-3</v>
      </c>
      <c r="V10" s="22"/>
      <c r="W10" s="21" t="s">
        <v>13</v>
      </c>
      <c r="X10" s="20">
        <f t="shared" si="6"/>
        <v>6.2299999999999994E-2</v>
      </c>
      <c r="Y10" s="20">
        <f t="shared" si="1"/>
        <v>-4.2000000000000006E-3</v>
      </c>
      <c r="Z10" s="20">
        <f t="shared" si="2"/>
        <v>-8.4000000000000012E-3</v>
      </c>
      <c r="AA10" s="20">
        <f t="shared" si="3"/>
        <v>4.0999999999999995E-3</v>
      </c>
      <c r="AB10" s="20">
        <f t="shared" si="4"/>
        <v>1.29E-2</v>
      </c>
    </row>
    <row r="11" spans="1:28" x14ac:dyDescent="0.25">
      <c r="A11" s="21" t="s">
        <v>938</v>
      </c>
      <c r="B11" s="21" t="s">
        <v>14</v>
      </c>
      <c r="C11" s="25">
        <f>[1]AUDCAD!$B24</f>
        <v>6.6000000000000003E-2</v>
      </c>
      <c r="D11" s="25">
        <f>[1]AUDCAD!$F24</f>
        <v>-7.6E-3</v>
      </c>
      <c r="E11" s="25">
        <f>[1]AUDCAD!$E24</f>
        <v>-1.44E-2</v>
      </c>
      <c r="F11" s="25">
        <f>[1]AUDCAD!$D24</f>
        <v>2.3999999999999998E-3</v>
      </c>
      <c r="G11" s="25">
        <f>[1]AUDCAD!$C24</f>
        <v>9.7999999999999997E-3</v>
      </c>
      <c r="H11" s="16"/>
      <c r="I11" s="21" t="s">
        <v>14</v>
      </c>
      <c r="J11" s="28">
        <f>'[2]G7 Cross'!$C23</f>
        <v>0.56999999999999995</v>
      </c>
      <c r="K11" s="28">
        <v>0.9</v>
      </c>
      <c r="L11" s="28">
        <v>1.8</v>
      </c>
      <c r="M11" s="28">
        <v>0.6</v>
      </c>
      <c r="N11" s="28">
        <v>1.2</v>
      </c>
      <c r="O11" s="16"/>
      <c r="P11" s="21" t="s">
        <v>14</v>
      </c>
      <c r="Q11" s="20">
        <f t="shared" si="5"/>
        <v>6.1149999999999996E-2</v>
      </c>
      <c r="R11" s="20">
        <f t="shared" si="0"/>
        <v>-1.21E-2</v>
      </c>
      <c r="S11" s="20">
        <f t="shared" si="0"/>
        <v>-2.3400000000000001E-2</v>
      </c>
      <c r="T11" s="20">
        <f t="shared" si="0"/>
        <v>-6.0000000000000027E-4</v>
      </c>
      <c r="U11" s="20">
        <f t="shared" si="0"/>
        <v>3.7999999999999996E-3</v>
      </c>
      <c r="V11" s="22"/>
      <c r="W11" s="21" t="s">
        <v>14</v>
      </c>
      <c r="X11" s="20">
        <f t="shared" si="6"/>
        <v>6.6850000000000007E-2</v>
      </c>
      <c r="Y11" s="20">
        <f t="shared" si="1"/>
        <v>-3.0999999999999995E-3</v>
      </c>
      <c r="Z11" s="20">
        <f t="shared" si="2"/>
        <v>-5.3999999999999986E-3</v>
      </c>
      <c r="AA11" s="20">
        <f t="shared" si="3"/>
        <v>5.4000000000000003E-3</v>
      </c>
      <c r="AB11" s="20">
        <f t="shared" si="4"/>
        <v>1.5800000000000002E-2</v>
      </c>
    </row>
    <row r="12" spans="1:28" x14ac:dyDescent="0.25">
      <c r="A12" s="21" t="s">
        <v>938</v>
      </c>
      <c r="B12" s="21" t="s">
        <v>876</v>
      </c>
      <c r="C12" s="25">
        <f>[1]AUDCAD!$B25</f>
        <v>6.7599999999999993E-2</v>
      </c>
      <c r="D12" s="25">
        <f>[1]AUDCAD!$F25</f>
        <v>-7.7000000000000002E-3</v>
      </c>
      <c r="E12" s="25">
        <f>[1]AUDCAD!$E25</f>
        <v>-1.4499999999999999E-2</v>
      </c>
      <c r="F12" s="25">
        <f>[1]AUDCAD!$D25</f>
        <v>2.3999999999999998E-3</v>
      </c>
      <c r="G12" s="25">
        <f>[1]AUDCAD!$C25</f>
        <v>9.8999999999999991E-3</v>
      </c>
      <c r="H12" s="16"/>
      <c r="I12" s="21" t="s">
        <v>876</v>
      </c>
      <c r="J12" s="37">
        <f>'[2]G7 Cross'!$C24</f>
        <v>1.04</v>
      </c>
      <c r="K12" s="28">
        <v>0.9</v>
      </c>
      <c r="L12" s="28">
        <v>1.8</v>
      </c>
      <c r="M12" s="28">
        <v>0.6</v>
      </c>
      <c r="N12" s="28">
        <v>1.2</v>
      </c>
      <c r="O12" s="16"/>
      <c r="P12" s="21" t="s">
        <v>876</v>
      </c>
      <c r="Q12" s="20">
        <f t="shared" si="5"/>
        <v>6.0399999999999995E-2</v>
      </c>
      <c r="R12" s="20">
        <f t="shared" si="0"/>
        <v>-1.2200000000000001E-2</v>
      </c>
      <c r="S12" s="20">
        <f t="shared" si="0"/>
        <v>-2.35E-2</v>
      </c>
      <c r="T12" s="20">
        <f t="shared" si="0"/>
        <v>-6.0000000000000027E-4</v>
      </c>
      <c r="U12" s="20">
        <f t="shared" si="0"/>
        <v>3.899999999999999E-3</v>
      </c>
      <c r="V12" s="22"/>
      <c r="W12" s="21" t="s">
        <v>876</v>
      </c>
      <c r="X12" s="20">
        <f t="shared" si="6"/>
        <v>7.0799999999999988E-2</v>
      </c>
      <c r="Y12" s="20">
        <f t="shared" si="1"/>
        <v>-3.1999999999999997E-3</v>
      </c>
      <c r="Z12" s="20">
        <f t="shared" si="2"/>
        <v>-5.4999999999999979E-3</v>
      </c>
      <c r="AA12" s="20">
        <f t="shared" si="3"/>
        <v>5.4000000000000003E-3</v>
      </c>
      <c r="AB12" s="20">
        <f t="shared" si="4"/>
        <v>1.5899999999999997E-2</v>
      </c>
    </row>
    <row r="13" spans="1:28" x14ac:dyDescent="0.25">
      <c r="A13" s="16"/>
      <c r="B13" s="16"/>
      <c r="C13" s="26"/>
      <c r="D13" s="26"/>
      <c r="E13" s="26"/>
      <c r="F13" s="26"/>
      <c r="G13" s="26"/>
      <c r="H13" s="16"/>
      <c r="I13" s="16"/>
      <c r="J13" s="16"/>
      <c r="K13" s="16"/>
      <c r="L13" s="16"/>
      <c r="M13" s="16"/>
      <c r="N13" s="16"/>
      <c r="O13" s="16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x14ac:dyDescent="0.25">
      <c r="A14" s="16"/>
      <c r="B14" s="16"/>
      <c r="C14" s="26"/>
      <c r="D14" s="26"/>
      <c r="E14" s="26"/>
      <c r="F14" s="26"/>
      <c r="G14" s="26"/>
      <c r="H14" s="16"/>
      <c r="I14" s="16"/>
      <c r="J14" s="16"/>
      <c r="K14" s="16"/>
      <c r="L14" s="16"/>
      <c r="M14" s="16"/>
      <c r="N14" s="16"/>
      <c r="O14" s="16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x14ac:dyDescent="0.25">
      <c r="A15" s="7" t="s">
        <v>70</v>
      </c>
      <c r="B15" s="7" t="s">
        <v>327</v>
      </c>
      <c r="C15" s="24" t="s">
        <v>311</v>
      </c>
      <c r="D15" s="24" t="s">
        <v>312</v>
      </c>
      <c r="E15" s="24" t="s">
        <v>313</v>
      </c>
      <c r="F15" s="24" t="s">
        <v>314</v>
      </c>
      <c r="G15" s="24" t="s">
        <v>315</v>
      </c>
      <c r="H15" s="8"/>
      <c r="I15" s="7" t="s">
        <v>328</v>
      </c>
      <c r="J15" s="7" t="s">
        <v>311</v>
      </c>
      <c r="K15" s="7" t="s">
        <v>312</v>
      </c>
      <c r="L15" s="7" t="s">
        <v>313</v>
      </c>
      <c r="M15" s="7" t="s">
        <v>314</v>
      </c>
      <c r="N15" s="7" t="s">
        <v>315</v>
      </c>
      <c r="O15" s="16"/>
      <c r="P15" s="7" t="s">
        <v>349</v>
      </c>
      <c r="Q15" s="7" t="s">
        <v>311</v>
      </c>
      <c r="R15" s="7" t="s">
        <v>312</v>
      </c>
      <c r="S15" s="7" t="s">
        <v>313</v>
      </c>
      <c r="T15" s="7" t="s">
        <v>314</v>
      </c>
      <c r="U15" s="7" t="s">
        <v>315</v>
      </c>
      <c r="V15" s="22"/>
      <c r="W15" s="7" t="s">
        <v>318</v>
      </c>
      <c r="X15" s="7" t="s">
        <v>311</v>
      </c>
      <c r="Y15" s="7" t="s">
        <v>312</v>
      </c>
      <c r="Z15" s="7" t="s">
        <v>313</v>
      </c>
      <c r="AA15" s="7" t="s">
        <v>314</v>
      </c>
      <c r="AB15" s="7" t="s">
        <v>315</v>
      </c>
    </row>
    <row r="16" spans="1:28" x14ac:dyDescent="0.25">
      <c r="A16" s="21" t="s">
        <v>357</v>
      </c>
      <c r="B16" s="21" t="s">
        <v>5</v>
      </c>
      <c r="C16" s="25">
        <f>[1]AUDJPY!$B15</f>
        <v>0.15460000000000002</v>
      </c>
      <c r="D16" s="25">
        <f>[1]AUDJPY!$F15</f>
        <v>-3.5400000000000001E-2</v>
      </c>
      <c r="E16" s="25">
        <f>[1]AUDJPY!$E15</f>
        <v>-6.4699999999999994E-2</v>
      </c>
      <c r="F16" s="25">
        <f>[1]AUDJPY!$D15</f>
        <v>4.0999999999999995E-3</v>
      </c>
      <c r="G16" s="25">
        <f>[1]AUDJPY!$C15</f>
        <v>1.5600000000000001E-2</v>
      </c>
      <c r="H16" s="8"/>
      <c r="I16" s="21" t="s">
        <v>5</v>
      </c>
      <c r="J16" s="28">
        <f>'[2]G7 Cross'!$C26</f>
        <v>5.0599999999999996</v>
      </c>
      <c r="K16" s="28">
        <v>3</v>
      </c>
      <c r="L16" s="28">
        <v>6</v>
      </c>
      <c r="M16" s="28">
        <v>2.1</v>
      </c>
      <c r="N16" s="28">
        <v>4.2</v>
      </c>
      <c r="O16" s="16"/>
      <c r="P16" s="21" t="s">
        <v>5</v>
      </c>
      <c r="Q16" s="20">
        <f>(C16-J16/200)-0.002</f>
        <v>0.12730000000000002</v>
      </c>
      <c r="R16" s="20">
        <f t="shared" ref="R16:R26" si="7">D16-K16/200</f>
        <v>-5.04E-2</v>
      </c>
      <c r="S16" s="20">
        <f t="shared" ref="S16:S26" si="8">E16-L16/200</f>
        <v>-9.4699999999999993E-2</v>
      </c>
      <c r="T16" s="20">
        <f t="shared" ref="T16:T26" si="9">F16-M16/200</f>
        <v>-6.4000000000000012E-3</v>
      </c>
      <c r="U16" s="20">
        <f t="shared" ref="U16:U26" si="10">G16-N16/200</f>
        <v>-5.4000000000000003E-3</v>
      </c>
      <c r="V16" s="22"/>
      <c r="W16" s="21" t="s">
        <v>5</v>
      </c>
      <c r="X16" s="20">
        <f>(C16+J16/200)-0.002</f>
        <v>0.1779</v>
      </c>
      <c r="Y16" s="20">
        <f t="shared" ref="Y16:Y26" si="11">D16+K16/200</f>
        <v>-2.0400000000000001E-2</v>
      </c>
      <c r="Z16" s="20">
        <f t="shared" ref="Z16:Z26" si="12">E16+L16/200</f>
        <v>-3.4699999999999995E-2</v>
      </c>
      <c r="AA16" s="20">
        <f t="shared" ref="AA16:AA26" si="13">F16+M16/200</f>
        <v>1.46E-2</v>
      </c>
      <c r="AB16" s="20">
        <f t="shared" ref="AB16:AB26" si="14">G16+N16/200</f>
        <v>3.6600000000000001E-2</v>
      </c>
    </row>
    <row r="17" spans="1:28" x14ac:dyDescent="0.25">
      <c r="A17" s="21" t="s">
        <v>357</v>
      </c>
      <c r="B17" s="21" t="s">
        <v>6</v>
      </c>
      <c r="C17" s="25">
        <f>[1]AUDJPY!$B16</f>
        <v>0.11380000000000001</v>
      </c>
      <c r="D17" s="25">
        <f>[1]AUDJPY!$F16</f>
        <v>-2.6000000000000002E-2</v>
      </c>
      <c r="E17" s="25">
        <f>[1]AUDJPY!$E16</f>
        <v>-4.7599999999999996E-2</v>
      </c>
      <c r="F17" s="25">
        <f>[1]AUDJPY!$D16</f>
        <v>3.3E-3</v>
      </c>
      <c r="G17" s="25">
        <f>[1]AUDJPY!$C16</f>
        <v>1.1399999999999999E-2</v>
      </c>
      <c r="H17" s="8"/>
      <c r="I17" s="21" t="s">
        <v>6</v>
      </c>
      <c r="J17" s="28">
        <f>'[2]G7 Cross'!$C27</f>
        <v>2.3199999999999998</v>
      </c>
      <c r="K17" s="28">
        <v>1.2</v>
      </c>
      <c r="L17" s="28">
        <v>2.4</v>
      </c>
      <c r="M17" s="28">
        <v>0.8</v>
      </c>
      <c r="N17" s="28">
        <v>1.6</v>
      </c>
      <c r="O17" s="16"/>
      <c r="P17" s="21" t="s">
        <v>6</v>
      </c>
      <c r="Q17" s="20">
        <f t="shared" ref="Q17:Q26" si="15">(C17-J17/200)-0.002</f>
        <v>0.10020000000000001</v>
      </c>
      <c r="R17" s="20">
        <f t="shared" si="7"/>
        <v>-3.2000000000000001E-2</v>
      </c>
      <c r="S17" s="20">
        <f t="shared" si="8"/>
        <v>-5.96E-2</v>
      </c>
      <c r="T17" s="20">
        <f t="shared" si="9"/>
        <v>-7.000000000000001E-4</v>
      </c>
      <c r="U17" s="20">
        <f t="shared" si="10"/>
        <v>3.3999999999999985E-3</v>
      </c>
      <c r="V17" s="22"/>
      <c r="W17" s="21" t="s">
        <v>6</v>
      </c>
      <c r="X17" s="20">
        <f t="shared" ref="X17:X26" si="16">(C17+J17/200)-0.002</f>
        <v>0.12340000000000001</v>
      </c>
      <c r="Y17" s="20">
        <f t="shared" si="11"/>
        <v>-2.0000000000000004E-2</v>
      </c>
      <c r="Z17" s="20">
        <f t="shared" si="12"/>
        <v>-3.5599999999999993E-2</v>
      </c>
      <c r="AA17" s="20">
        <f t="shared" si="13"/>
        <v>7.3000000000000001E-3</v>
      </c>
      <c r="AB17" s="20">
        <f t="shared" si="14"/>
        <v>1.9400000000000001E-2</v>
      </c>
    </row>
    <row r="18" spans="1:28" x14ac:dyDescent="0.25">
      <c r="A18" s="21" t="s">
        <v>357</v>
      </c>
      <c r="B18" s="21" t="s">
        <v>7</v>
      </c>
      <c r="C18" s="25">
        <f>[1]AUDJPY!$B17</f>
        <v>0.11310000000000001</v>
      </c>
      <c r="D18" s="25">
        <f>[1]AUDJPY!$F17</f>
        <v>-2.63E-2</v>
      </c>
      <c r="E18" s="25">
        <f>[1]AUDJPY!$E17</f>
        <v>-4.82E-2</v>
      </c>
      <c r="F18" s="25">
        <f>[1]AUDJPY!$D17</f>
        <v>3.3E-3</v>
      </c>
      <c r="G18" s="25">
        <f>[1]AUDJPY!$C17</f>
        <v>1.1599999999999999E-2</v>
      </c>
      <c r="H18" s="8"/>
      <c r="I18" s="21" t="s">
        <v>7</v>
      </c>
      <c r="J18" s="28">
        <f>'[2]G7 Cross'!$C28</f>
        <v>1.32</v>
      </c>
      <c r="K18" s="28">
        <v>0.8</v>
      </c>
      <c r="L18" s="28">
        <v>1.6</v>
      </c>
      <c r="M18" s="28">
        <v>0.6</v>
      </c>
      <c r="N18" s="28">
        <v>1.2</v>
      </c>
      <c r="O18" s="16"/>
      <c r="P18" s="21" t="s">
        <v>7</v>
      </c>
      <c r="Q18" s="20">
        <f t="shared" si="15"/>
        <v>0.10450000000000001</v>
      </c>
      <c r="R18" s="20">
        <f t="shared" si="7"/>
        <v>-3.0300000000000001E-2</v>
      </c>
      <c r="S18" s="20">
        <f t="shared" si="8"/>
        <v>-5.62E-2</v>
      </c>
      <c r="T18" s="20">
        <f t="shared" si="9"/>
        <v>2.9999999999999992E-4</v>
      </c>
      <c r="U18" s="20">
        <f t="shared" si="10"/>
        <v>5.5999999999999991E-3</v>
      </c>
      <c r="V18" s="22"/>
      <c r="W18" s="21" t="s">
        <v>7</v>
      </c>
      <c r="X18" s="20">
        <f t="shared" si="16"/>
        <v>0.1177</v>
      </c>
      <c r="Y18" s="20">
        <f t="shared" si="11"/>
        <v>-2.23E-2</v>
      </c>
      <c r="Z18" s="20">
        <f t="shared" si="12"/>
        <v>-4.02E-2</v>
      </c>
      <c r="AA18" s="20">
        <f t="shared" si="13"/>
        <v>6.3E-3</v>
      </c>
      <c r="AB18" s="20">
        <f t="shared" si="14"/>
        <v>1.7599999999999998E-2</v>
      </c>
    </row>
    <row r="19" spans="1:28" x14ac:dyDescent="0.25">
      <c r="A19" s="21" t="s">
        <v>357</v>
      </c>
      <c r="B19" s="21" t="s">
        <v>8</v>
      </c>
      <c r="C19" s="25">
        <f>[1]AUDJPY!$B18</f>
        <v>0.10589999999999999</v>
      </c>
      <c r="D19" s="25">
        <f>[1]AUDJPY!$F18</f>
        <v>-2.5499999999999998E-2</v>
      </c>
      <c r="E19" s="25">
        <f>[1]AUDJPY!$E18</f>
        <v>-4.7E-2</v>
      </c>
      <c r="F19" s="25">
        <f>[1]AUDJPY!$D18</f>
        <v>3.2000000000000002E-3</v>
      </c>
      <c r="G19" s="25">
        <f>[1]AUDJPY!$C18</f>
        <v>1.1699999999999999E-2</v>
      </c>
      <c r="H19" s="8"/>
      <c r="I19" s="21" t="s">
        <v>8</v>
      </c>
      <c r="J19" s="28">
        <f>'[2]G7 Cross'!$C29</f>
        <v>0.7</v>
      </c>
      <c r="K19" s="28">
        <v>0.5</v>
      </c>
      <c r="L19" s="28">
        <v>1</v>
      </c>
      <c r="M19" s="28">
        <v>0.4</v>
      </c>
      <c r="N19" s="28">
        <v>0.8</v>
      </c>
      <c r="O19" s="16"/>
      <c r="P19" s="21" t="s">
        <v>8</v>
      </c>
      <c r="Q19" s="20">
        <f t="shared" si="15"/>
        <v>0.10039999999999999</v>
      </c>
      <c r="R19" s="20">
        <f t="shared" si="7"/>
        <v>-2.7999999999999997E-2</v>
      </c>
      <c r="S19" s="20">
        <f t="shared" si="8"/>
        <v>-5.1999999999999998E-2</v>
      </c>
      <c r="T19" s="20">
        <f t="shared" si="9"/>
        <v>1.2000000000000001E-3</v>
      </c>
      <c r="U19" s="20">
        <f t="shared" si="10"/>
        <v>7.6999999999999985E-3</v>
      </c>
      <c r="V19" s="22"/>
      <c r="W19" s="21" t="s">
        <v>8</v>
      </c>
      <c r="X19" s="20">
        <f t="shared" si="16"/>
        <v>0.1074</v>
      </c>
      <c r="Y19" s="20">
        <f t="shared" si="11"/>
        <v>-2.3E-2</v>
      </c>
      <c r="Z19" s="20">
        <f t="shared" si="12"/>
        <v>-4.2000000000000003E-2</v>
      </c>
      <c r="AA19" s="20">
        <f t="shared" si="13"/>
        <v>5.1999999999999998E-3</v>
      </c>
      <c r="AB19" s="20">
        <f t="shared" si="14"/>
        <v>1.5699999999999999E-2</v>
      </c>
    </row>
    <row r="20" spans="1:28" x14ac:dyDescent="0.25">
      <c r="A20" s="21" t="s">
        <v>357</v>
      </c>
      <c r="B20" s="21" t="s">
        <v>9</v>
      </c>
      <c r="C20" s="25">
        <f>[1]AUDJPY!$B19</f>
        <v>0.10099999999999999</v>
      </c>
      <c r="D20" s="25">
        <f>[1]AUDJPY!$F19</f>
        <v>-2.4300000000000002E-2</v>
      </c>
      <c r="E20" s="25">
        <f>[1]AUDJPY!$E19</f>
        <v>-4.5100000000000001E-2</v>
      </c>
      <c r="F20" s="25">
        <f>[1]AUDJPY!$D19</f>
        <v>3.3E-3</v>
      </c>
      <c r="G20" s="25">
        <f>[1]AUDJPY!$C19</f>
        <v>1.21E-2</v>
      </c>
      <c r="H20" s="8"/>
      <c r="I20" s="21" t="s">
        <v>9</v>
      </c>
      <c r="J20" s="28">
        <f>'[2]G7 Cross'!$C30</f>
        <v>0.65</v>
      </c>
      <c r="K20" s="28">
        <v>0.5</v>
      </c>
      <c r="L20" s="28">
        <v>1</v>
      </c>
      <c r="M20" s="28">
        <v>0.4</v>
      </c>
      <c r="N20" s="28">
        <v>0.8</v>
      </c>
      <c r="O20" s="16"/>
      <c r="P20" s="21" t="s">
        <v>9</v>
      </c>
      <c r="Q20" s="20">
        <f t="shared" si="15"/>
        <v>9.5749999999999988E-2</v>
      </c>
      <c r="R20" s="20">
        <f t="shared" si="7"/>
        <v>-2.6800000000000001E-2</v>
      </c>
      <c r="S20" s="20">
        <f t="shared" si="8"/>
        <v>-5.0099999999999999E-2</v>
      </c>
      <c r="T20" s="20">
        <f t="shared" si="9"/>
        <v>1.2999999999999999E-3</v>
      </c>
      <c r="U20" s="20">
        <f t="shared" si="10"/>
        <v>8.0999999999999996E-3</v>
      </c>
      <c r="V20" s="22"/>
      <c r="W20" s="21" t="s">
        <v>9</v>
      </c>
      <c r="X20" s="20">
        <f t="shared" si="16"/>
        <v>0.10224999999999999</v>
      </c>
      <c r="Y20" s="20">
        <f t="shared" si="11"/>
        <v>-2.1800000000000003E-2</v>
      </c>
      <c r="Z20" s="20">
        <f t="shared" si="12"/>
        <v>-4.0100000000000004E-2</v>
      </c>
      <c r="AA20" s="20">
        <f t="shared" si="13"/>
        <v>5.3E-3</v>
      </c>
      <c r="AB20" s="20">
        <f t="shared" si="14"/>
        <v>1.61E-2</v>
      </c>
    </row>
    <row r="21" spans="1:28" x14ac:dyDescent="0.25">
      <c r="A21" s="21" t="s">
        <v>357</v>
      </c>
      <c r="B21" s="21" t="s">
        <v>10</v>
      </c>
      <c r="C21" s="25">
        <f>[1]AUDJPY!$B20</f>
        <v>9.9600000000000008E-2</v>
      </c>
      <c r="D21" s="25">
        <f>[1]AUDJPY!$F20</f>
        <v>-2.3799999999999998E-2</v>
      </c>
      <c r="E21" s="25">
        <f>[1]AUDJPY!$E20</f>
        <v>-4.4600000000000001E-2</v>
      </c>
      <c r="F21" s="25">
        <f>[1]AUDJPY!$D20</f>
        <v>3.4000000000000002E-3</v>
      </c>
      <c r="G21" s="25">
        <f>[1]AUDJPY!$C20</f>
        <v>1.2800000000000001E-2</v>
      </c>
      <c r="H21" s="8"/>
      <c r="I21" s="21" t="s">
        <v>10</v>
      </c>
      <c r="J21" s="28">
        <f>'[2]G7 Cross'!$C31</f>
        <v>0.65</v>
      </c>
      <c r="K21" s="28">
        <v>0.5</v>
      </c>
      <c r="L21" s="28">
        <v>1</v>
      </c>
      <c r="M21" s="28">
        <v>0.4</v>
      </c>
      <c r="N21" s="28">
        <v>0.8</v>
      </c>
      <c r="O21" s="16"/>
      <c r="P21" s="21" t="s">
        <v>10</v>
      </c>
      <c r="Q21" s="20">
        <f t="shared" si="15"/>
        <v>9.4350000000000003E-2</v>
      </c>
      <c r="R21" s="20">
        <f t="shared" si="7"/>
        <v>-2.6299999999999997E-2</v>
      </c>
      <c r="S21" s="20">
        <f t="shared" si="8"/>
        <v>-4.9599999999999998E-2</v>
      </c>
      <c r="T21" s="20">
        <f t="shared" si="9"/>
        <v>1.4000000000000002E-3</v>
      </c>
      <c r="U21" s="20">
        <f t="shared" si="10"/>
        <v>8.8000000000000005E-3</v>
      </c>
      <c r="V21" s="22"/>
      <c r="W21" s="21" t="s">
        <v>10</v>
      </c>
      <c r="X21" s="20">
        <f t="shared" si="16"/>
        <v>0.10085000000000001</v>
      </c>
      <c r="Y21" s="20">
        <f t="shared" si="11"/>
        <v>-2.1299999999999999E-2</v>
      </c>
      <c r="Z21" s="20">
        <f t="shared" si="12"/>
        <v>-3.9600000000000003E-2</v>
      </c>
      <c r="AA21" s="20">
        <f t="shared" si="13"/>
        <v>5.4000000000000003E-3</v>
      </c>
      <c r="AB21" s="20">
        <f t="shared" si="14"/>
        <v>1.6800000000000002E-2</v>
      </c>
    </row>
    <row r="22" spans="1:28" x14ac:dyDescent="0.25">
      <c r="A22" s="21" t="s">
        <v>357</v>
      </c>
      <c r="B22" s="21" t="s">
        <v>11</v>
      </c>
      <c r="C22" s="25">
        <f>[1]AUDJPY!$B21</f>
        <v>9.8599999999999993E-2</v>
      </c>
      <c r="D22" s="25">
        <f>[1]AUDJPY!$F21</f>
        <v>-2.06E-2</v>
      </c>
      <c r="E22" s="25">
        <f>[1]AUDJPY!$E21</f>
        <v>-4.07E-2</v>
      </c>
      <c r="F22" s="25">
        <f>[1]AUDJPY!$D21</f>
        <v>3.9000000000000003E-3</v>
      </c>
      <c r="G22" s="25">
        <f>[1]AUDJPY!$C21</f>
        <v>1.3999999999999999E-2</v>
      </c>
      <c r="H22" s="8"/>
      <c r="I22" s="21" t="s">
        <v>11</v>
      </c>
      <c r="J22" s="28">
        <f>'[2]G7 Cross'!$C32</f>
        <v>0.59</v>
      </c>
      <c r="K22" s="28">
        <v>0.5</v>
      </c>
      <c r="L22" s="28">
        <v>1</v>
      </c>
      <c r="M22" s="28">
        <v>0.4</v>
      </c>
      <c r="N22" s="28">
        <v>0.8</v>
      </c>
      <c r="O22" s="16"/>
      <c r="P22" s="21" t="s">
        <v>11</v>
      </c>
      <c r="Q22" s="20">
        <f t="shared" si="15"/>
        <v>9.3649999999999997E-2</v>
      </c>
      <c r="R22" s="20">
        <f t="shared" si="7"/>
        <v>-2.3099999999999999E-2</v>
      </c>
      <c r="S22" s="20">
        <f t="shared" si="8"/>
        <v>-4.5699999999999998E-2</v>
      </c>
      <c r="T22" s="20">
        <f t="shared" si="9"/>
        <v>1.9000000000000002E-3</v>
      </c>
      <c r="U22" s="20">
        <f t="shared" si="10"/>
        <v>9.9999999999999985E-3</v>
      </c>
      <c r="V22" s="22"/>
      <c r="W22" s="21" t="s">
        <v>11</v>
      </c>
      <c r="X22" s="20">
        <f t="shared" si="16"/>
        <v>9.9549999999999986E-2</v>
      </c>
      <c r="Y22" s="20">
        <f t="shared" si="11"/>
        <v>-1.8100000000000002E-2</v>
      </c>
      <c r="Z22" s="20">
        <f t="shared" si="12"/>
        <v>-3.5700000000000003E-2</v>
      </c>
      <c r="AA22" s="20">
        <f t="shared" si="13"/>
        <v>5.9000000000000007E-3</v>
      </c>
      <c r="AB22" s="20">
        <f t="shared" si="14"/>
        <v>1.7999999999999999E-2</v>
      </c>
    </row>
    <row r="23" spans="1:28" x14ac:dyDescent="0.25">
      <c r="A23" s="21" t="s">
        <v>357</v>
      </c>
      <c r="B23" s="21" t="s">
        <v>12</v>
      </c>
      <c r="C23" s="25">
        <f>[1]AUDJPY!$B22</f>
        <v>9.98E-2</v>
      </c>
      <c r="D23" s="25">
        <f>[1]AUDJPY!$F22</f>
        <v>-1.9699999999999999E-2</v>
      </c>
      <c r="E23" s="25">
        <f>[1]AUDJPY!$E22</f>
        <v>-4.0300000000000002E-2</v>
      </c>
      <c r="F23" s="25">
        <f>[1]AUDJPY!$D22</f>
        <v>4.0000000000000001E-3</v>
      </c>
      <c r="G23" s="25">
        <f>[1]AUDJPY!$C22</f>
        <v>1.5100000000000001E-2</v>
      </c>
      <c r="H23" s="8"/>
      <c r="I23" s="21" t="s">
        <v>12</v>
      </c>
      <c r="J23" s="28">
        <f>'[2]G7 Cross'!$C33</f>
        <v>0.55000000000000004</v>
      </c>
      <c r="K23" s="28">
        <v>0.5</v>
      </c>
      <c r="L23" s="28">
        <v>1</v>
      </c>
      <c r="M23" s="28">
        <v>0.4</v>
      </c>
      <c r="N23" s="28">
        <v>0.8</v>
      </c>
      <c r="O23" s="16"/>
      <c r="P23" s="21" t="s">
        <v>12</v>
      </c>
      <c r="Q23" s="20">
        <f t="shared" si="15"/>
        <v>9.5049999999999996E-2</v>
      </c>
      <c r="R23" s="20">
        <f t="shared" si="7"/>
        <v>-2.2199999999999998E-2</v>
      </c>
      <c r="S23" s="20">
        <f t="shared" si="8"/>
        <v>-4.53E-2</v>
      </c>
      <c r="T23" s="20">
        <f t="shared" si="9"/>
        <v>2E-3</v>
      </c>
      <c r="U23" s="20">
        <f t="shared" si="10"/>
        <v>1.11E-2</v>
      </c>
      <c r="V23" s="22"/>
      <c r="W23" s="21" t="s">
        <v>12</v>
      </c>
      <c r="X23" s="20">
        <f t="shared" si="16"/>
        <v>0.10055</v>
      </c>
      <c r="Y23" s="20">
        <f t="shared" si="11"/>
        <v>-1.72E-2</v>
      </c>
      <c r="Z23" s="20">
        <f t="shared" si="12"/>
        <v>-3.5300000000000005E-2</v>
      </c>
      <c r="AA23" s="20">
        <f t="shared" si="13"/>
        <v>6.0000000000000001E-3</v>
      </c>
      <c r="AB23" s="20">
        <f t="shared" si="14"/>
        <v>1.9099999999999999E-2</v>
      </c>
    </row>
    <row r="24" spans="1:28" x14ac:dyDescent="0.25">
      <c r="A24" s="21" t="s">
        <v>357</v>
      </c>
      <c r="B24" s="21" t="s">
        <v>13</v>
      </c>
      <c r="C24" s="25">
        <f>[1]AUDJPY!$B23</f>
        <v>0.1013</v>
      </c>
      <c r="D24" s="25">
        <f>[1]AUDJPY!$F23</f>
        <v>-1.8600000000000002E-2</v>
      </c>
      <c r="E24" s="25">
        <f>[1]AUDJPY!$E23</f>
        <v>-3.9300000000000002E-2</v>
      </c>
      <c r="F24" s="25">
        <f>[1]AUDJPY!$D23</f>
        <v>4.0999999999999995E-3</v>
      </c>
      <c r="G24" s="25">
        <f>[1]AUDJPY!$C23</f>
        <v>1.6399999999999998E-2</v>
      </c>
      <c r="H24" s="8"/>
      <c r="I24" s="21" t="s">
        <v>13</v>
      </c>
      <c r="J24" s="28">
        <f>'[2]G7 Cross'!$C34</f>
        <v>0.54</v>
      </c>
      <c r="K24" s="28">
        <v>0.5</v>
      </c>
      <c r="L24" s="28">
        <v>1</v>
      </c>
      <c r="M24" s="28">
        <v>0.4</v>
      </c>
      <c r="N24" s="28">
        <v>0.8</v>
      </c>
      <c r="O24" s="16"/>
      <c r="P24" s="21" t="s">
        <v>13</v>
      </c>
      <c r="Q24" s="20">
        <f t="shared" si="15"/>
        <v>9.6600000000000005E-2</v>
      </c>
      <c r="R24" s="20">
        <f t="shared" si="7"/>
        <v>-2.1100000000000001E-2</v>
      </c>
      <c r="S24" s="20">
        <f t="shared" si="8"/>
        <v>-4.4299999999999999E-2</v>
      </c>
      <c r="T24" s="20">
        <f t="shared" si="9"/>
        <v>2.0999999999999994E-3</v>
      </c>
      <c r="U24" s="20">
        <f t="shared" si="10"/>
        <v>1.2399999999999998E-2</v>
      </c>
      <c r="V24" s="22"/>
      <c r="W24" s="21" t="s">
        <v>13</v>
      </c>
      <c r="X24" s="20">
        <f t="shared" si="16"/>
        <v>0.10199999999999999</v>
      </c>
      <c r="Y24" s="20">
        <f t="shared" si="11"/>
        <v>-1.6100000000000003E-2</v>
      </c>
      <c r="Z24" s="20">
        <f t="shared" si="12"/>
        <v>-3.4300000000000004E-2</v>
      </c>
      <c r="AA24" s="20">
        <f t="shared" si="13"/>
        <v>6.0999999999999995E-3</v>
      </c>
      <c r="AB24" s="20">
        <f t="shared" si="14"/>
        <v>2.0399999999999998E-2</v>
      </c>
    </row>
    <row r="25" spans="1:28" x14ac:dyDescent="0.25">
      <c r="A25" s="21" t="s">
        <v>357</v>
      </c>
      <c r="B25" s="21" t="s">
        <v>14</v>
      </c>
      <c r="C25" s="25">
        <f>[1]AUDJPY!$B24</f>
        <v>0.1023</v>
      </c>
      <c r="D25" s="25">
        <f>[1]AUDJPY!$F24</f>
        <v>-2.0499999999999997E-2</v>
      </c>
      <c r="E25" s="25">
        <f>[1]AUDJPY!$E24</f>
        <v>-3.9699999999999999E-2</v>
      </c>
      <c r="F25" s="25">
        <f>[1]AUDJPY!$D24</f>
        <v>5.5000000000000005E-3</v>
      </c>
      <c r="G25" s="25">
        <f>[1]AUDJPY!$C24</f>
        <v>1.9299999999999998E-2</v>
      </c>
      <c r="H25" s="16"/>
      <c r="I25" s="21" t="s">
        <v>14</v>
      </c>
      <c r="J25" s="28">
        <f>'[2]G7 Cross'!$C35</f>
        <v>0.62</v>
      </c>
      <c r="K25" s="28">
        <v>0.9</v>
      </c>
      <c r="L25" s="28">
        <v>1.8</v>
      </c>
      <c r="M25" s="28">
        <v>0.6</v>
      </c>
      <c r="N25" s="28">
        <v>1.2</v>
      </c>
      <c r="O25" s="16"/>
      <c r="P25" s="21" t="s">
        <v>14</v>
      </c>
      <c r="Q25" s="20">
        <f t="shared" si="15"/>
        <v>9.7199999999999995E-2</v>
      </c>
      <c r="R25" s="20">
        <f t="shared" si="7"/>
        <v>-2.4999999999999998E-2</v>
      </c>
      <c r="S25" s="20">
        <f t="shared" si="8"/>
        <v>-4.87E-2</v>
      </c>
      <c r="T25" s="20">
        <f t="shared" si="9"/>
        <v>2.5000000000000005E-3</v>
      </c>
      <c r="U25" s="20">
        <f t="shared" si="10"/>
        <v>1.3299999999999998E-2</v>
      </c>
      <c r="V25" s="22"/>
      <c r="W25" s="21" t="s">
        <v>14</v>
      </c>
      <c r="X25" s="20">
        <f t="shared" si="16"/>
        <v>0.10340000000000001</v>
      </c>
      <c r="Y25" s="20">
        <f t="shared" si="11"/>
        <v>-1.5999999999999997E-2</v>
      </c>
      <c r="Z25" s="20">
        <f t="shared" si="12"/>
        <v>-3.0699999999999998E-2</v>
      </c>
      <c r="AA25" s="20">
        <f t="shared" si="13"/>
        <v>8.5000000000000006E-3</v>
      </c>
      <c r="AB25" s="20">
        <f t="shared" si="14"/>
        <v>2.5299999999999996E-2</v>
      </c>
    </row>
    <row r="26" spans="1:28" x14ac:dyDescent="0.25">
      <c r="A26" s="21" t="s">
        <v>357</v>
      </c>
      <c r="B26" s="21" t="s">
        <v>876</v>
      </c>
      <c r="C26" s="25">
        <f>[1]AUDJPY!$B25</f>
        <v>0.1032</v>
      </c>
      <c r="D26" s="25">
        <f>[1]AUDJPY!$F25</f>
        <v>-2.1099999999999997E-2</v>
      </c>
      <c r="E26" s="25">
        <f>[1]AUDJPY!$E25</f>
        <v>-4.0800000000000003E-2</v>
      </c>
      <c r="F26" s="25">
        <f>[1]AUDJPY!$D25</f>
        <v>5.6999999999999993E-3</v>
      </c>
      <c r="G26" s="25">
        <f>[1]AUDJPY!$C25</f>
        <v>2.06E-2</v>
      </c>
      <c r="H26" s="16"/>
      <c r="I26" s="21" t="s">
        <v>876</v>
      </c>
      <c r="J26" s="28">
        <f>'[2]G7 Cross'!$C36</f>
        <v>0.73</v>
      </c>
      <c r="K26" s="28">
        <v>0.9</v>
      </c>
      <c r="L26" s="28">
        <v>1.8</v>
      </c>
      <c r="M26" s="28">
        <v>0.6</v>
      </c>
      <c r="N26" s="28">
        <v>1.2</v>
      </c>
      <c r="O26" s="16"/>
      <c r="P26" s="21" t="s">
        <v>876</v>
      </c>
      <c r="Q26" s="20">
        <f t="shared" si="15"/>
        <v>9.7549999999999998E-2</v>
      </c>
      <c r="R26" s="20">
        <f t="shared" si="7"/>
        <v>-2.5599999999999998E-2</v>
      </c>
      <c r="S26" s="20">
        <f t="shared" si="8"/>
        <v>-4.9800000000000004E-2</v>
      </c>
      <c r="T26" s="20">
        <f t="shared" si="9"/>
        <v>2.6999999999999993E-3</v>
      </c>
      <c r="U26" s="20">
        <f t="shared" si="10"/>
        <v>1.46E-2</v>
      </c>
      <c r="V26" s="22"/>
      <c r="W26" s="21" t="s">
        <v>876</v>
      </c>
      <c r="X26" s="20">
        <f t="shared" si="16"/>
        <v>0.10485</v>
      </c>
      <c r="Y26" s="20">
        <f t="shared" si="11"/>
        <v>-1.6599999999999997E-2</v>
      </c>
      <c r="Z26" s="20">
        <f t="shared" si="12"/>
        <v>-3.1800000000000002E-2</v>
      </c>
      <c r="AA26" s="20">
        <f t="shared" si="13"/>
        <v>8.6999999999999994E-3</v>
      </c>
      <c r="AB26" s="20">
        <f t="shared" si="14"/>
        <v>2.6599999999999999E-2</v>
      </c>
    </row>
    <row r="27" spans="1:28" x14ac:dyDescent="0.25">
      <c r="A27" s="16"/>
      <c r="B27" s="16"/>
      <c r="C27" s="26"/>
      <c r="D27" s="26"/>
      <c r="E27" s="26"/>
      <c r="F27" s="26"/>
      <c r="G27" s="26"/>
      <c r="H27" s="16"/>
      <c r="I27" s="16"/>
      <c r="J27" s="16"/>
      <c r="K27" s="16"/>
      <c r="L27" s="16"/>
      <c r="M27" s="16"/>
      <c r="N27" s="16"/>
      <c r="O27" s="16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 x14ac:dyDescent="0.25">
      <c r="A28" s="16"/>
      <c r="B28" s="16"/>
      <c r="C28" s="26"/>
      <c r="D28" s="26"/>
      <c r="E28" s="26"/>
      <c r="F28" s="26"/>
      <c r="G28" s="26"/>
      <c r="H28" s="16"/>
      <c r="I28" s="16"/>
      <c r="J28" s="16"/>
      <c r="K28" s="16"/>
      <c r="L28" s="16"/>
      <c r="M28" s="16"/>
      <c r="N28" s="16"/>
      <c r="O28" s="16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 x14ac:dyDescent="0.25">
      <c r="A29" s="7" t="s">
        <v>70</v>
      </c>
      <c r="B29" s="7" t="s">
        <v>327</v>
      </c>
      <c r="C29" s="24" t="s">
        <v>311</v>
      </c>
      <c r="D29" s="24" t="s">
        <v>312</v>
      </c>
      <c r="E29" s="24" t="s">
        <v>313</v>
      </c>
      <c r="F29" s="24" t="s">
        <v>314</v>
      </c>
      <c r="G29" s="24" t="s">
        <v>315</v>
      </c>
      <c r="H29" s="8"/>
      <c r="I29" s="7" t="s">
        <v>328</v>
      </c>
      <c r="J29" s="7" t="s">
        <v>311</v>
      </c>
      <c r="K29" s="7" t="s">
        <v>312</v>
      </c>
      <c r="L29" s="7" t="s">
        <v>313</v>
      </c>
      <c r="M29" s="7" t="s">
        <v>314</v>
      </c>
      <c r="N29" s="7" t="s">
        <v>315</v>
      </c>
      <c r="O29" s="16"/>
      <c r="P29" s="7" t="s">
        <v>349</v>
      </c>
      <c r="Q29" s="7" t="s">
        <v>311</v>
      </c>
      <c r="R29" s="7" t="s">
        <v>312</v>
      </c>
      <c r="S29" s="7" t="s">
        <v>313</v>
      </c>
      <c r="T29" s="7" t="s">
        <v>314</v>
      </c>
      <c r="U29" s="7" t="s">
        <v>315</v>
      </c>
      <c r="V29" s="22"/>
      <c r="W29" s="7" t="s">
        <v>318</v>
      </c>
      <c r="X29" s="7" t="s">
        <v>311</v>
      </c>
      <c r="Y29" s="7" t="s">
        <v>312</v>
      </c>
      <c r="Z29" s="7" t="s">
        <v>313</v>
      </c>
      <c r="AA29" s="7" t="s">
        <v>314</v>
      </c>
      <c r="AB29" s="7" t="s">
        <v>315</v>
      </c>
    </row>
    <row r="30" spans="1:28" x14ac:dyDescent="0.25">
      <c r="A30" s="21" t="s">
        <v>939</v>
      </c>
      <c r="B30" s="21" t="s">
        <v>5</v>
      </c>
      <c r="C30" s="25">
        <f>[1]AUDNZD!$B15</f>
        <v>7.2300000000000003E-2</v>
      </c>
      <c r="D30" s="25">
        <f>[1]AUDNZD!$F15</f>
        <v>1E-3</v>
      </c>
      <c r="E30" s="25">
        <f>[1]AUDNZD!$E15</f>
        <v>1.9E-3</v>
      </c>
      <c r="F30" s="25">
        <f>[1]AUDNZD!$D15</f>
        <v>8.9999999999999998E-4</v>
      </c>
      <c r="G30" s="25">
        <f>[1]AUDNZD!$C15</f>
        <v>3.3E-3</v>
      </c>
      <c r="H30" s="8"/>
      <c r="I30" s="21" t="s">
        <v>5</v>
      </c>
      <c r="J30" s="28">
        <f>'[2]G7 Cross'!$C38</f>
        <v>2.0099999999999998</v>
      </c>
      <c r="K30" s="28">
        <v>3</v>
      </c>
      <c r="L30" s="28">
        <v>6</v>
      </c>
      <c r="M30" s="28">
        <v>2.1</v>
      </c>
      <c r="N30" s="28">
        <v>4.2</v>
      </c>
      <c r="O30" s="16"/>
      <c r="P30" s="21" t="s">
        <v>5</v>
      </c>
      <c r="Q30" s="20">
        <f>(C30-J30/200)-0.002</f>
        <v>6.0250000000000005E-2</v>
      </c>
      <c r="R30" s="20">
        <f t="shared" ref="R30:R40" si="17">D30-K30/200</f>
        <v>-1.3999999999999999E-2</v>
      </c>
      <c r="S30" s="20">
        <f t="shared" ref="S30:S40" si="18">E30-L30/200</f>
        <v>-2.81E-2</v>
      </c>
      <c r="T30" s="20">
        <f t="shared" ref="T30:T40" si="19">F30-M30/200</f>
        <v>-9.6000000000000009E-3</v>
      </c>
      <c r="U30" s="20">
        <f t="shared" ref="U30:U40" si="20">G30-N30/200</f>
        <v>-1.77E-2</v>
      </c>
      <c r="V30" s="22"/>
      <c r="W30" s="21" t="s">
        <v>5</v>
      </c>
      <c r="X30" s="20">
        <f>(C30+J30/200)-0.002</f>
        <v>8.0350000000000005E-2</v>
      </c>
      <c r="Y30" s="20">
        <f t="shared" ref="Y30:Y40" si="21">D30+K30/200</f>
        <v>1.6E-2</v>
      </c>
      <c r="Z30" s="20">
        <f t="shared" ref="Z30:Z40" si="22">E30+L30/200</f>
        <v>3.1899999999999998E-2</v>
      </c>
      <c r="AA30" s="20">
        <f t="shared" ref="AA30:AA40" si="23">F30+M30/200</f>
        <v>1.14E-2</v>
      </c>
      <c r="AB30" s="20">
        <f t="shared" ref="AB30:AB40" si="24">G30+N30/200</f>
        <v>2.4300000000000002E-2</v>
      </c>
    </row>
    <row r="31" spans="1:28" x14ac:dyDescent="0.25">
      <c r="A31" s="21" t="s">
        <v>939</v>
      </c>
      <c r="B31" s="21" t="s">
        <v>6</v>
      </c>
      <c r="C31" s="25">
        <f>[1]AUDNZD!$B16</f>
        <v>5.4199999999999998E-2</v>
      </c>
      <c r="D31" s="25">
        <f>[1]AUDNZD!$F16</f>
        <v>7.000000000000001E-4</v>
      </c>
      <c r="E31" s="25">
        <f>[1]AUDNZD!$E16</f>
        <v>1.4000000000000002E-3</v>
      </c>
      <c r="F31" s="25">
        <f>[1]AUDNZD!$D16</f>
        <v>7.000000000000001E-4</v>
      </c>
      <c r="G31" s="25">
        <f>[1]AUDNZD!$C16</f>
        <v>2.5000000000000001E-3</v>
      </c>
      <c r="H31" s="8"/>
      <c r="I31" s="21" t="s">
        <v>6</v>
      </c>
      <c r="J31" s="28">
        <f>'[2]G7 Cross'!$C39</f>
        <v>0.95</v>
      </c>
      <c r="K31" s="28">
        <v>1.2</v>
      </c>
      <c r="L31" s="28">
        <v>2.4</v>
      </c>
      <c r="M31" s="28">
        <v>0.8</v>
      </c>
      <c r="N31" s="28">
        <v>1.6</v>
      </c>
      <c r="O31" s="16"/>
      <c r="P31" s="21" t="s">
        <v>6</v>
      </c>
      <c r="Q31" s="20">
        <f t="shared" ref="Q31:Q40" si="25">(C31-J31/200)-0.002</f>
        <v>4.7449999999999999E-2</v>
      </c>
      <c r="R31" s="20">
        <f t="shared" si="17"/>
        <v>-5.3E-3</v>
      </c>
      <c r="S31" s="20">
        <f t="shared" si="18"/>
        <v>-1.06E-2</v>
      </c>
      <c r="T31" s="20">
        <f t="shared" si="19"/>
        <v>-3.3E-3</v>
      </c>
      <c r="U31" s="20">
        <f t="shared" si="20"/>
        <v>-5.4999999999999997E-3</v>
      </c>
      <c r="V31" s="22"/>
      <c r="W31" s="21" t="s">
        <v>6</v>
      </c>
      <c r="X31" s="20">
        <f t="shared" ref="X31:X40" si="26">(C31+J31/200)-0.002</f>
        <v>5.6949999999999994E-2</v>
      </c>
      <c r="Y31" s="20">
        <f t="shared" si="21"/>
        <v>6.7000000000000002E-3</v>
      </c>
      <c r="Z31" s="20">
        <f t="shared" si="22"/>
        <v>1.34E-2</v>
      </c>
      <c r="AA31" s="20">
        <f t="shared" si="23"/>
        <v>4.7000000000000002E-3</v>
      </c>
      <c r="AB31" s="20">
        <f t="shared" si="24"/>
        <v>1.0500000000000001E-2</v>
      </c>
    </row>
    <row r="32" spans="1:28" x14ac:dyDescent="0.25">
      <c r="A32" s="21" t="s">
        <v>939</v>
      </c>
      <c r="B32" s="21" t="s">
        <v>7</v>
      </c>
      <c r="C32" s="25">
        <f>[1]AUDNZD!$B17</f>
        <v>5.0799999999999998E-2</v>
      </c>
      <c r="D32" s="25">
        <f>[1]AUDNZD!$F17</f>
        <v>5.9999999999999995E-4</v>
      </c>
      <c r="E32" s="25">
        <f>[1]AUDNZD!$E17</f>
        <v>1.1000000000000001E-3</v>
      </c>
      <c r="F32" s="25">
        <f>[1]AUDNZD!$D17</f>
        <v>7.000000000000001E-4</v>
      </c>
      <c r="G32" s="25">
        <f>[1]AUDNZD!$C17</f>
        <v>2.3E-3</v>
      </c>
      <c r="H32" s="8"/>
      <c r="I32" s="21" t="s">
        <v>7</v>
      </c>
      <c r="J32" s="28">
        <f>'[2]G7 Cross'!$C40</f>
        <v>0.56999999999999995</v>
      </c>
      <c r="K32" s="28">
        <v>0.8</v>
      </c>
      <c r="L32" s="28">
        <v>1.6</v>
      </c>
      <c r="M32" s="28">
        <v>0.6</v>
      </c>
      <c r="N32" s="28">
        <v>1.2</v>
      </c>
      <c r="O32" s="16"/>
      <c r="P32" s="21" t="s">
        <v>7</v>
      </c>
      <c r="Q32" s="20">
        <f t="shared" si="25"/>
        <v>4.5949999999999998E-2</v>
      </c>
      <c r="R32" s="20">
        <f t="shared" si="17"/>
        <v>-3.4000000000000002E-3</v>
      </c>
      <c r="S32" s="20">
        <f t="shared" si="18"/>
        <v>-6.8999999999999999E-3</v>
      </c>
      <c r="T32" s="20">
        <f t="shared" si="19"/>
        <v>-2.3E-3</v>
      </c>
      <c r="U32" s="20">
        <f t="shared" si="20"/>
        <v>-3.7000000000000002E-3</v>
      </c>
      <c r="V32" s="22"/>
      <c r="W32" s="21" t="s">
        <v>7</v>
      </c>
      <c r="X32" s="20">
        <f t="shared" si="26"/>
        <v>5.1649999999999995E-2</v>
      </c>
      <c r="Y32" s="20">
        <f t="shared" si="21"/>
        <v>4.5999999999999999E-3</v>
      </c>
      <c r="Z32" s="20">
        <f t="shared" si="22"/>
        <v>9.1000000000000004E-3</v>
      </c>
      <c r="AA32" s="20">
        <f t="shared" si="23"/>
        <v>3.7000000000000002E-3</v>
      </c>
      <c r="AB32" s="20">
        <f t="shared" si="24"/>
        <v>8.3000000000000001E-3</v>
      </c>
    </row>
    <row r="33" spans="1:28" x14ac:dyDescent="0.25">
      <c r="A33" s="21" t="s">
        <v>939</v>
      </c>
      <c r="B33" s="21" t="s">
        <v>8</v>
      </c>
      <c r="C33" s="25">
        <f>[1]AUDNZD!$B18</f>
        <v>5.2000000000000005E-2</v>
      </c>
      <c r="D33" s="25">
        <f>[1]AUDNZD!$F18</f>
        <v>4.0000000000000002E-4</v>
      </c>
      <c r="E33" s="25">
        <f>[1]AUDNZD!$E18</f>
        <v>8.9999999999999998E-4</v>
      </c>
      <c r="F33" s="25">
        <f>[1]AUDNZD!$D18</f>
        <v>7.000000000000001E-4</v>
      </c>
      <c r="G33" s="25">
        <f>[1]AUDNZD!$C18</f>
        <v>2.3999999999999998E-3</v>
      </c>
      <c r="H33" s="8"/>
      <c r="I33" s="21" t="s">
        <v>8</v>
      </c>
      <c r="J33" s="28">
        <f>'[2]G7 Cross'!$C41</f>
        <v>0.3</v>
      </c>
      <c r="K33" s="28">
        <v>0.5</v>
      </c>
      <c r="L33" s="28">
        <v>1</v>
      </c>
      <c r="M33" s="28">
        <v>0.4</v>
      </c>
      <c r="N33" s="28">
        <v>0.8</v>
      </c>
      <c r="O33" s="16"/>
      <c r="P33" s="21" t="s">
        <v>8</v>
      </c>
      <c r="Q33" s="20">
        <f t="shared" si="25"/>
        <v>4.8500000000000001E-2</v>
      </c>
      <c r="R33" s="20">
        <f t="shared" si="17"/>
        <v>-2.0999999999999999E-3</v>
      </c>
      <c r="S33" s="20">
        <f t="shared" si="18"/>
        <v>-4.1000000000000003E-3</v>
      </c>
      <c r="T33" s="20">
        <f t="shared" si="19"/>
        <v>-1.2999999999999999E-3</v>
      </c>
      <c r="U33" s="20">
        <f t="shared" si="20"/>
        <v>-1.6000000000000003E-3</v>
      </c>
      <c r="V33" s="22"/>
      <c r="W33" s="21" t="s">
        <v>8</v>
      </c>
      <c r="X33" s="20">
        <f t="shared" si="26"/>
        <v>5.1500000000000004E-2</v>
      </c>
      <c r="Y33" s="20">
        <f t="shared" si="21"/>
        <v>2.9000000000000002E-3</v>
      </c>
      <c r="Z33" s="20">
        <f t="shared" si="22"/>
        <v>5.8999999999999999E-3</v>
      </c>
      <c r="AA33" s="20">
        <f t="shared" si="23"/>
        <v>2.7000000000000001E-3</v>
      </c>
      <c r="AB33" s="20">
        <f t="shared" si="24"/>
        <v>6.3999999999999994E-3</v>
      </c>
    </row>
    <row r="34" spans="1:28" x14ac:dyDescent="0.25">
      <c r="A34" s="21" t="s">
        <v>939</v>
      </c>
      <c r="B34" s="21" t="s">
        <v>9</v>
      </c>
      <c r="C34" s="25">
        <f>[1]AUDNZD!$B19</f>
        <v>5.3899999999999997E-2</v>
      </c>
      <c r="D34" s="25">
        <f>[1]AUDNZD!$F19</f>
        <v>5.0000000000000001E-4</v>
      </c>
      <c r="E34" s="25">
        <f>[1]AUDNZD!$E19</f>
        <v>1E-3</v>
      </c>
      <c r="F34" s="25">
        <f>[1]AUDNZD!$D19</f>
        <v>8.0000000000000004E-4</v>
      </c>
      <c r="G34" s="25">
        <f>[1]AUDNZD!$C19</f>
        <v>2.8000000000000004E-3</v>
      </c>
      <c r="H34" s="8"/>
      <c r="I34" s="21" t="s">
        <v>9</v>
      </c>
      <c r="J34" s="28">
        <f>'[2]G7 Cross'!$C42</f>
        <v>0.25</v>
      </c>
      <c r="K34" s="28">
        <v>0.5</v>
      </c>
      <c r="L34" s="28">
        <v>1</v>
      </c>
      <c r="M34" s="28">
        <v>0.4</v>
      </c>
      <c r="N34" s="28">
        <v>0.8</v>
      </c>
      <c r="O34" s="16"/>
      <c r="P34" s="21" t="s">
        <v>9</v>
      </c>
      <c r="Q34" s="20">
        <f t="shared" si="25"/>
        <v>5.0649999999999994E-2</v>
      </c>
      <c r="R34" s="20">
        <f t="shared" si="17"/>
        <v>-2E-3</v>
      </c>
      <c r="S34" s="20">
        <f t="shared" si="18"/>
        <v>-4.0000000000000001E-3</v>
      </c>
      <c r="T34" s="20">
        <f t="shared" si="19"/>
        <v>-1.2000000000000001E-3</v>
      </c>
      <c r="U34" s="20">
        <f t="shared" si="20"/>
        <v>-1.1999999999999997E-3</v>
      </c>
      <c r="V34" s="22"/>
      <c r="W34" s="21" t="s">
        <v>9</v>
      </c>
      <c r="X34" s="20">
        <f t="shared" si="26"/>
        <v>5.3149999999999996E-2</v>
      </c>
      <c r="Y34" s="20">
        <f t="shared" si="21"/>
        <v>3.0000000000000001E-3</v>
      </c>
      <c r="Z34" s="20">
        <f t="shared" si="22"/>
        <v>6.0000000000000001E-3</v>
      </c>
      <c r="AA34" s="20">
        <f t="shared" si="23"/>
        <v>2.8E-3</v>
      </c>
      <c r="AB34" s="20">
        <f t="shared" si="24"/>
        <v>6.8000000000000005E-3</v>
      </c>
    </row>
    <row r="35" spans="1:28" x14ac:dyDescent="0.25">
      <c r="A35" s="21" t="s">
        <v>939</v>
      </c>
      <c r="B35" s="21" t="s">
        <v>10</v>
      </c>
      <c r="C35" s="25">
        <f>[1]AUDNZD!$B20</f>
        <v>5.3499999999999999E-2</v>
      </c>
      <c r="D35" s="25">
        <f>[1]AUDNZD!$F20</f>
        <v>5.0000000000000001E-4</v>
      </c>
      <c r="E35" s="25">
        <f>[1]AUDNZD!$E20</f>
        <v>1E-3</v>
      </c>
      <c r="F35" s="25">
        <f>[1]AUDNZD!$D20</f>
        <v>8.9999999999999998E-4</v>
      </c>
      <c r="G35" s="25">
        <f>[1]AUDNZD!$C20</f>
        <v>3.0999999999999999E-3</v>
      </c>
      <c r="H35" s="8"/>
      <c r="I35" s="21" t="s">
        <v>10</v>
      </c>
      <c r="J35" s="28">
        <f>'[2]G7 Cross'!$C43</f>
        <v>0.26</v>
      </c>
      <c r="K35" s="28">
        <v>0.5</v>
      </c>
      <c r="L35" s="28">
        <v>1</v>
      </c>
      <c r="M35" s="28">
        <v>0.4</v>
      </c>
      <c r="N35" s="28">
        <v>0.8</v>
      </c>
      <c r="O35" s="16"/>
      <c r="P35" s="21" t="s">
        <v>10</v>
      </c>
      <c r="Q35" s="20">
        <f t="shared" si="25"/>
        <v>5.0199999999999995E-2</v>
      </c>
      <c r="R35" s="20">
        <f t="shared" si="17"/>
        <v>-2E-3</v>
      </c>
      <c r="S35" s="20">
        <f t="shared" si="18"/>
        <v>-4.0000000000000001E-3</v>
      </c>
      <c r="T35" s="20">
        <f t="shared" si="19"/>
        <v>-1.1000000000000001E-3</v>
      </c>
      <c r="U35" s="20">
        <f t="shared" si="20"/>
        <v>-9.0000000000000019E-4</v>
      </c>
      <c r="V35" s="22"/>
      <c r="W35" s="21" t="s">
        <v>10</v>
      </c>
      <c r="X35" s="20">
        <f t="shared" si="26"/>
        <v>5.28E-2</v>
      </c>
      <c r="Y35" s="20">
        <f t="shared" si="21"/>
        <v>3.0000000000000001E-3</v>
      </c>
      <c r="Z35" s="20">
        <f t="shared" si="22"/>
        <v>6.0000000000000001E-3</v>
      </c>
      <c r="AA35" s="20">
        <f t="shared" si="23"/>
        <v>2.8999999999999998E-3</v>
      </c>
      <c r="AB35" s="20">
        <f t="shared" si="24"/>
        <v>7.1000000000000004E-3</v>
      </c>
    </row>
    <row r="36" spans="1:28" x14ac:dyDescent="0.25">
      <c r="A36" s="21" t="s">
        <v>939</v>
      </c>
      <c r="B36" s="21" t="s">
        <v>11</v>
      </c>
      <c r="C36" s="25">
        <f>[1]AUDNZD!$B21</f>
        <v>5.1900000000000002E-2</v>
      </c>
      <c r="D36" s="25">
        <f>[1]AUDNZD!$F21</f>
        <v>4.0000000000000002E-4</v>
      </c>
      <c r="E36" s="25">
        <f>[1]AUDNZD!$E21</f>
        <v>8.9999999999999998E-4</v>
      </c>
      <c r="F36" s="25">
        <f>[1]AUDNZD!$D21</f>
        <v>1.1999999999999999E-3</v>
      </c>
      <c r="G36" s="25">
        <f>[1]AUDNZD!$C21</f>
        <v>4.5999999999999999E-3</v>
      </c>
      <c r="H36" s="8"/>
      <c r="I36" s="21" t="s">
        <v>11</v>
      </c>
      <c r="J36" s="28">
        <f>'[2]G7 Cross'!$C44</f>
        <v>0.24</v>
      </c>
      <c r="K36" s="28">
        <v>0.5</v>
      </c>
      <c r="L36" s="28">
        <v>1</v>
      </c>
      <c r="M36" s="28">
        <v>0.4</v>
      </c>
      <c r="N36" s="28">
        <v>0.8</v>
      </c>
      <c r="O36" s="16"/>
      <c r="P36" s="21" t="s">
        <v>11</v>
      </c>
      <c r="Q36" s="20">
        <f t="shared" si="25"/>
        <v>4.87E-2</v>
      </c>
      <c r="R36" s="20">
        <f t="shared" si="17"/>
        <v>-2.0999999999999999E-3</v>
      </c>
      <c r="S36" s="20">
        <f t="shared" si="18"/>
        <v>-4.1000000000000003E-3</v>
      </c>
      <c r="T36" s="20">
        <f t="shared" si="19"/>
        <v>-8.0000000000000015E-4</v>
      </c>
      <c r="U36" s="20">
        <f t="shared" si="20"/>
        <v>5.9999999999999984E-4</v>
      </c>
      <c r="V36" s="22"/>
      <c r="W36" s="21" t="s">
        <v>11</v>
      </c>
      <c r="X36" s="20">
        <f t="shared" si="26"/>
        <v>5.11E-2</v>
      </c>
      <c r="Y36" s="20">
        <f t="shared" si="21"/>
        <v>2.9000000000000002E-3</v>
      </c>
      <c r="Z36" s="20">
        <f t="shared" si="22"/>
        <v>5.8999999999999999E-3</v>
      </c>
      <c r="AA36" s="20">
        <f t="shared" si="23"/>
        <v>3.1999999999999997E-3</v>
      </c>
      <c r="AB36" s="20">
        <f t="shared" si="24"/>
        <v>8.6E-3</v>
      </c>
    </row>
    <row r="37" spans="1:28" x14ac:dyDescent="0.25">
      <c r="A37" s="21" t="s">
        <v>939</v>
      </c>
      <c r="B37" s="21" t="s">
        <v>12</v>
      </c>
      <c r="C37" s="25">
        <f>[1]AUDNZD!$B22</f>
        <v>5.21E-2</v>
      </c>
      <c r="D37" s="25">
        <f>[1]AUDNZD!$F22</f>
        <v>5.0000000000000001E-4</v>
      </c>
      <c r="E37" s="25">
        <f>[1]AUDNZD!$E22</f>
        <v>1.1000000000000001E-3</v>
      </c>
      <c r="F37" s="25">
        <f>[1]AUDNZD!$D22</f>
        <v>1.2999999999999999E-3</v>
      </c>
      <c r="G37" s="25">
        <f>[1]AUDNZD!$C22</f>
        <v>5.0000000000000001E-3</v>
      </c>
      <c r="H37" s="8"/>
      <c r="I37" s="21" t="s">
        <v>12</v>
      </c>
      <c r="J37" s="28">
        <f>'[2]G7 Cross'!$C45</f>
        <v>0.22</v>
      </c>
      <c r="K37" s="28">
        <v>0.5</v>
      </c>
      <c r="L37" s="28">
        <v>1</v>
      </c>
      <c r="M37" s="28">
        <v>0.4</v>
      </c>
      <c r="N37" s="28">
        <v>0.8</v>
      </c>
      <c r="O37" s="16"/>
      <c r="P37" s="21" t="s">
        <v>12</v>
      </c>
      <c r="Q37" s="20">
        <f t="shared" si="25"/>
        <v>4.9000000000000002E-2</v>
      </c>
      <c r="R37" s="20">
        <f t="shared" si="17"/>
        <v>-2E-3</v>
      </c>
      <c r="S37" s="20">
        <f t="shared" si="18"/>
        <v>-3.8999999999999998E-3</v>
      </c>
      <c r="T37" s="20">
        <f t="shared" si="19"/>
        <v>-7.000000000000001E-4</v>
      </c>
      <c r="U37" s="20">
        <f t="shared" si="20"/>
        <v>1E-3</v>
      </c>
      <c r="V37" s="22"/>
      <c r="W37" s="21" t="s">
        <v>12</v>
      </c>
      <c r="X37" s="20">
        <f t="shared" si="26"/>
        <v>5.1199999999999996E-2</v>
      </c>
      <c r="Y37" s="20">
        <f t="shared" si="21"/>
        <v>3.0000000000000001E-3</v>
      </c>
      <c r="Z37" s="20">
        <f t="shared" si="22"/>
        <v>6.1000000000000004E-3</v>
      </c>
      <c r="AA37" s="20">
        <f t="shared" si="23"/>
        <v>3.3E-3</v>
      </c>
      <c r="AB37" s="20">
        <f t="shared" si="24"/>
        <v>9.0000000000000011E-3</v>
      </c>
    </row>
    <row r="38" spans="1:28" x14ac:dyDescent="0.25">
      <c r="A38" s="21" t="s">
        <v>939</v>
      </c>
      <c r="B38" s="21" t="s">
        <v>13</v>
      </c>
      <c r="C38" s="25">
        <f>[1]AUDNZD!$B23</f>
        <v>5.2499999999999998E-2</v>
      </c>
      <c r="D38" s="25">
        <f>[1]AUDNZD!$F23</f>
        <v>5.0000000000000001E-4</v>
      </c>
      <c r="E38" s="25">
        <f>[1]AUDNZD!$E23</f>
        <v>1.2999999999999999E-3</v>
      </c>
      <c r="F38" s="25">
        <f>[1]AUDNZD!$D23</f>
        <v>1.4000000000000002E-3</v>
      </c>
      <c r="G38" s="25">
        <f>[1]AUDNZD!$C23</f>
        <v>5.5000000000000005E-3</v>
      </c>
      <c r="H38" s="8"/>
      <c r="I38" s="21" t="s">
        <v>13</v>
      </c>
      <c r="J38" s="28">
        <f>'[2]G7 Cross'!$C46</f>
        <v>0.23</v>
      </c>
      <c r="K38" s="28">
        <v>0.5</v>
      </c>
      <c r="L38" s="28">
        <v>1</v>
      </c>
      <c r="M38" s="28">
        <v>0.4</v>
      </c>
      <c r="N38" s="28">
        <v>0.8</v>
      </c>
      <c r="O38" s="16"/>
      <c r="P38" s="21" t="s">
        <v>13</v>
      </c>
      <c r="Q38" s="20">
        <f t="shared" si="25"/>
        <v>4.9349999999999998E-2</v>
      </c>
      <c r="R38" s="20">
        <f t="shared" si="17"/>
        <v>-2E-3</v>
      </c>
      <c r="S38" s="20">
        <f t="shared" si="18"/>
        <v>-3.7000000000000002E-3</v>
      </c>
      <c r="T38" s="20">
        <f t="shared" si="19"/>
        <v>-5.9999999999999984E-4</v>
      </c>
      <c r="U38" s="20">
        <f t="shared" si="20"/>
        <v>1.5000000000000005E-3</v>
      </c>
      <c r="V38" s="22"/>
      <c r="W38" s="21" t="s">
        <v>13</v>
      </c>
      <c r="X38" s="20">
        <f t="shared" si="26"/>
        <v>5.1649999999999995E-2</v>
      </c>
      <c r="Y38" s="20">
        <f t="shared" si="21"/>
        <v>3.0000000000000001E-3</v>
      </c>
      <c r="Z38" s="20">
        <f t="shared" si="22"/>
        <v>6.3E-3</v>
      </c>
      <c r="AA38" s="20">
        <f t="shared" si="23"/>
        <v>3.4000000000000002E-3</v>
      </c>
      <c r="AB38" s="20">
        <f t="shared" si="24"/>
        <v>9.5000000000000015E-3</v>
      </c>
    </row>
    <row r="39" spans="1:28" x14ac:dyDescent="0.25">
      <c r="A39" s="21" t="s">
        <v>939</v>
      </c>
      <c r="B39" s="21" t="s">
        <v>14</v>
      </c>
      <c r="C39" s="25">
        <f>[1]AUDNZD!$B24</f>
        <v>5.2600000000000001E-2</v>
      </c>
      <c r="D39" s="25">
        <f>[1]AUDNZD!$F24</f>
        <v>5.9999999999999995E-4</v>
      </c>
      <c r="E39" s="25">
        <f>[1]AUDNZD!$E24</f>
        <v>1.4000000000000002E-3</v>
      </c>
      <c r="F39" s="25">
        <f>[1]AUDNZD!$D24</f>
        <v>1.6000000000000001E-3</v>
      </c>
      <c r="G39" s="25">
        <f>[1]AUDNZD!$C24</f>
        <v>5.6999999999999993E-3</v>
      </c>
      <c r="H39" s="16"/>
      <c r="I39" s="21" t="s">
        <v>14</v>
      </c>
      <c r="J39" s="28">
        <f>'[2]G7 Cross'!$C47</f>
        <v>0.35</v>
      </c>
      <c r="K39" s="28">
        <v>0.9</v>
      </c>
      <c r="L39" s="28">
        <v>1.8</v>
      </c>
      <c r="M39" s="28">
        <v>0.6</v>
      </c>
      <c r="N39" s="28">
        <v>1.2</v>
      </c>
      <c r="O39" s="16"/>
      <c r="P39" s="21" t="s">
        <v>14</v>
      </c>
      <c r="Q39" s="20">
        <f t="shared" si="25"/>
        <v>4.8849999999999998E-2</v>
      </c>
      <c r="R39" s="20">
        <f t="shared" si="17"/>
        <v>-3.9000000000000007E-3</v>
      </c>
      <c r="S39" s="20">
        <f t="shared" si="18"/>
        <v>-7.6000000000000009E-3</v>
      </c>
      <c r="T39" s="20">
        <f t="shared" si="19"/>
        <v>-1.4E-3</v>
      </c>
      <c r="U39" s="20">
        <f t="shared" si="20"/>
        <v>-3.0000000000000079E-4</v>
      </c>
      <c r="V39" s="22"/>
      <c r="W39" s="21" t="s">
        <v>14</v>
      </c>
      <c r="X39" s="20">
        <f t="shared" si="26"/>
        <v>5.2350000000000001E-2</v>
      </c>
      <c r="Y39" s="20">
        <f t="shared" si="21"/>
        <v>5.1000000000000004E-3</v>
      </c>
      <c r="Z39" s="20">
        <f t="shared" si="22"/>
        <v>1.0400000000000001E-2</v>
      </c>
      <c r="AA39" s="20">
        <f t="shared" si="23"/>
        <v>4.5999999999999999E-3</v>
      </c>
      <c r="AB39" s="20">
        <f t="shared" si="24"/>
        <v>1.1699999999999999E-2</v>
      </c>
    </row>
    <row r="40" spans="1:28" x14ac:dyDescent="0.25">
      <c r="A40" s="21" t="s">
        <v>939</v>
      </c>
      <c r="B40" s="21" t="s">
        <v>876</v>
      </c>
      <c r="C40" s="25">
        <f>[1]AUDNZD!$B25</f>
        <v>5.2999999999999999E-2</v>
      </c>
      <c r="D40" s="25">
        <f>[1]AUDNZD!$F25</f>
        <v>4.0000000000000002E-4</v>
      </c>
      <c r="E40" s="25">
        <f>[1]AUDNZD!$E25</f>
        <v>1.1999999999999999E-3</v>
      </c>
      <c r="F40" s="25">
        <f>[1]AUDNZD!$D25</f>
        <v>1.6000000000000001E-3</v>
      </c>
      <c r="G40" s="25">
        <f>[1]AUDNZD!$C25</f>
        <v>5.7999999999999996E-3</v>
      </c>
      <c r="H40" s="16"/>
      <c r="I40" s="21" t="s">
        <v>876</v>
      </c>
      <c r="J40" s="28">
        <f>'[2]G7 Cross'!$C48</f>
        <v>0.48</v>
      </c>
      <c r="K40" s="28">
        <v>0.9</v>
      </c>
      <c r="L40" s="28">
        <v>1.8</v>
      </c>
      <c r="M40" s="28">
        <v>0.6</v>
      </c>
      <c r="N40" s="28">
        <v>1.2</v>
      </c>
      <c r="O40" s="16"/>
      <c r="P40" s="21" t="s">
        <v>876</v>
      </c>
      <c r="Q40" s="20">
        <f t="shared" si="25"/>
        <v>4.8599999999999997E-2</v>
      </c>
      <c r="R40" s="20">
        <f t="shared" si="17"/>
        <v>-4.1000000000000003E-3</v>
      </c>
      <c r="S40" s="20">
        <f t="shared" si="18"/>
        <v>-7.8000000000000014E-3</v>
      </c>
      <c r="T40" s="20">
        <f t="shared" si="19"/>
        <v>-1.4E-3</v>
      </c>
      <c r="U40" s="20">
        <f t="shared" si="20"/>
        <v>-2.0000000000000052E-4</v>
      </c>
      <c r="V40" s="22"/>
      <c r="W40" s="21" t="s">
        <v>876</v>
      </c>
      <c r="X40" s="20">
        <f t="shared" si="26"/>
        <v>5.3399999999999996E-2</v>
      </c>
      <c r="Y40" s="20">
        <f t="shared" si="21"/>
        <v>4.9000000000000007E-3</v>
      </c>
      <c r="Z40" s="20">
        <f t="shared" si="22"/>
        <v>1.0200000000000001E-2</v>
      </c>
      <c r="AA40" s="20">
        <f t="shared" si="23"/>
        <v>4.5999999999999999E-3</v>
      </c>
      <c r="AB40" s="20">
        <f t="shared" si="24"/>
        <v>1.18E-2</v>
      </c>
    </row>
    <row r="41" spans="1:28" x14ac:dyDescent="0.25">
      <c r="A41" s="16"/>
      <c r="B41" s="16"/>
      <c r="C41" s="26"/>
      <c r="D41" s="26"/>
      <c r="E41" s="26"/>
      <c r="F41" s="26"/>
      <c r="G41" s="26"/>
      <c r="H41" s="16"/>
      <c r="I41" s="16"/>
      <c r="J41" s="16"/>
      <c r="K41" s="16"/>
      <c r="L41" s="16"/>
      <c r="M41" s="16"/>
      <c r="N41" s="16"/>
      <c r="O41" s="16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1:28" x14ac:dyDescent="0.25">
      <c r="A42" s="16"/>
      <c r="B42" s="16"/>
      <c r="C42" s="26"/>
      <c r="D42" s="26"/>
      <c r="E42" s="26"/>
      <c r="F42" s="26"/>
      <c r="G42" s="26"/>
      <c r="H42" s="16"/>
      <c r="I42" s="16"/>
      <c r="J42" s="16"/>
      <c r="K42" s="16"/>
      <c r="L42" s="16"/>
      <c r="M42" s="16"/>
      <c r="N42" s="16"/>
      <c r="O42" s="16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1:28" x14ac:dyDescent="0.25">
      <c r="A43" s="7" t="s">
        <v>70</v>
      </c>
      <c r="B43" s="7" t="s">
        <v>327</v>
      </c>
      <c r="C43" s="24" t="s">
        <v>311</v>
      </c>
      <c r="D43" s="24" t="s">
        <v>312</v>
      </c>
      <c r="E43" s="24" t="s">
        <v>313</v>
      </c>
      <c r="F43" s="24" t="s">
        <v>314</v>
      </c>
      <c r="G43" s="24" t="s">
        <v>315</v>
      </c>
      <c r="H43" s="8"/>
      <c r="I43" s="7" t="s">
        <v>328</v>
      </c>
      <c r="J43" s="7" t="s">
        <v>311</v>
      </c>
      <c r="K43" s="7" t="s">
        <v>312</v>
      </c>
      <c r="L43" s="7" t="s">
        <v>313</v>
      </c>
      <c r="M43" s="7" t="s">
        <v>314</v>
      </c>
      <c r="N43" s="7" t="s">
        <v>315</v>
      </c>
      <c r="O43" s="16"/>
      <c r="P43" s="7" t="s">
        <v>349</v>
      </c>
      <c r="Q43" s="7" t="s">
        <v>311</v>
      </c>
      <c r="R43" s="7" t="s">
        <v>312</v>
      </c>
      <c r="S43" s="7" t="s">
        <v>313</v>
      </c>
      <c r="T43" s="7" t="s">
        <v>314</v>
      </c>
      <c r="U43" s="7" t="s">
        <v>315</v>
      </c>
      <c r="V43" s="22"/>
      <c r="W43" s="7" t="s">
        <v>318</v>
      </c>
      <c r="X43" s="7" t="s">
        <v>311</v>
      </c>
      <c r="Y43" s="7" t="s">
        <v>312</v>
      </c>
      <c r="Z43" s="7" t="s">
        <v>313</v>
      </c>
      <c r="AA43" s="7" t="s">
        <v>314</v>
      </c>
      <c r="AB43" s="7" t="s">
        <v>315</v>
      </c>
    </row>
    <row r="44" spans="1:28" x14ac:dyDescent="0.25">
      <c r="A44" s="21" t="s">
        <v>942</v>
      </c>
      <c r="B44" s="21" t="s">
        <v>5</v>
      </c>
      <c r="C44" s="25">
        <f>[1]EURAUD!$B15</f>
        <v>4.3299999999999998E-2</v>
      </c>
      <c r="D44" s="25">
        <f>[1]EURAUD!$F15</f>
        <v>2.3E-3</v>
      </c>
      <c r="E44" s="25">
        <f>[1]EURAUD!$E15</f>
        <v>4.4000000000000003E-3</v>
      </c>
      <c r="F44" s="25">
        <f>[1]EURAUD!$D15</f>
        <v>8.9999999999999998E-4</v>
      </c>
      <c r="G44" s="25">
        <f>[1]EURAUD!$C15</f>
        <v>3.2000000000000002E-3</v>
      </c>
      <c r="H44" s="8"/>
      <c r="I44" s="21" t="s">
        <v>5</v>
      </c>
      <c r="J44" s="28">
        <f>'[2]G7 Cross'!$C50</f>
        <v>2.04</v>
      </c>
      <c r="K44" s="28">
        <v>1.2</v>
      </c>
      <c r="L44" s="28">
        <v>2.4</v>
      </c>
      <c r="M44" s="28">
        <v>0.8</v>
      </c>
      <c r="N44" s="28">
        <v>1.6</v>
      </c>
      <c r="O44" s="16"/>
      <c r="P44" s="21" t="s">
        <v>5</v>
      </c>
      <c r="Q44" s="20">
        <f>(C44-J44/200)-0.002</f>
        <v>3.1099999999999996E-2</v>
      </c>
      <c r="R44" s="20">
        <f t="shared" ref="R44:R54" si="27">D44-K44/200</f>
        <v>-3.7000000000000002E-3</v>
      </c>
      <c r="S44" s="20">
        <f t="shared" ref="S44:S54" si="28">E44-L44/200</f>
        <v>-7.6E-3</v>
      </c>
      <c r="T44" s="20">
        <f t="shared" ref="T44:T54" si="29">F44-M44/200</f>
        <v>-3.1000000000000003E-3</v>
      </c>
      <c r="U44" s="20">
        <f t="shared" ref="U44:U54" si="30">G44-N44/200</f>
        <v>-4.8000000000000004E-3</v>
      </c>
      <c r="V44" s="22"/>
      <c r="W44" s="21" t="s">
        <v>5</v>
      </c>
      <c r="X44" s="20">
        <f>(C44+J44/200)-0.002</f>
        <v>5.1499999999999997E-2</v>
      </c>
      <c r="Y44" s="20">
        <f t="shared" ref="Y44:Y54" si="31">D44+K44/200</f>
        <v>8.3000000000000001E-3</v>
      </c>
      <c r="Z44" s="20">
        <f t="shared" ref="Z44:Z54" si="32">E44+L44/200</f>
        <v>1.6400000000000001E-2</v>
      </c>
      <c r="AA44" s="20">
        <f t="shared" ref="AA44:AA54" si="33">F44+M44/200</f>
        <v>4.8999999999999998E-3</v>
      </c>
      <c r="AB44" s="20">
        <f t="shared" ref="AB44:AB54" si="34">G44+N44/200</f>
        <v>1.12E-2</v>
      </c>
    </row>
    <row r="45" spans="1:28" x14ac:dyDescent="0.25">
      <c r="A45" s="21" t="s">
        <v>942</v>
      </c>
      <c r="B45" s="21" t="s">
        <v>6</v>
      </c>
      <c r="C45" s="25">
        <f>[1]EURAUD!$B16</f>
        <v>4.0899999999999999E-2</v>
      </c>
      <c r="D45" s="25">
        <f>[1]EURAUD!$F16</f>
        <v>2.5000000000000001E-3</v>
      </c>
      <c r="E45" s="25">
        <f>[1]EURAUD!$E16</f>
        <v>4.5000000000000005E-3</v>
      </c>
      <c r="F45" s="25">
        <f>[1]EURAUD!$D16</f>
        <v>8.9999999999999998E-4</v>
      </c>
      <c r="G45" s="25">
        <f>[1]EURAUD!$C16</f>
        <v>3.0000000000000001E-3</v>
      </c>
      <c r="H45" s="8"/>
      <c r="I45" s="21" t="s">
        <v>6</v>
      </c>
      <c r="J45" s="28">
        <f>'[2]G7 Cross'!$C51</f>
        <v>0.85</v>
      </c>
      <c r="K45" s="28">
        <v>0.5</v>
      </c>
      <c r="L45" s="28">
        <v>1</v>
      </c>
      <c r="M45" s="28">
        <v>0.4</v>
      </c>
      <c r="N45" s="28">
        <v>0.8</v>
      </c>
      <c r="O45" s="16"/>
      <c r="P45" s="21" t="s">
        <v>6</v>
      </c>
      <c r="Q45" s="20">
        <f t="shared" ref="Q45:Q54" si="35">(C45-J45/200)-0.002</f>
        <v>3.465E-2</v>
      </c>
      <c r="R45" s="20">
        <f t="shared" si="27"/>
        <v>0</v>
      </c>
      <c r="S45" s="20">
        <f t="shared" si="28"/>
        <v>-4.9999999999999958E-4</v>
      </c>
      <c r="T45" s="20">
        <f t="shared" si="29"/>
        <v>-1.1000000000000001E-3</v>
      </c>
      <c r="U45" s="20">
        <f t="shared" si="30"/>
        <v>-1E-3</v>
      </c>
      <c r="V45" s="22"/>
      <c r="W45" s="21" t="s">
        <v>6</v>
      </c>
      <c r="X45" s="20">
        <f t="shared" ref="X45:X54" si="36">(C45+J45/200)-0.002</f>
        <v>4.3149999999999994E-2</v>
      </c>
      <c r="Y45" s="20">
        <f t="shared" si="31"/>
        <v>5.0000000000000001E-3</v>
      </c>
      <c r="Z45" s="20">
        <f t="shared" si="32"/>
        <v>9.5000000000000015E-3</v>
      </c>
      <c r="AA45" s="20">
        <f t="shared" si="33"/>
        <v>2.8999999999999998E-3</v>
      </c>
      <c r="AB45" s="20">
        <f t="shared" si="34"/>
        <v>7.0000000000000001E-3</v>
      </c>
    </row>
    <row r="46" spans="1:28" x14ac:dyDescent="0.25">
      <c r="A46" s="21" t="s">
        <v>942</v>
      </c>
      <c r="B46" s="21" t="s">
        <v>7</v>
      </c>
      <c r="C46" s="25">
        <f>[1]EURAUD!$B17</f>
        <v>4.2199999999999994E-2</v>
      </c>
      <c r="D46" s="25">
        <f>[1]EURAUD!$F17</f>
        <v>2.7000000000000001E-3</v>
      </c>
      <c r="E46" s="25">
        <f>[1]EURAUD!$E17</f>
        <v>5.0000000000000001E-3</v>
      </c>
      <c r="F46" s="25">
        <f>[1]EURAUD!$D17</f>
        <v>1E-3</v>
      </c>
      <c r="G46" s="25">
        <f>[1]EURAUD!$C17</f>
        <v>3.2000000000000002E-3</v>
      </c>
      <c r="H46" s="8"/>
      <c r="I46" s="21" t="s">
        <v>7</v>
      </c>
      <c r="J46" s="28">
        <f>'[2]G7 Cross'!$C52</f>
        <v>0.53</v>
      </c>
      <c r="K46" s="28">
        <v>0.4</v>
      </c>
      <c r="L46" s="28">
        <v>0.8</v>
      </c>
      <c r="M46" s="28">
        <v>0.3</v>
      </c>
      <c r="N46" s="28">
        <v>0.6</v>
      </c>
      <c r="O46" s="16"/>
      <c r="P46" s="21" t="s">
        <v>7</v>
      </c>
      <c r="Q46" s="20">
        <f t="shared" si="35"/>
        <v>3.7549999999999993E-2</v>
      </c>
      <c r="R46" s="20">
        <f t="shared" si="27"/>
        <v>7.000000000000001E-4</v>
      </c>
      <c r="S46" s="20">
        <f t="shared" si="28"/>
        <v>1E-3</v>
      </c>
      <c r="T46" s="20">
        <f t="shared" si="29"/>
        <v>-5.0000000000000001E-4</v>
      </c>
      <c r="U46" s="20">
        <f t="shared" si="30"/>
        <v>2.0000000000000009E-4</v>
      </c>
      <c r="V46" s="22"/>
      <c r="W46" s="21" t="s">
        <v>7</v>
      </c>
      <c r="X46" s="20">
        <f t="shared" si="36"/>
        <v>4.2849999999999992E-2</v>
      </c>
      <c r="Y46" s="20">
        <f t="shared" si="31"/>
        <v>4.7000000000000002E-3</v>
      </c>
      <c r="Z46" s="20">
        <f t="shared" si="32"/>
        <v>9.0000000000000011E-3</v>
      </c>
      <c r="AA46" s="20">
        <f t="shared" si="33"/>
        <v>2.5000000000000001E-3</v>
      </c>
      <c r="AB46" s="20">
        <f t="shared" si="34"/>
        <v>6.2000000000000006E-3</v>
      </c>
    </row>
    <row r="47" spans="1:28" x14ac:dyDescent="0.25">
      <c r="A47" s="21" t="s">
        <v>942</v>
      </c>
      <c r="B47" s="21" t="s">
        <v>8</v>
      </c>
      <c r="C47" s="25">
        <f>[1]EURAUD!$B18</f>
        <v>4.8799999999999996E-2</v>
      </c>
      <c r="D47" s="25">
        <f>[1]EURAUD!$F18</f>
        <v>3.4999999999999996E-3</v>
      </c>
      <c r="E47" s="25">
        <f>[1]EURAUD!$E18</f>
        <v>6.9999999999999993E-3</v>
      </c>
      <c r="F47" s="25">
        <f>[1]EURAUD!$D18</f>
        <v>1.1999999999999999E-3</v>
      </c>
      <c r="G47" s="25">
        <f>[1]EURAUD!$C18</f>
        <v>3.9000000000000003E-3</v>
      </c>
      <c r="H47" s="8"/>
      <c r="I47" s="21" t="s">
        <v>8</v>
      </c>
      <c r="J47" s="28">
        <f>'[2]G7 Cross'!$C53</f>
        <v>0.32</v>
      </c>
      <c r="K47" s="28">
        <v>0.3</v>
      </c>
      <c r="L47" s="28">
        <v>0.6</v>
      </c>
      <c r="M47" s="28">
        <v>0.2</v>
      </c>
      <c r="N47" s="28">
        <v>0.4</v>
      </c>
      <c r="O47" s="16"/>
      <c r="P47" s="21" t="s">
        <v>8</v>
      </c>
      <c r="Q47" s="20">
        <f t="shared" si="35"/>
        <v>4.5199999999999997E-2</v>
      </c>
      <c r="R47" s="20">
        <f t="shared" si="27"/>
        <v>1.9999999999999996E-3</v>
      </c>
      <c r="S47" s="20">
        <f t="shared" si="28"/>
        <v>3.9999999999999992E-3</v>
      </c>
      <c r="T47" s="20">
        <f t="shared" si="29"/>
        <v>1.9999999999999987E-4</v>
      </c>
      <c r="U47" s="20">
        <f t="shared" si="30"/>
        <v>1.9000000000000002E-3</v>
      </c>
      <c r="V47" s="22"/>
      <c r="W47" s="21" t="s">
        <v>8</v>
      </c>
      <c r="X47" s="20">
        <f t="shared" si="36"/>
        <v>4.8399999999999992E-2</v>
      </c>
      <c r="Y47" s="20">
        <f t="shared" si="31"/>
        <v>4.9999999999999992E-3</v>
      </c>
      <c r="Z47" s="20">
        <f t="shared" si="32"/>
        <v>9.9999999999999985E-3</v>
      </c>
      <c r="AA47" s="20">
        <f t="shared" si="33"/>
        <v>2.1999999999999997E-3</v>
      </c>
      <c r="AB47" s="20">
        <f t="shared" si="34"/>
        <v>5.9000000000000007E-3</v>
      </c>
    </row>
    <row r="48" spans="1:28" x14ac:dyDescent="0.25">
      <c r="A48" s="21" t="s">
        <v>942</v>
      </c>
      <c r="B48" s="21" t="s">
        <v>9</v>
      </c>
      <c r="C48" s="25">
        <f>[1]EURAUD!$B19</f>
        <v>5.1500000000000004E-2</v>
      </c>
      <c r="D48" s="25">
        <f>[1]EURAUD!$F19</f>
        <v>4.0999999999999995E-3</v>
      </c>
      <c r="E48" s="25">
        <f>[1]EURAUD!$E19</f>
        <v>8.199999999999999E-3</v>
      </c>
      <c r="F48" s="25">
        <f>[1]EURAUD!$D19</f>
        <v>1.4000000000000002E-3</v>
      </c>
      <c r="G48" s="25">
        <f>[1]EURAUD!$C19</f>
        <v>4.6999999999999993E-3</v>
      </c>
      <c r="H48" s="8"/>
      <c r="I48" s="21" t="s">
        <v>9</v>
      </c>
      <c r="J48" s="28">
        <f>'[2]G7 Cross'!$C54</f>
        <v>0.28999999999999998</v>
      </c>
      <c r="K48" s="28">
        <v>0.3</v>
      </c>
      <c r="L48" s="28">
        <v>0.6</v>
      </c>
      <c r="M48" s="28">
        <v>0.2</v>
      </c>
      <c r="N48" s="28">
        <v>0.4</v>
      </c>
      <c r="O48" s="16"/>
      <c r="P48" s="21" t="s">
        <v>9</v>
      </c>
      <c r="Q48" s="20">
        <f t="shared" si="35"/>
        <v>4.8050000000000002E-2</v>
      </c>
      <c r="R48" s="20">
        <f t="shared" si="27"/>
        <v>2.5999999999999994E-3</v>
      </c>
      <c r="S48" s="20">
        <f t="shared" si="28"/>
        <v>5.1999999999999989E-3</v>
      </c>
      <c r="T48" s="20">
        <f t="shared" si="29"/>
        <v>4.0000000000000018E-4</v>
      </c>
      <c r="U48" s="20">
        <f t="shared" si="30"/>
        <v>2.6999999999999993E-3</v>
      </c>
      <c r="V48" s="22"/>
      <c r="W48" s="21" t="s">
        <v>9</v>
      </c>
      <c r="X48" s="20">
        <f t="shared" si="36"/>
        <v>5.0950000000000002E-2</v>
      </c>
      <c r="Y48" s="20">
        <f t="shared" si="31"/>
        <v>5.5999999999999991E-3</v>
      </c>
      <c r="Z48" s="20">
        <f t="shared" si="32"/>
        <v>1.1199999999999998E-2</v>
      </c>
      <c r="AA48" s="20">
        <f t="shared" si="33"/>
        <v>2.4000000000000002E-3</v>
      </c>
      <c r="AB48" s="20">
        <f t="shared" si="34"/>
        <v>6.6999999999999994E-3</v>
      </c>
    </row>
    <row r="49" spans="1:28" x14ac:dyDescent="0.25">
      <c r="A49" s="21" t="s">
        <v>942</v>
      </c>
      <c r="B49" s="21" t="s">
        <v>10</v>
      </c>
      <c r="C49" s="25">
        <f>[1]EURAUD!$B20</f>
        <v>5.3899999999999997E-2</v>
      </c>
      <c r="D49" s="25">
        <f>[1]EURAUD!$F20</f>
        <v>4.5999999999999999E-3</v>
      </c>
      <c r="E49" s="25">
        <f>[1]EURAUD!$E20</f>
        <v>9.3999999999999986E-3</v>
      </c>
      <c r="F49" s="25">
        <f>[1]EURAUD!$D20</f>
        <v>1.6000000000000001E-3</v>
      </c>
      <c r="G49" s="25">
        <f>[1]EURAUD!$C20</f>
        <v>5.5000000000000005E-3</v>
      </c>
      <c r="H49" s="8"/>
      <c r="I49" s="21" t="s">
        <v>10</v>
      </c>
      <c r="J49" s="28">
        <f>'[2]G7 Cross'!$C55</f>
        <v>0.31</v>
      </c>
      <c r="K49" s="28">
        <v>0.3</v>
      </c>
      <c r="L49" s="28">
        <v>0.6</v>
      </c>
      <c r="M49" s="28">
        <v>0.2</v>
      </c>
      <c r="N49" s="28">
        <v>0.4</v>
      </c>
      <c r="O49" s="16"/>
      <c r="P49" s="21" t="s">
        <v>10</v>
      </c>
      <c r="Q49" s="20">
        <f t="shared" si="35"/>
        <v>5.0349999999999992E-2</v>
      </c>
      <c r="R49" s="20">
        <f t="shared" si="27"/>
        <v>3.0999999999999999E-3</v>
      </c>
      <c r="S49" s="20">
        <f t="shared" si="28"/>
        <v>6.3999999999999986E-3</v>
      </c>
      <c r="T49" s="20">
        <f t="shared" si="29"/>
        <v>6.0000000000000006E-4</v>
      </c>
      <c r="U49" s="20">
        <f t="shared" si="30"/>
        <v>3.5000000000000005E-3</v>
      </c>
      <c r="V49" s="22"/>
      <c r="W49" s="21" t="s">
        <v>10</v>
      </c>
      <c r="X49" s="20">
        <f t="shared" si="36"/>
        <v>5.3449999999999998E-2</v>
      </c>
      <c r="Y49" s="20">
        <f t="shared" si="31"/>
        <v>6.0999999999999995E-3</v>
      </c>
      <c r="Z49" s="20">
        <f t="shared" si="32"/>
        <v>1.2399999999999998E-2</v>
      </c>
      <c r="AA49" s="20">
        <f t="shared" si="33"/>
        <v>2.5999999999999999E-3</v>
      </c>
      <c r="AB49" s="20">
        <f t="shared" si="34"/>
        <v>7.5000000000000006E-3</v>
      </c>
    </row>
    <row r="50" spans="1:28" x14ac:dyDescent="0.25">
      <c r="A50" s="21" t="s">
        <v>942</v>
      </c>
      <c r="B50" s="21" t="s">
        <v>11</v>
      </c>
      <c r="C50" s="25">
        <f>[1]EURAUD!$B21</f>
        <v>5.8299999999999998E-2</v>
      </c>
      <c r="D50" s="25">
        <f>[1]EURAUD!$F21</f>
        <v>5.4000000000000003E-3</v>
      </c>
      <c r="E50" s="25">
        <f>[1]EURAUD!$E21</f>
        <v>1.1200000000000002E-2</v>
      </c>
      <c r="F50" s="25">
        <f>[1]EURAUD!$D21</f>
        <v>2.0999999999999999E-3</v>
      </c>
      <c r="G50" s="25">
        <f>[1]EURAUD!$C21</f>
        <v>7.1999999999999998E-3</v>
      </c>
      <c r="H50" s="8"/>
      <c r="I50" s="21" t="s">
        <v>11</v>
      </c>
      <c r="J50" s="28">
        <f>'[2]G7 Cross'!$C56</f>
        <v>0.37</v>
      </c>
      <c r="K50" s="28">
        <v>0.3</v>
      </c>
      <c r="L50" s="28">
        <v>0.6</v>
      </c>
      <c r="M50" s="28">
        <v>0.2</v>
      </c>
      <c r="N50" s="28">
        <v>0.4</v>
      </c>
      <c r="O50" s="16"/>
      <c r="P50" s="21" t="s">
        <v>11</v>
      </c>
      <c r="Q50" s="20">
        <f t="shared" si="35"/>
        <v>5.4449999999999998E-2</v>
      </c>
      <c r="R50" s="20">
        <f t="shared" si="27"/>
        <v>3.9000000000000003E-3</v>
      </c>
      <c r="S50" s="20">
        <f t="shared" si="28"/>
        <v>8.2000000000000024E-3</v>
      </c>
      <c r="T50" s="20">
        <f t="shared" si="29"/>
        <v>1.0999999999999998E-3</v>
      </c>
      <c r="U50" s="20">
        <f t="shared" si="30"/>
        <v>5.1999999999999998E-3</v>
      </c>
      <c r="V50" s="22"/>
      <c r="W50" s="21" t="s">
        <v>11</v>
      </c>
      <c r="X50" s="20">
        <f t="shared" si="36"/>
        <v>5.8149999999999993E-2</v>
      </c>
      <c r="Y50" s="20">
        <f t="shared" si="31"/>
        <v>6.8999999999999999E-3</v>
      </c>
      <c r="Z50" s="20">
        <f t="shared" si="32"/>
        <v>1.4200000000000001E-2</v>
      </c>
      <c r="AA50" s="20">
        <f t="shared" si="33"/>
        <v>3.0999999999999999E-3</v>
      </c>
      <c r="AB50" s="20">
        <f t="shared" si="34"/>
        <v>9.1999999999999998E-3</v>
      </c>
    </row>
    <row r="51" spans="1:28" x14ac:dyDescent="0.25">
      <c r="A51" s="21" t="s">
        <v>942</v>
      </c>
      <c r="B51" s="21" t="s">
        <v>12</v>
      </c>
      <c r="C51" s="25">
        <f>[1]EURAUD!$B22</f>
        <v>6.3E-2</v>
      </c>
      <c r="D51" s="25">
        <f>[1]EURAUD!$F22</f>
        <v>6.4000000000000003E-3</v>
      </c>
      <c r="E51" s="25">
        <f>[1]EURAUD!$E22</f>
        <v>1.34E-2</v>
      </c>
      <c r="F51" s="25">
        <f>[1]EURAUD!$D22</f>
        <v>2.3E-3</v>
      </c>
      <c r="G51" s="25">
        <f>[1]EURAUD!$C22</f>
        <v>8.0000000000000002E-3</v>
      </c>
      <c r="H51" s="8"/>
      <c r="I51" s="21" t="s">
        <v>12</v>
      </c>
      <c r="J51" s="28">
        <f>'[2]G7 Cross'!$C57</f>
        <v>0.35</v>
      </c>
      <c r="K51" s="28">
        <v>0.3</v>
      </c>
      <c r="L51" s="28">
        <v>0.6</v>
      </c>
      <c r="M51" s="28">
        <v>0.2</v>
      </c>
      <c r="N51" s="28">
        <v>0.4</v>
      </c>
      <c r="O51" s="16"/>
      <c r="P51" s="21" t="s">
        <v>12</v>
      </c>
      <c r="Q51" s="20">
        <f t="shared" si="35"/>
        <v>5.9249999999999997E-2</v>
      </c>
      <c r="R51" s="20">
        <f t="shared" si="27"/>
        <v>4.8999999999999998E-3</v>
      </c>
      <c r="S51" s="20">
        <f t="shared" si="28"/>
        <v>1.04E-2</v>
      </c>
      <c r="T51" s="20">
        <f t="shared" si="29"/>
        <v>1.2999999999999999E-3</v>
      </c>
      <c r="U51" s="20">
        <f t="shared" si="30"/>
        <v>6.0000000000000001E-3</v>
      </c>
      <c r="V51" s="22"/>
      <c r="W51" s="21" t="s">
        <v>12</v>
      </c>
      <c r="X51" s="20">
        <f t="shared" si="36"/>
        <v>6.275E-2</v>
      </c>
      <c r="Y51" s="20">
        <f t="shared" si="31"/>
        <v>7.9000000000000008E-3</v>
      </c>
      <c r="Z51" s="20">
        <f t="shared" si="32"/>
        <v>1.6400000000000001E-2</v>
      </c>
      <c r="AA51" s="20">
        <f t="shared" si="33"/>
        <v>3.3E-3</v>
      </c>
      <c r="AB51" s="20">
        <f t="shared" si="34"/>
        <v>0.01</v>
      </c>
    </row>
    <row r="52" spans="1:28" x14ac:dyDescent="0.25">
      <c r="A52" s="21" t="s">
        <v>942</v>
      </c>
      <c r="B52" s="21" t="s">
        <v>13</v>
      </c>
      <c r="C52" s="25">
        <f>[1]EURAUD!$B23</f>
        <v>6.54E-2</v>
      </c>
      <c r="D52" s="25">
        <f>[1]EURAUD!$F23</f>
        <v>8.1000000000000013E-3</v>
      </c>
      <c r="E52" s="25">
        <f>[1]EURAUD!$E23</f>
        <v>1.6799999999999999E-2</v>
      </c>
      <c r="F52" s="25">
        <f>[1]EURAUD!$D23</f>
        <v>2.5000000000000001E-3</v>
      </c>
      <c r="G52" s="25">
        <f>[1]EURAUD!$C23</f>
        <v>9.0000000000000011E-3</v>
      </c>
      <c r="H52" s="8"/>
      <c r="I52" s="21" t="s">
        <v>13</v>
      </c>
      <c r="J52" s="28">
        <f>'[2]G7 Cross'!$C58</f>
        <v>0.35</v>
      </c>
      <c r="K52" s="28">
        <v>0.3</v>
      </c>
      <c r="L52" s="28">
        <v>0.6</v>
      </c>
      <c r="M52" s="28">
        <v>0.2</v>
      </c>
      <c r="N52" s="28">
        <v>0.4</v>
      </c>
      <c r="O52" s="16"/>
      <c r="P52" s="21" t="s">
        <v>13</v>
      </c>
      <c r="Q52" s="20">
        <f t="shared" si="35"/>
        <v>6.1649999999999996E-2</v>
      </c>
      <c r="R52" s="20">
        <f t="shared" si="27"/>
        <v>6.6000000000000017E-3</v>
      </c>
      <c r="S52" s="20">
        <f t="shared" si="28"/>
        <v>1.38E-2</v>
      </c>
      <c r="T52" s="20">
        <f t="shared" si="29"/>
        <v>1.5E-3</v>
      </c>
      <c r="U52" s="20">
        <f t="shared" si="30"/>
        <v>7.000000000000001E-3</v>
      </c>
      <c r="V52" s="22"/>
      <c r="W52" s="21" t="s">
        <v>13</v>
      </c>
      <c r="X52" s="20">
        <f t="shared" si="36"/>
        <v>6.515E-2</v>
      </c>
      <c r="Y52" s="20">
        <f t="shared" si="31"/>
        <v>9.6000000000000009E-3</v>
      </c>
      <c r="Z52" s="20">
        <f t="shared" si="32"/>
        <v>1.9799999999999998E-2</v>
      </c>
      <c r="AA52" s="20">
        <f t="shared" si="33"/>
        <v>3.5000000000000001E-3</v>
      </c>
      <c r="AB52" s="20">
        <f t="shared" si="34"/>
        <v>1.1000000000000001E-2</v>
      </c>
    </row>
    <row r="53" spans="1:28" x14ac:dyDescent="0.25">
      <c r="A53" s="21" t="s">
        <v>942</v>
      </c>
      <c r="B53" s="21" t="s">
        <v>14</v>
      </c>
      <c r="C53" s="25">
        <f>[1]EURAUD!$B24</f>
        <v>6.9699999999999998E-2</v>
      </c>
      <c r="D53" s="25">
        <f>[1]EURAUD!$F24</f>
        <v>8.8000000000000005E-3</v>
      </c>
      <c r="E53" s="25">
        <f>[1]EURAUD!$E24</f>
        <v>1.7899999999999999E-2</v>
      </c>
      <c r="F53" s="25">
        <f>[1]EURAUD!$D24</f>
        <v>2.8000000000000004E-3</v>
      </c>
      <c r="G53" s="25">
        <f>[1]EURAUD!$C24</f>
        <v>9.7000000000000003E-3</v>
      </c>
      <c r="H53" s="16"/>
      <c r="I53" s="21" t="s">
        <v>14</v>
      </c>
      <c r="J53" s="28">
        <f>'[2]G7 Cross'!$C59</f>
        <v>0.37</v>
      </c>
      <c r="K53" s="28">
        <v>0.3</v>
      </c>
      <c r="L53" s="28">
        <v>0.6</v>
      </c>
      <c r="M53" s="28">
        <v>0.2</v>
      </c>
      <c r="N53" s="28">
        <v>0.4</v>
      </c>
      <c r="O53" s="16"/>
      <c r="P53" s="21" t="s">
        <v>14</v>
      </c>
      <c r="Q53" s="20">
        <f t="shared" si="35"/>
        <v>6.5849999999999992E-2</v>
      </c>
      <c r="R53" s="20">
        <f t="shared" si="27"/>
        <v>7.3000000000000009E-3</v>
      </c>
      <c r="S53" s="20">
        <f t="shared" si="28"/>
        <v>1.49E-2</v>
      </c>
      <c r="T53" s="20">
        <f t="shared" si="29"/>
        <v>1.8000000000000004E-3</v>
      </c>
      <c r="U53" s="20">
        <f t="shared" si="30"/>
        <v>7.7000000000000002E-3</v>
      </c>
      <c r="V53" s="22"/>
      <c r="W53" s="21" t="s">
        <v>14</v>
      </c>
      <c r="X53" s="20">
        <f t="shared" si="36"/>
        <v>6.9550000000000001E-2</v>
      </c>
      <c r="Y53" s="20">
        <f t="shared" si="31"/>
        <v>1.03E-2</v>
      </c>
      <c r="Z53" s="20">
        <f t="shared" si="32"/>
        <v>2.0899999999999998E-2</v>
      </c>
      <c r="AA53" s="20">
        <f t="shared" si="33"/>
        <v>3.8000000000000004E-3</v>
      </c>
      <c r="AB53" s="20">
        <f t="shared" si="34"/>
        <v>1.17E-2</v>
      </c>
    </row>
    <row r="54" spans="1:28" x14ac:dyDescent="0.25">
      <c r="A54" s="21" t="s">
        <v>942</v>
      </c>
      <c r="B54" s="21" t="s">
        <v>876</v>
      </c>
      <c r="C54" s="25">
        <f>[1]EURAUD!$B25</f>
        <v>7.1099999999999997E-2</v>
      </c>
      <c r="D54" s="25">
        <f>[1]EURAUD!$F25</f>
        <v>9.0000000000000011E-3</v>
      </c>
      <c r="E54" s="25">
        <f>[1]EURAUD!$E25</f>
        <v>1.83E-2</v>
      </c>
      <c r="F54" s="25">
        <f>[1]EURAUD!$D25</f>
        <v>2.8999999999999998E-3</v>
      </c>
      <c r="G54" s="25">
        <f>[1]EURAUD!$C25</f>
        <v>0.01</v>
      </c>
      <c r="H54" s="16"/>
      <c r="I54" s="21" t="s">
        <v>876</v>
      </c>
      <c r="J54" s="28">
        <f>'[2]G7 Cross'!$C60</f>
        <v>0.67</v>
      </c>
      <c r="K54" s="28">
        <v>0.3</v>
      </c>
      <c r="L54" s="28">
        <v>0.6</v>
      </c>
      <c r="M54" s="28">
        <v>0.2</v>
      </c>
      <c r="N54" s="28">
        <v>0.4</v>
      </c>
      <c r="O54" s="16"/>
      <c r="P54" s="21" t="s">
        <v>876</v>
      </c>
      <c r="Q54" s="20">
        <f t="shared" si="35"/>
        <v>6.5749999999999989E-2</v>
      </c>
      <c r="R54" s="20">
        <f t="shared" si="27"/>
        <v>7.5000000000000015E-3</v>
      </c>
      <c r="S54" s="20">
        <f t="shared" si="28"/>
        <v>1.5300000000000001E-2</v>
      </c>
      <c r="T54" s="20">
        <f t="shared" si="29"/>
        <v>1.8999999999999998E-3</v>
      </c>
      <c r="U54" s="20">
        <f t="shared" si="30"/>
        <v>8.0000000000000002E-3</v>
      </c>
      <c r="V54" s="22"/>
      <c r="W54" s="21" t="s">
        <v>876</v>
      </c>
      <c r="X54" s="20">
        <f t="shared" si="36"/>
        <v>7.2450000000000001E-2</v>
      </c>
      <c r="Y54" s="20">
        <f t="shared" si="31"/>
        <v>1.0500000000000001E-2</v>
      </c>
      <c r="Z54" s="20">
        <f t="shared" si="32"/>
        <v>2.1299999999999999E-2</v>
      </c>
      <c r="AA54" s="20">
        <f t="shared" si="33"/>
        <v>3.8999999999999998E-3</v>
      </c>
      <c r="AB54" s="20">
        <f t="shared" si="34"/>
        <v>1.2E-2</v>
      </c>
    </row>
    <row r="55" spans="1:28" x14ac:dyDescent="0.25">
      <c r="A55" s="16"/>
      <c r="B55" s="16"/>
      <c r="C55" s="26"/>
      <c r="D55" s="26"/>
      <c r="E55" s="26"/>
      <c r="F55" s="26"/>
      <c r="G55" s="26"/>
      <c r="H55" s="16"/>
      <c r="I55" s="16"/>
      <c r="J55" s="16"/>
      <c r="K55" s="16"/>
      <c r="L55" s="16"/>
      <c r="M55" s="16"/>
      <c r="N55" s="16"/>
      <c r="O55" s="16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spans="1:28" x14ac:dyDescent="0.25">
      <c r="A56" s="16"/>
      <c r="B56" s="16"/>
      <c r="C56" s="26"/>
      <c r="D56" s="26"/>
      <c r="E56" s="26"/>
      <c r="F56" s="26"/>
      <c r="G56" s="26"/>
      <c r="H56" s="16"/>
      <c r="I56" s="16"/>
      <c r="J56" s="16"/>
      <c r="K56" s="16"/>
      <c r="L56" s="16"/>
      <c r="M56" s="16"/>
      <c r="N56" s="16"/>
      <c r="O56" s="16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spans="1:28" x14ac:dyDescent="0.25">
      <c r="A57" s="7" t="s">
        <v>70</v>
      </c>
      <c r="B57" s="7" t="s">
        <v>327</v>
      </c>
      <c r="C57" s="24" t="s">
        <v>311</v>
      </c>
      <c r="D57" s="24" t="s">
        <v>312</v>
      </c>
      <c r="E57" s="24" t="s">
        <v>313</v>
      </c>
      <c r="F57" s="24" t="s">
        <v>314</v>
      </c>
      <c r="G57" s="24" t="s">
        <v>315</v>
      </c>
      <c r="H57" s="8"/>
      <c r="I57" s="7" t="s">
        <v>328</v>
      </c>
      <c r="J57" s="7" t="s">
        <v>311</v>
      </c>
      <c r="K57" s="7" t="s">
        <v>312</v>
      </c>
      <c r="L57" s="7" t="s">
        <v>313</v>
      </c>
      <c r="M57" s="7" t="s">
        <v>314</v>
      </c>
      <c r="N57" s="7" t="s">
        <v>315</v>
      </c>
      <c r="O57" s="16"/>
      <c r="P57" s="7" t="s">
        <v>349</v>
      </c>
      <c r="Q57" s="7" t="s">
        <v>311</v>
      </c>
      <c r="R57" s="7" t="s">
        <v>312</v>
      </c>
      <c r="S57" s="7" t="s">
        <v>313</v>
      </c>
      <c r="T57" s="7" t="s">
        <v>314</v>
      </c>
      <c r="U57" s="7" t="s">
        <v>315</v>
      </c>
      <c r="V57" s="22"/>
      <c r="W57" s="7" t="s">
        <v>318</v>
      </c>
      <c r="X57" s="7" t="s">
        <v>311</v>
      </c>
      <c r="Y57" s="7" t="s">
        <v>312</v>
      </c>
      <c r="Z57" s="7" t="s">
        <v>313</v>
      </c>
      <c r="AA57" s="7" t="s">
        <v>314</v>
      </c>
      <c r="AB57" s="7" t="s">
        <v>315</v>
      </c>
    </row>
    <row r="58" spans="1:28" x14ac:dyDescent="0.25">
      <c r="A58" s="21" t="s">
        <v>940</v>
      </c>
      <c r="B58" s="21" t="s">
        <v>5</v>
      </c>
      <c r="C58" s="25">
        <f>[1]EURCAD!$B15</f>
        <v>4.0199999999999993E-2</v>
      </c>
      <c r="D58" s="25">
        <f>[1]EURCAD!$F15</f>
        <v>-1.7000000000000001E-3</v>
      </c>
      <c r="E58" s="25">
        <f>[1]EURCAD!$E15</f>
        <v>-3.3E-3</v>
      </c>
      <c r="F58" s="25">
        <f>[1]EURCAD!$D15</f>
        <v>1.1999999999999999E-3</v>
      </c>
      <c r="G58" s="25">
        <f>[1]EURCAD!$C15</f>
        <v>4.4000000000000003E-3</v>
      </c>
      <c r="H58" s="8"/>
      <c r="I58" s="21" t="s">
        <v>5</v>
      </c>
      <c r="J58" s="28">
        <f>'[2]G7 Cross'!$C62</f>
        <v>5.28</v>
      </c>
      <c r="K58" s="28">
        <v>1.2</v>
      </c>
      <c r="L58" s="28">
        <v>2.4</v>
      </c>
      <c r="M58" s="28">
        <v>0.8</v>
      </c>
      <c r="N58" s="28">
        <v>1.6</v>
      </c>
      <c r="O58" s="16"/>
      <c r="P58" s="21" t="s">
        <v>5</v>
      </c>
      <c r="Q58" s="20">
        <f>(C58-J58/200)-0.002</f>
        <v>1.1799999999999993E-2</v>
      </c>
      <c r="R58" s="20">
        <f t="shared" ref="R58:R68" si="37">D58-K58/200</f>
        <v>-7.7000000000000002E-3</v>
      </c>
      <c r="S58" s="20">
        <f t="shared" ref="S58:S68" si="38">E58-L58/200</f>
        <v>-1.5300000000000001E-2</v>
      </c>
      <c r="T58" s="20">
        <f t="shared" ref="T58:T68" si="39">F58-M58/200</f>
        <v>-2.8000000000000004E-3</v>
      </c>
      <c r="U58" s="20">
        <f t="shared" ref="U58:U68" si="40">G58-N58/200</f>
        <v>-3.5999999999999999E-3</v>
      </c>
      <c r="V58" s="22"/>
      <c r="W58" s="21" t="s">
        <v>5</v>
      </c>
      <c r="X58" s="20">
        <f>(C58+J58/200)-0.002</f>
        <v>6.4599999999999991E-2</v>
      </c>
      <c r="Y58" s="20">
        <f t="shared" ref="Y58:Y68" si="41">D58+K58/200</f>
        <v>4.3E-3</v>
      </c>
      <c r="Z58" s="20">
        <f t="shared" ref="Z58:Z68" si="42">E58+L58/200</f>
        <v>8.6999999999999994E-3</v>
      </c>
      <c r="AA58" s="20">
        <f t="shared" ref="AA58:AA68" si="43">F58+M58/200</f>
        <v>5.1999999999999998E-3</v>
      </c>
      <c r="AB58" s="20">
        <f t="shared" ref="AB58:AB68" si="44">G58+N58/200</f>
        <v>1.2400000000000001E-2</v>
      </c>
    </row>
    <row r="59" spans="1:28" x14ac:dyDescent="0.25">
      <c r="A59" s="21" t="s">
        <v>940</v>
      </c>
      <c r="B59" s="21" t="s">
        <v>6</v>
      </c>
      <c r="C59" s="25">
        <f>[1]EURCAD!$B16</f>
        <v>4.0999999999999995E-2</v>
      </c>
      <c r="D59" s="25">
        <f>[1]EURCAD!$F16</f>
        <v>-1.8E-3</v>
      </c>
      <c r="E59" s="25">
        <f>[1]EURCAD!$E16</f>
        <v>-3.2000000000000002E-3</v>
      </c>
      <c r="F59" s="25">
        <f>[1]EURCAD!$D16</f>
        <v>1.5E-3</v>
      </c>
      <c r="G59" s="25">
        <f>[1]EURCAD!$C16</f>
        <v>4.6999999999999993E-3</v>
      </c>
      <c r="H59" s="8"/>
      <c r="I59" s="21" t="s">
        <v>6</v>
      </c>
      <c r="J59" s="28">
        <f>'[2]G7 Cross'!$C63</f>
        <v>1.83</v>
      </c>
      <c r="K59" s="28">
        <v>0.5</v>
      </c>
      <c r="L59" s="28">
        <v>1</v>
      </c>
      <c r="M59" s="28">
        <v>0.4</v>
      </c>
      <c r="N59" s="28">
        <v>0.8</v>
      </c>
      <c r="O59" s="16"/>
      <c r="P59" s="21" t="s">
        <v>6</v>
      </c>
      <c r="Q59" s="20">
        <f t="shared" ref="Q59:Q68" si="45">(C59-J59/200)-0.002</f>
        <v>2.9849999999999995E-2</v>
      </c>
      <c r="R59" s="20">
        <f t="shared" si="37"/>
        <v>-4.3E-3</v>
      </c>
      <c r="S59" s="20">
        <f t="shared" si="38"/>
        <v>-8.2000000000000007E-3</v>
      </c>
      <c r="T59" s="20">
        <f t="shared" si="39"/>
        <v>-5.0000000000000001E-4</v>
      </c>
      <c r="U59" s="20">
        <f t="shared" si="40"/>
        <v>6.9999999999999923E-4</v>
      </c>
      <c r="V59" s="22"/>
      <c r="W59" s="21" t="s">
        <v>6</v>
      </c>
      <c r="X59" s="20">
        <f t="shared" ref="X59:X68" si="46">(C59+J59/200)-0.002</f>
        <v>4.8149999999999991E-2</v>
      </c>
      <c r="Y59" s="20">
        <f t="shared" si="41"/>
        <v>7.000000000000001E-4</v>
      </c>
      <c r="Z59" s="20">
        <f t="shared" si="42"/>
        <v>1.8E-3</v>
      </c>
      <c r="AA59" s="20">
        <f t="shared" si="43"/>
        <v>3.5000000000000001E-3</v>
      </c>
      <c r="AB59" s="20">
        <f t="shared" si="44"/>
        <v>8.6999999999999994E-3</v>
      </c>
    </row>
    <row r="60" spans="1:28" x14ac:dyDescent="0.25">
      <c r="A60" s="21" t="s">
        <v>940</v>
      </c>
      <c r="B60" s="21" t="s">
        <v>7</v>
      </c>
      <c r="C60" s="25">
        <f>[1]EURCAD!$B17</f>
        <v>3.8100000000000002E-2</v>
      </c>
      <c r="D60" s="25">
        <f>[1]EURCAD!$F17</f>
        <v>-1.5E-3</v>
      </c>
      <c r="E60" s="25">
        <f>[1]EURCAD!$E17</f>
        <v>-2.8000000000000004E-3</v>
      </c>
      <c r="F60" s="25">
        <f>[1]EURCAD!$D17</f>
        <v>1.4000000000000002E-3</v>
      </c>
      <c r="G60" s="25">
        <f>[1]EURCAD!$C17</f>
        <v>4.4000000000000003E-3</v>
      </c>
      <c r="H60" s="8"/>
      <c r="I60" s="21" t="s">
        <v>7</v>
      </c>
      <c r="J60" s="28">
        <f>'[2]G7 Cross'!$C64</f>
        <v>0.97</v>
      </c>
      <c r="K60" s="28">
        <v>0.4</v>
      </c>
      <c r="L60" s="28">
        <v>0.8</v>
      </c>
      <c r="M60" s="28">
        <v>0.3</v>
      </c>
      <c r="N60" s="28">
        <v>0.6</v>
      </c>
      <c r="O60" s="16"/>
      <c r="P60" s="21" t="s">
        <v>7</v>
      </c>
      <c r="Q60" s="20">
        <f t="shared" si="45"/>
        <v>3.125E-2</v>
      </c>
      <c r="R60" s="20">
        <f t="shared" si="37"/>
        <v>-3.5000000000000001E-3</v>
      </c>
      <c r="S60" s="20">
        <f t="shared" si="38"/>
        <v>-6.8000000000000005E-3</v>
      </c>
      <c r="T60" s="20">
        <f t="shared" si="39"/>
        <v>-9.9999999999999829E-5</v>
      </c>
      <c r="U60" s="20">
        <f t="shared" si="40"/>
        <v>1.4000000000000002E-3</v>
      </c>
      <c r="V60" s="22"/>
      <c r="W60" s="21" t="s">
        <v>7</v>
      </c>
      <c r="X60" s="20">
        <f t="shared" si="46"/>
        <v>4.095E-2</v>
      </c>
      <c r="Y60" s="20">
        <f t="shared" si="41"/>
        <v>5.0000000000000001E-4</v>
      </c>
      <c r="Z60" s="20">
        <f t="shared" si="42"/>
        <v>1.1999999999999997E-3</v>
      </c>
      <c r="AA60" s="20">
        <f t="shared" si="43"/>
        <v>2.9000000000000002E-3</v>
      </c>
      <c r="AB60" s="20">
        <f t="shared" si="44"/>
        <v>7.4000000000000003E-3</v>
      </c>
    </row>
    <row r="61" spans="1:28" x14ac:dyDescent="0.25">
      <c r="A61" s="21" t="s">
        <v>940</v>
      </c>
      <c r="B61" s="21" t="s">
        <v>8</v>
      </c>
      <c r="C61" s="25">
        <f>[1]EURCAD!$B18</f>
        <v>3.9199999999999999E-2</v>
      </c>
      <c r="D61" s="25">
        <f>[1]EURCAD!$F18</f>
        <v>-1.1999999999999999E-3</v>
      </c>
      <c r="E61" s="25">
        <f>[1]EURCAD!$E18</f>
        <v>-2.3E-3</v>
      </c>
      <c r="F61" s="25">
        <f>[1]EURCAD!$D18</f>
        <v>1.5E-3</v>
      </c>
      <c r="G61" s="25">
        <f>[1]EURCAD!$C18</f>
        <v>4.6999999999999993E-3</v>
      </c>
      <c r="H61" s="8"/>
      <c r="I61" s="21" t="s">
        <v>8</v>
      </c>
      <c r="J61" s="28">
        <f>'[2]G7 Cross'!$C65</f>
        <v>0.42</v>
      </c>
      <c r="K61" s="28">
        <v>0.3</v>
      </c>
      <c r="L61" s="28">
        <v>0.6</v>
      </c>
      <c r="M61" s="28">
        <v>0.2</v>
      </c>
      <c r="N61" s="28">
        <v>0.4</v>
      </c>
      <c r="O61" s="16"/>
      <c r="P61" s="21" t="s">
        <v>8</v>
      </c>
      <c r="Q61" s="20">
        <f t="shared" si="45"/>
        <v>3.5099999999999999E-2</v>
      </c>
      <c r="R61" s="20">
        <f t="shared" si="37"/>
        <v>-2.7000000000000001E-3</v>
      </c>
      <c r="S61" s="20">
        <f t="shared" si="38"/>
        <v>-5.3E-3</v>
      </c>
      <c r="T61" s="20">
        <f t="shared" si="39"/>
        <v>5.0000000000000001E-4</v>
      </c>
      <c r="U61" s="20">
        <f t="shared" si="40"/>
        <v>2.6999999999999993E-3</v>
      </c>
      <c r="V61" s="22"/>
      <c r="W61" s="21" t="s">
        <v>8</v>
      </c>
      <c r="X61" s="20">
        <f t="shared" si="46"/>
        <v>3.9299999999999995E-2</v>
      </c>
      <c r="Y61" s="20">
        <f t="shared" si="41"/>
        <v>3.0000000000000014E-4</v>
      </c>
      <c r="Z61" s="20">
        <f t="shared" si="42"/>
        <v>7.000000000000001E-4</v>
      </c>
      <c r="AA61" s="20">
        <f t="shared" si="43"/>
        <v>2.5000000000000001E-3</v>
      </c>
      <c r="AB61" s="20">
        <f t="shared" si="44"/>
        <v>6.6999999999999994E-3</v>
      </c>
    </row>
    <row r="62" spans="1:28" x14ac:dyDescent="0.25">
      <c r="A62" s="21" t="s">
        <v>940</v>
      </c>
      <c r="B62" s="21" t="s">
        <v>9</v>
      </c>
      <c r="C62" s="25">
        <f>[1]EURCAD!$B19</f>
        <v>4.1700000000000001E-2</v>
      </c>
      <c r="D62" s="25">
        <f>[1]EURCAD!$F19</f>
        <v>-1.1000000000000001E-3</v>
      </c>
      <c r="E62" s="25">
        <f>[1]EURCAD!$E19</f>
        <v>-2.0999999999999999E-3</v>
      </c>
      <c r="F62" s="25">
        <f>[1]EURCAD!$D19</f>
        <v>1.6000000000000001E-3</v>
      </c>
      <c r="G62" s="25">
        <f>[1]EURCAD!$C19</f>
        <v>5.1000000000000004E-3</v>
      </c>
      <c r="H62" s="8"/>
      <c r="I62" s="21" t="s">
        <v>9</v>
      </c>
      <c r="J62" s="28">
        <f>'[2]G7 Cross'!$C66</f>
        <v>0.41</v>
      </c>
      <c r="K62" s="28">
        <v>0.3</v>
      </c>
      <c r="L62" s="28">
        <v>0.6</v>
      </c>
      <c r="M62" s="28">
        <v>0.2</v>
      </c>
      <c r="N62" s="28">
        <v>0.4</v>
      </c>
      <c r="O62" s="16"/>
      <c r="P62" s="21" t="s">
        <v>9</v>
      </c>
      <c r="Q62" s="20">
        <f t="shared" si="45"/>
        <v>3.7650000000000003E-2</v>
      </c>
      <c r="R62" s="20">
        <f t="shared" si="37"/>
        <v>-2.5999999999999999E-3</v>
      </c>
      <c r="S62" s="20">
        <f t="shared" si="38"/>
        <v>-5.1000000000000004E-3</v>
      </c>
      <c r="T62" s="20">
        <f t="shared" si="39"/>
        <v>6.0000000000000006E-4</v>
      </c>
      <c r="U62" s="20">
        <f t="shared" si="40"/>
        <v>3.1000000000000003E-3</v>
      </c>
      <c r="V62" s="22"/>
      <c r="W62" s="21" t="s">
        <v>9</v>
      </c>
      <c r="X62" s="20">
        <f t="shared" si="46"/>
        <v>4.1749999999999995E-2</v>
      </c>
      <c r="Y62" s="20">
        <f t="shared" si="41"/>
        <v>3.9999999999999996E-4</v>
      </c>
      <c r="Z62" s="20">
        <f t="shared" si="42"/>
        <v>9.0000000000000019E-4</v>
      </c>
      <c r="AA62" s="20">
        <f t="shared" si="43"/>
        <v>2.5999999999999999E-3</v>
      </c>
      <c r="AB62" s="20">
        <f t="shared" si="44"/>
        <v>7.1000000000000004E-3</v>
      </c>
    </row>
    <row r="63" spans="1:28" x14ac:dyDescent="0.25">
      <c r="A63" s="21" t="s">
        <v>940</v>
      </c>
      <c r="B63" s="21" t="s">
        <v>10</v>
      </c>
      <c r="C63" s="25">
        <f>[1]EURCAD!$B20</f>
        <v>4.3200000000000002E-2</v>
      </c>
      <c r="D63" s="25">
        <f>[1]EURCAD!$F20</f>
        <v>-1E-3</v>
      </c>
      <c r="E63" s="25">
        <f>[1]EURCAD!$E20</f>
        <v>-1.8E-3</v>
      </c>
      <c r="F63" s="25">
        <f>[1]EURCAD!$D20</f>
        <v>1.6000000000000001E-3</v>
      </c>
      <c r="G63" s="25">
        <f>[1]EURCAD!$C20</f>
        <v>5.5000000000000005E-3</v>
      </c>
      <c r="H63" s="8"/>
      <c r="I63" s="21" t="s">
        <v>10</v>
      </c>
      <c r="J63" s="28">
        <f>'[2]G7 Cross'!$C67</f>
        <v>0.43</v>
      </c>
      <c r="K63" s="28">
        <v>0.3</v>
      </c>
      <c r="L63" s="28">
        <v>0.6</v>
      </c>
      <c r="M63" s="28">
        <v>0.2</v>
      </c>
      <c r="N63" s="28">
        <v>0.4</v>
      </c>
      <c r="O63" s="16"/>
      <c r="P63" s="21" t="s">
        <v>10</v>
      </c>
      <c r="Q63" s="20">
        <f t="shared" si="45"/>
        <v>3.9050000000000001E-2</v>
      </c>
      <c r="R63" s="20">
        <f t="shared" si="37"/>
        <v>-2.5000000000000001E-3</v>
      </c>
      <c r="S63" s="20">
        <f t="shared" si="38"/>
        <v>-4.8000000000000004E-3</v>
      </c>
      <c r="T63" s="20">
        <f t="shared" si="39"/>
        <v>6.0000000000000006E-4</v>
      </c>
      <c r="U63" s="20">
        <f t="shared" si="40"/>
        <v>3.5000000000000005E-3</v>
      </c>
      <c r="V63" s="22"/>
      <c r="W63" s="21" t="s">
        <v>10</v>
      </c>
      <c r="X63" s="20">
        <f t="shared" si="46"/>
        <v>4.335E-2</v>
      </c>
      <c r="Y63" s="20">
        <f t="shared" si="41"/>
        <v>5.0000000000000001E-4</v>
      </c>
      <c r="Z63" s="20">
        <f t="shared" si="42"/>
        <v>1.2000000000000001E-3</v>
      </c>
      <c r="AA63" s="20">
        <f t="shared" si="43"/>
        <v>2.5999999999999999E-3</v>
      </c>
      <c r="AB63" s="20">
        <f t="shared" si="44"/>
        <v>7.5000000000000006E-3</v>
      </c>
    </row>
    <row r="64" spans="1:28" x14ac:dyDescent="0.25">
      <c r="A64" s="21" t="s">
        <v>940</v>
      </c>
      <c r="B64" s="21" t="s">
        <v>11</v>
      </c>
      <c r="C64" s="25">
        <f>[1]EURCAD!$B21</f>
        <v>4.6799999999999994E-2</v>
      </c>
      <c r="D64" s="25">
        <f>[1]EURCAD!$F21</f>
        <v>-4.0000000000000002E-4</v>
      </c>
      <c r="E64" s="25">
        <f>[1]EURCAD!$E21</f>
        <v>-7.000000000000001E-4</v>
      </c>
      <c r="F64" s="25">
        <f>[1]EURCAD!$D21</f>
        <v>1.9E-3</v>
      </c>
      <c r="G64" s="25">
        <f>[1]EURCAD!$C21</f>
        <v>6.5000000000000006E-3</v>
      </c>
      <c r="H64" s="8"/>
      <c r="I64" s="21" t="s">
        <v>11</v>
      </c>
      <c r="J64" s="28">
        <f>'[2]G7 Cross'!$C68</f>
        <v>0.4</v>
      </c>
      <c r="K64" s="28">
        <v>0.3</v>
      </c>
      <c r="L64" s="28">
        <v>0.6</v>
      </c>
      <c r="M64" s="28">
        <v>0.2</v>
      </c>
      <c r="N64" s="28">
        <v>0.4</v>
      </c>
      <c r="O64" s="16"/>
      <c r="P64" s="21" t="s">
        <v>11</v>
      </c>
      <c r="Q64" s="20">
        <f t="shared" si="45"/>
        <v>4.2799999999999991E-2</v>
      </c>
      <c r="R64" s="20">
        <f t="shared" si="37"/>
        <v>-1.9E-3</v>
      </c>
      <c r="S64" s="20">
        <f t="shared" si="38"/>
        <v>-3.7000000000000002E-3</v>
      </c>
      <c r="T64" s="20">
        <f t="shared" si="39"/>
        <v>8.9999999999999998E-4</v>
      </c>
      <c r="U64" s="20">
        <f t="shared" si="40"/>
        <v>4.5000000000000005E-3</v>
      </c>
      <c r="V64" s="22"/>
      <c r="W64" s="21" t="s">
        <v>11</v>
      </c>
      <c r="X64" s="20">
        <f t="shared" si="46"/>
        <v>4.6799999999999994E-2</v>
      </c>
      <c r="Y64" s="20">
        <f t="shared" si="41"/>
        <v>1.1000000000000001E-3</v>
      </c>
      <c r="Z64" s="20">
        <f t="shared" si="42"/>
        <v>2.3E-3</v>
      </c>
      <c r="AA64" s="20">
        <f t="shared" si="43"/>
        <v>2.8999999999999998E-3</v>
      </c>
      <c r="AB64" s="20">
        <f t="shared" si="44"/>
        <v>8.5000000000000006E-3</v>
      </c>
    </row>
    <row r="65" spans="1:28" x14ac:dyDescent="0.25">
      <c r="A65" s="21" t="s">
        <v>940</v>
      </c>
      <c r="B65" s="21" t="s">
        <v>12</v>
      </c>
      <c r="C65" s="25">
        <f>[1]EURCAD!$B22</f>
        <v>5.16E-2</v>
      </c>
      <c r="D65" s="25">
        <f>[1]EURCAD!$F22</f>
        <v>-5.0000000000000001E-4</v>
      </c>
      <c r="E65" s="25">
        <f>[1]EURCAD!$E22</f>
        <v>-7.000000000000001E-4</v>
      </c>
      <c r="F65" s="25">
        <f>[1]EURCAD!$D22</f>
        <v>2.0999999999999999E-3</v>
      </c>
      <c r="G65" s="25">
        <f>[1]EURCAD!$C22</f>
        <v>7.4999999999999997E-3</v>
      </c>
      <c r="H65" s="8"/>
      <c r="I65" s="21" t="s">
        <v>12</v>
      </c>
      <c r="J65" s="28">
        <f>'[2]G7 Cross'!$C69</f>
        <v>0.38</v>
      </c>
      <c r="K65" s="28">
        <v>0.3</v>
      </c>
      <c r="L65" s="28">
        <v>0.6</v>
      </c>
      <c r="M65" s="28">
        <v>0.2</v>
      </c>
      <c r="N65" s="28">
        <v>0.4</v>
      </c>
      <c r="O65" s="16"/>
      <c r="P65" s="21" t="s">
        <v>12</v>
      </c>
      <c r="Q65" s="20">
        <f t="shared" si="45"/>
        <v>4.7699999999999999E-2</v>
      </c>
      <c r="R65" s="20">
        <f t="shared" si="37"/>
        <v>-2E-3</v>
      </c>
      <c r="S65" s="20">
        <f t="shared" si="38"/>
        <v>-3.7000000000000002E-3</v>
      </c>
      <c r="T65" s="20">
        <f t="shared" si="39"/>
        <v>1.0999999999999998E-3</v>
      </c>
      <c r="U65" s="20">
        <f t="shared" si="40"/>
        <v>5.4999999999999997E-3</v>
      </c>
      <c r="V65" s="22"/>
      <c r="W65" s="21" t="s">
        <v>12</v>
      </c>
      <c r="X65" s="20">
        <f t="shared" si="46"/>
        <v>5.1499999999999997E-2</v>
      </c>
      <c r="Y65" s="20">
        <f t="shared" si="41"/>
        <v>1E-3</v>
      </c>
      <c r="Z65" s="20">
        <f t="shared" si="42"/>
        <v>2.3E-3</v>
      </c>
      <c r="AA65" s="20">
        <f t="shared" si="43"/>
        <v>3.0999999999999999E-3</v>
      </c>
      <c r="AB65" s="20">
        <f t="shared" si="44"/>
        <v>9.4999999999999998E-3</v>
      </c>
    </row>
    <row r="66" spans="1:28" x14ac:dyDescent="0.25">
      <c r="A66" s="21" t="s">
        <v>940</v>
      </c>
      <c r="B66" s="21" t="s">
        <v>13</v>
      </c>
      <c r="C66" s="25">
        <f>[1]EURCAD!$B23</f>
        <v>5.3899999999999997E-2</v>
      </c>
      <c r="D66" s="25">
        <f>[1]EURCAD!$F23</f>
        <v>-5.0000000000000001E-4</v>
      </c>
      <c r="E66" s="25">
        <f>[1]EURCAD!$E23</f>
        <v>-7.000000000000001E-4</v>
      </c>
      <c r="F66" s="25">
        <f>[1]EURCAD!$D23</f>
        <v>2.3E-3</v>
      </c>
      <c r="G66" s="25">
        <f>[1]EURCAD!$C23</f>
        <v>8.199999999999999E-3</v>
      </c>
      <c r="H66" s="8"/>
      <c r="I66" s="21" t="s">
        <v>13</v>
      </c>
      <c r="J66" s="28">
        <f>'[2]G7 Cross'!$C70</f>
        <v>0.38</v>
      </c>
      <c r="K66" s="28">
        <v>0.3</v>
      </c>
      <c r="L66" s="28">
        <v>0.6</v>
      </c>
      <c r="M66" s="28">
        <v>0.2</v>
      </c>
      <c r="N66" s="28">
        <v>0.4</v>
      </c>
      <c r="O66" s="16"/>
      <c r="P66" s="21" t="s">
        <v>13</v>
      </c>
      <c r="Q66" s="20">
        <f t="shared" si="45"/>
        <v>4.9999999999999996E-2</v>
      </c>
      <c r="R66" s="20">
        <f t="shared" si="37"/>
        <v>-2E-3</v>
      </c>
      <c r="S66" s="20">
        <f t="shared" si="38"/>
        <v>-3.7000000000000002E-3</v>
      </c>
      <c r="T66" s="20">
        <f t="shared" si="39"/>
        <v>1.2999999999999999E-3</v>
      </c>
      <c r="U66" s="20">
        <f t="shared" si="40"/>
        <v>6.1999999999999989E-3</v>
      </c>
      <c r="V66" s="22"/>
      <c r="W66" s="21" t="s">
        <v>13</v>
      </c>
      <c r="X66" s="20">
        <f t="shared" si="46"/>
        <v>5.3799999999999994E-2</v>
      </c>
      <c r="Y66" s="20">
        <f t="shared" si="41"/>
        <v>1E-3</v>
      </c>
      <c r="Z66" s="20">
        <f t="shared" si="42"/>
        <v>2.3E-3</v>
      </c>
      <c r="AA66" s="20">
        <f t="shared" si="43"/>
        <v>3.3E-3</v>
      </c>
      <c r="AB66" s="20">
        <f t="shared" si="44"/>
        <v>1.0199999999999999E-2</v>
      </c>
    </row>
    <row r="67" spans="1:28" x14ac:dyDescent="0.25">
      <c r="A67" s="21" t="s">
        <v>940</v>
      </c>
      <c r="B67" s="21" t="s">
        <v>14</v>
      </c>
      <c r="C67" s="25">
        <f>[1]EURCAD!$B24</f>
        <v>5.7200000000000001E-2</v>
      </c>
      <c r="D67" s="25">
        <f>[1]EURCAD!$F24</f>
        <v>5.9999999999999995E-4</v>
      </c>
      <c r="E67" s="25">
        <f>[1]EURCAD!$E24</f>
        <v>1.7000000000000001E-3</v>
      </c>
      <c r="F67" s="25">
        <f>[1]EURCAD!$D24</f>
        <v>2.5000000000000001E-3</v>
      </c>
      <c r="G67" s="25">
        <f>[1]EURCAD!$C24</f>
        <v>9.300000000000001E-3</v>
      </c>
      <c r="H67" s="16"/>
      <c r="I67" s="21" t="s">
        <v>14</v>
      </c>
      <c r="J67" s="28">
        <f>'[2]G7 Cross'!$C71</f>
        <v>0.56000000000000005</v>
      </c>
      <c r="K67" s="28">
        <v>0.3</v>
      </c>
      <c r="L67" s="28">
        <v>0.6</v>
      </c>
      <c r="M67" s="28">
        <v>0.2</v>
      </c>
      <c r="N67" s="28">
        <v>0.4</v>
      </c>
      <c r="O67" s="16"/>
      <c r="P67" s="21" t="s">
        <v>14</v>
      </c>
      <c r="Q67" s="20">
        <f t="shared" si="45"/>
        <v>5.2400000000000002E-2</v>
      </c>
      <c r="R67" s="20">
        <f t="shared" si="37"/>
        <v>-9.0000000000000008E-4</v>
      </c>
      <c r="S67" s="20">
        <f t="shared" si="38"/>
        <v>-1.2999999999999999E-3</v>
      </c>
      <c r="T67" s="20">
        <f t="shared" si="39"/>
        <v>1.5E-3</v>
      </c>
      <c r="U67" s="20">
        <f t="shared" si="40"/>
        <v>7.3000000000000009E-3</v>
      </c>
      <c r="V67" s="22"/>
      <c r="W67" s="21" t="s">
        <v>14</v>
      </c>
      <c r="X67" s="20">
        <f t="shared" si="46"/>
        <v>5.7999999999999996E-2</v>
      </c>
      <c r="Y67" s="20">
        <f t="shared" si="41"/>
        <v>2.0999999999999999E-3</v>
      </c>
      <c r="Z67" s="20">
        <f t="shared" si="42"/>
        <v>4.7000000000000002E-3</v>
      </c>
      <c r="AA67" s="20">
        <f t="shared" si="43"/>
        <v>3.5000000000000001E-3</v>
      </c>
      <c r="AB67" s="20">
        <f t="shared" si="44"/>
        <v>1.1300000000000001E-2</v>
      </c>
    </row>
    <row r="68" spans="1:28" x14ac:dyDescent="0.25">
      <c r="A68" s="21" t="s">
        <v>940</v>
      </c>
      <c r="B68" s="21" t="s">
        <v>876</v>
      </c>
      <c r="C68" s="25">
        <f>[1]EURCAD!$B25</f>
        <v>6.2800000000000009E-2</v>
      </c>
      <c r="D68" s="25">
        <f>[1]EURCAD!$F25</f>
        <v>5.9999999999999995E-4</v>
      </c>
      <c r="E68" s="25">
        <f>[1]EURCAD!$E25</f>
        <v>1.8E-3</v>
      </c>
      <c r="F68" s="25">
        <f>[1]EURCAD!$D25</f>
        <v>2.3999999999999998E-3</v>
      </c>
      <c r="G68" s="25">
        <f>[1]EURCAD!$C25</f>
        <v>8.6999999999999994E-3</v>
      </c>
      <c r="H68" s="16"/>
      <c r="I68" s="21" t="s">
        <v>876</v>
      </c>
      <c r="J68" s="28">
        <f>'[2]G7 Cross'!$C72</f>
        <v>0.61</v>
      </c>
      <c r="K68" s="28">
        <v>0.3</v>
      </c>
      <c r="L68" s="28">
        <v>0.6</v>
      </c>
      <c r="M68" s="28">
        <v>0.2</v>
      </c>
      <c r="N68" s="28">
        <v>0.4</v>
      </c>
      <c r="O68" s="16"/>
      <c r="P68" s="21" t="s">
        <v>876</v>
      </c>
      <c r="Q68" s="20">
        <f t="shared" si="45"/>
        <v>5.775000000000001E-2</v>
      </c>
      <c r="R68" s="20">
        <f t="shared" si="37"/>
        <v>-9.0000000000000008E-4</v>
      </c>
      <c r="S68" s="20">
        <f t="shared" si="38"/>
        <v>-1.2000000000000001E-3</v>
      </c>
      <c r="T68" s="20">
        <f t="shared" si="39"/>
        <v>1.3999999999999998E-3</v>
      </c>
      <c r="U68" s="20">
        <f t="shared" si="40"/>
        <v>6.6999999999999994E-3</v>
      </c>
      <c r="V68" s="22"/>
      <c r="W68" s="21" t="s">
        <v>876</v>
      </c>
      <c r="X68" s="20">
        <f t="shared" si="46"/>
        <v>6.3850000000000004E-2</v>
      </c>
      <c r="Y68" s="20">
        <f t="shared" si="41"/>
        <v>2.0999999999999999E-3</v>
      </c>
      <c r="Z68" s="20">
        <f t="shared" si="42"/>
        <v>4.8000000000000004E-3</v>
      </c>
      <c r="AA68" s="20">
        <f t="shared" si="43"/>
        <v>3.3999999999999998E-3</v>
      </c>
      <c r="AB68" s="20">
        <f t="shared" si="44"/>
        <v>1.0699999999999999E-2</v>
      </c>
    </row>
    <row r="69" spans="1:28" x14ac:dyDescent="0.25">
      <c r="A69" s="16"/>
      <c r="B69" s="16"/>
      <c r="C69" s="26"/>
      <c r="D69" s="26"/>
      <c r="E69" s="26"/>
      <c r="F69" s="26"/>
      <c r="G69" s="26"/>
      <c r="H69" s="16"/>
      <c r="I69" s="16"/>
      <c r="J69" s="16"/>
      <c r="K69" s="16"/>
      <c r="L69" s="16"/>
      <c r="M69" s="16"/>
      <c r="N69" s="16"/>
      <c r="O69" s="16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spans="1:28" x14ac:dyDescent="0.25">
      <c r="A70" s="16"/>
      <c r="B70" s="16"/>
      <c r="C70" s="26"/>
      <c r="D70" s="26"/>
      <c r="E70" s="26"/>
      <c r="F70" s="26"/>
      <c r="G70" s="26"/>
      <c r="H70" s="16"/>
      <c r="I70" s="16"/>
      <c r="J70" s="16"/>
      <c r="K70" s="16"/>
      <c r="L70" s="16"/>
      <c r="M70" s="16"/>
      <c r="N70" s="16"/>
      <c r="O70" s="16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spans="1:28" x14ac:dyDescent="0.25">
      <c r="A71" s="7" t="s">
        <v>70</v>
      </c>
      <c r="B71" s="7" t="s">
        <v>327</v>
      </c>
      <c r="C71" s="24" t="s">
        <v>311</v>
      </c>
      <c r="D71" s="24" t="s">
        <v>312</v>
      </c>
      <c r="E71" s="24" t="s">
        <v>313</v>
      </c>
      <c r="F71" s="24" t="s">
        <v>314</v>
      </c>
      <c r="G71" s="24" t="s">
        <v>315</v>
      </c>
      <c r="H71" s="8"/>
      <c r="I71" s="7" t="s">
        <v>328</v>
      </c>
      <c r="J71" s="7" t="s">
        <v>311</v>
      </c>
      <c r="K71" s="7" t="s">
        <v>312</v>
      </c>
      <c r="L71" s="7" t="s">
        <v>313</v>
      </c>
      <c r="M71" s="7" t="s">
        <v>314</v>
      </c>
      <c r="N71" s="7" t="s">
        <v>315</v>
      </c>
      <c r="O71" s="16"/>
      <c r="P71" s="7" t="s">
        <v>349</v>
      </c>
      <c r="Q71" s="7" t="s">
        <v>311</v>
      </c>
      <c r="R71" s="7" t="s">
        <v>312</v>
      </c>
      <c r="S71" s="7" t="s">
        <v>313</v>
      </c>
      <c r="T71" s="7" t="s">
        <v>314</v>
      </c>
      <c r="U71" s="7" t="s">
        <v>315</v>
      </c>
      <c r="V71" s="22"/>
      <c r="W71" s="7" t="s">
        <v>318</v>
      </c>
      <c r="X71" s="7" t="s">
        <v>311</v>
      </c>
      <c r="Y71" s="7" t="s">
        <v>312</v>
      </c>
      <c r="Z71" s="7" t="s">
        <v>313</v>
      </c>
      <c r="AA71" s="7" t="s">
        <v>314</v>
      </c>
      <c r="AB71" s="7" t="s">
        <v>315</v>
      </c>
    </row>
    <row r="72" spans="1:28" x14ac:dyDescent="0.25">
      <c r="A72" s="21" t="s">
        <v>941</v>
      </c>
      <c r="B72" s="21" t="s">
        <v>5</v>
      </c>
      <c r="C72" s="25">
        <f>[1]EURGBP!$B15</f>
        <v>2.7400000000000001E-2</v>
      </c>
      <c r="D72" s="25">
        <f>[1]EURGBP!$F15</f>
        <v>2.7000000000000001E-3</v>
      </c>
      <c r="E72" s="25">
        <f>[1]EURGBP!$E15</f>
        <v>5.1000000000000004E-3</v>
      </c>
      <c r="F72" s="25">
        <f>[1]EURGBP!$D15</f>
        <v>7.000000000000001E-4</v>
      </c>
      <c r="G72" s="25">
        <f>[1]EURGBP!$C15</f>
        <v>2.5999999999999999E-3</v>
      </c>
      <c r="H72" s="8"/>
      <c r="I72" s="21" t="s">
        <v>5</v>
      </c>
      <c r="J72" s="28">
        <f>'[2]G7 Cross'!$C74</f>
        <v>1.5</v>
      </c>
      <c r="K72" s="28">
        <v>1.2</v>
      </c>
      <c r="L72" s="28">
        <v>2.4</v>
      </c>
      <c r="M72" s="28">
        <v>0.8</v>
      </c>
      <c r="N72" s="28">
        <v>1.6</v>
      </c>
      <c r="O72" s="16"/>
      <c r="P72" s="21" t="s">
        <v>5</v>
      </c>
      <c r="Q72" s="20">
        <f>(C72-J72/200)-0.002</f>
        <v>1.7899999999999999E-2</v>
      </c>
      <c r="R72" s="20">
        <f t="shared" ref="R72:R82" si="47">D72-K72/200</f>
        <v>-3.3E-3</v>
      </c>
      <c r="S72" s="20">
        <f t="shared" ref="S72:S82" si="48">E72-L72/200</f>
        <v>-6.8999999999999999E-3</v>
      </c>
      <c r="T72" s="20">
        <f t="shared" ref="T72:T82" si="49">F72-M72/200</f>
        <v>-3.3E-3</v>
      </c>
      <c r="U72" s="20">
        <f t="shared" ref="U72:U82" si="50">G72-N72/200</f>
        <v>-5.4000000000000003E-3</v>
      </c>
      <c r="V72" s="22"/>
      <c r="W72" s="21" t="s">
        <v>5</v>
      </c>
      <c r="X72" s="20">
        <f>(C72+J72/200)-0.002</f>
        <v>3.2899999999999999E-2</v>
      </c>
      <c r="Y72" s="20">
        <f t="shared" ref="Y72:Y82" si="51">D72+K72/200</f>
        <v>8.6999999999999994E-3</v>
      </c>
      <c r="Z72" s="20">
        <f t="shared" ref="Z72:Z82" si="52">E72+L72/200</f>
        <v>1.7100000000000001E-2</v>
      </c>
      <c r="AA72" s="20">
        <f t="shared" ref="AA72:AA82" si="53">F72+M72/200</f>
        <v>4.7000000000000002E-3</v>
      </c>
      <c r="AB72" s="20">
        <f t="shared" ref="AB72:AB82" si="54">G72+N72/200</f>
        <v>1.06E-2</v>
      </c>
    </row>
    <row r="73" spans="1:28" x14ac:dyDescent="0.25">
      <c r="A73" s="21" t="s">
        <v>941</v>
      </c>
      <c r="B73" s="21" t="s">
        <v>6</v>
      </c>
      <c r="C73" s="25">
        <f>[1]EURGBP!$B16</f>
        <v>2.7200000000000002E-2</v>
      </c>
      <c r="D73" s="25">
        <f>[1]EURGBP!$F16</f>
        <v>2.7000000000000001E-3</v>
      </c>
      <c r="E73" s="25">
        <f>[1]EURGBP!$E16</f>
        <v>5.0000000000000001E-3</v>
      </c>
      <c r="F73" s="25">
        <f>[1]EURGBP!$D16</f>
        <v>7.000000000000001E-4</v>
      </c>
      <c r="G73" s="25">
        <f>[1]EURGBP!$C16</f>
        <v>2.5000000000000001E-3</v>
      </c>
      <c r="H73" s="8"/>
      <c r="I73" s="21" t="s">
        <v>6</v>
      </c>
      <c r="J73" s="28">
        <f>'[2]G7 Cross'!$C75</f>
        <v>0.65</v>
      </c>
      <c r="K73" s="28">
        <v>0.5</v>
      </c>
      <c r="L73" s="28">
        <v>1</v>
      </c>
      <c r="M73" s="28">
        <v>0.4</v>
      </c>
      <c r="N73" s="28">
        <v>0.8</v>
      </c>
      <c r="O73" s="16"/>
      <c r="P73" s="21" t="s">
        <v>6</v>
      </c>
      <c r="Q73" s="20">
        <f t="shared" ref="Q73:Q82" si="55">(C73-J73/200)-0.002</f>
        <v>2.1950000000000004E-2</v>
      </c>
      <c r="R73" s="20">
        <f t="shared" si="47"/>
        <v>2.0000000000000009E-4</v>
      </c>
      <c r="S73" s="20">
        <f t="shared" si="48"/>
        <v>0</v>
      </c>
      <c r="T73" s="20">
        <f t="shared" si="49"/>
        <v>-1.2999999999999999E-3</v>
      </c>
      <c r="U73" s="20">
        <f t="shared" si="50"/>
        <v>-1.5E-3</v>
      </c>
      <c r="V73" s="22"/>
      <c r="W73" s="21" t="s">
        <v>6</v>
      </c>
      <c r="X73" s="20">
        <f t="shared" ref="X73:X82" si="56">(C73+J73/200)-0.002</f>
        <v>2.8450000000000003E-2</v>
      </c>
      <c r="Y73" s="20">
        <f t="shared" si="51"/>
        <v>5.1999999999999998E-3</v>
      </c>
      <c r="Z73" s="20">
        <f t="shared" si="52"/>
        <v>0.01</v>
      </c>
      <c r="AA73" s="20">
        <f t="shared" si="53"/>
        <v>2.7000000000000001E-3</v>
      </c>
      <c r="AB73" s="20">
        <f t="shared" si="54"/>
        <v>6.5000000000000006E-3</v>
      </c>
    </row>
    <row r="74" spans="1:28" x14ac:dyDescent="0.25">
      <c r="A74" s="21" t="s">
        <v>941</v>
      </c>
      <c r="B74" s="21" t="s">
        <v>7</v>
      </c>
      <c r="C74" s="25">
        <f>[1]EURGBP!$B17</f>
        <v>3.0699999999999998E-2</v>
      </c>
      <c r="D74" s="25">
        <f>[1]EURGBP!$F17</f>
        <v>3.2000000000000002E-3</v>
      </c>
      <c r="E74" s="25">
        <f>[1]EURGBP!$E17</f>
        <v>6.0000000000000001E-3</v>
      </c>
      <c r="F74" s="25">
        <f>[1]EURGBP!$D17</f>
        <v>8.9999999999999998E-4</v>
      </c>
      <c r="G74" s="25">
        <f>[1]EURGBP!$C17</f>
        <v>3.0000000000000001E-3</v>
      </c>
      <c r="H74" s="8"/>
      <c r="I74" s="21" t="s">
        <v>7</v>
      </c>
      <c r="J74" s="28">
        <f>'[2]G7 Cross'!$C76</f>
        <v>0.46</v>
      </c>
      <c r="K74" s="28">
        <v>0.4</v>
      </c>
      <c r="L74" s="28">
        <v>0.8</v>
      </c>
      <c r="M74" s="28">
        <v>0.3</v>
      </c>
      <c r="N74" s="28">
        <v>0.6</v>
      </c>
      <c r="O74" s="16"/>
      <c r="P74" s="21" t="s">
        <v>7</v>
      </c>
      <c r="Q74" s="20">
        <f t="shared" si="55"/>
        <v>2.64E-2</v>
      </c>
      <c r="R74" s="20">
        <f t="shared" si="47"/>
        <v>1.2000000000000001E-3</v>
      </c>
      <c r="S74" s="20">
        <f t="shared" si="48"/>
        <v>2E-3</v>
      </c>
      <c r="T74" s="20">
        <f t="shared" si="49"/>
        <v>-6.0000000000000006E-4</v>
      </c>
      <c r="U74" s="20">
        <f t="shared" si="50"/>
        <v>0</v>
      </c>
      <c r="V74" s="22"/>
      <c r="W74" s="21" t="s">
        <v>7</v>
      </c>
      <c r="X74" s="20">
        <f t="shared" si="56"/>
        <v>3.1E-2</v>
      </c>
      <c r="Y74" s="20">
        <f t="shared" si="51"/>
        <v>5.1999999999999998E-3</v>
      </c>
      <c r="Z74" s="20">
        <f t="shared" si="52"/>
        <v>0.01</v>
      </c>
      <c r="AA74" s="20">
        <f t="shared" si="53"/>
        <v>2.4000000000000002E-3</v>
      </c>
      <c r="AB74" s="20">
        <f t="shared" si="54"/>
        <v>6.0000000000000001E-3</v>
      </c>
    </row>
    <row r="75" spans="1:28" x14ac:dyDescent="0.25">
      <c r="A75" s="21" t="s">
        <v>941</v>
      </c>
      <c r="B75" s="21" t="s">
        <v>8</v>
      </c>
      <c r="C75" s="25">
        <f>[1]EURGBP!$B18</f>
        <v>3.0800000000000001E-2</v>
      </c>
      <c r="D75" s="25">
        <f>[1]EURGBP!$F18</f>
        <v>3.5999999999999999E-3</v>
      </c>
      <c r="E75" s="25">
        <f>[1]EURGBP!$E18</f>
        <v>6.7000000000000002E-3</v>
      </c>
      <c r="F75" s="25">
        <f>[1]EURGBP!$D18</f>
        <v>1E-3</v>
      </c>
      <c r="G75" s="25">
        <f>[1]EURGBP!$C18</f>
        <v>3.2000000000000002E-3</v>
      </c>
      <c r="H75" s="8"/>
      <c r="I75" s="21" t="s">
        <v>8</v>
      </c>
      <c r="J75" s="28">
        <f>'[2]G7 Cross'!$C77</f>
        <v>0.21</v>
      </c>
      <c r="K75" s="28">
        <v>0.3</v>
      </c>
      <c r="L75" s="28">
        <v>0.6</v>
      </c>
      <c r="M75" s="28">
        <v>0.2</v>
      </c>
      <c r="N75" s="28">
        <v>0.4</v>
      </c>
      <c r="O75" s="16"/>
      <c r="P75" s="21" t="s">
        <v>8</v>
      </c>
      <c r="Q75" s="20">
        <f t="shared" si="55"/>
        <v>2.7750000000000004E-2</v>
      </c>
      <c r="R75" s="20">
        <f t="shared" si="47"/>
        <v>2.0999999999999999E-3</v>
      </c>
      <c r="S75" s="20">
        <f t="shared" si="48"/>
        <v>3.7000000000000002E-3</v>
      </c>
      <c r="T75" s="20">
        <f t="shared" si="49"/>
        <v>0</v>
      </c>
      <c r="U75" s="20">
        <f t="shared" si="50"/>
        <v>1.2000000000000001E-3</v>
      </c>
      <c r="V75" s="22"/>
      <c r="W75" s="21" t="s">
        <v>8</v>
      </c>
      <c r="X75" s="20">
        <f t="shared" si="56"/>
        <v>2.9850000000000002E-2</v>
      </c>
      <c r="Y75" s="20">
        <f t="shared" si="51"/>
        <v>5.1000000000000004E-3</v>
      </c>
      <c r="Z75" s="20">
        <f t="shared" si="52"/>
        <v>9.7000000000000003E-3</v>
      </c>
      <c r="AA75" s="20">
        <f t="shared" si="53"/>
        <v>2E-3</v>
      </c>
      <c r="AB75" s="20">
        <f t="shared" si="54"/>
        <v>5.1999999999999998E-3</v>
      </c>
    </row>
    <row r="76" spans="1:28" x14ac:dyDescent="0.25">
      <c r="A76" s="21" t="s">
        <v>941</v>
      </c>
      <c r="B76" s="21" t="s">
        <v>9</v>
      </c>
      <c r="C76" s="25">
        <f>[1]EURGBP!$B19</f>
        <v>3.5900000000000001E-2</v>
      </c>
      <c r="D76" s="25">
        <f>[1]EURGBP!$F19</f>
        <v>5.1000000000000004E-3</v>
      </c>
      <c r="E76" s="25">
        <f>[1]EURGBP!$E19</f>
        <v>9.4999999999999998E-3</v>
      </c>
      <c r="F76" s="25">
        <f>[1]EURGBP!$D19</f>
        <v>1.1999999999999999E-3</v>
      </c>
      <c r="G76" s="25">
        <f>[1]EURGBP!$C19</f>
        <v>4.0000000000000001E-3</v>
      </c>
      <c r="H76" s="8"/>
      <c r="I76" s="21" t="s">
        <v>9</v>
      </c>
      <c r="J76" s="28">
        <f>'[2]G7 Cross'!$C78</f>
        <v>0.19</v>
      </c>
      <c r="K76" s="28">
        <v>0.3</v>
      </c>
      <c r="L76" s="28">
        <v>0.6</v>
      </c>
      <c r="M76" s="28">
        <v>0.2</v>
      </c>
      <c r="N76" s="28">
        <v>0.4</v>
      </c>
      <c r="O76" s="16"/>
      <c r="P76" s="21" t="s">
        <v>9</v>
      </c>
      <c r="Q76" s="20">
        <f t="shared" si="55"/>
        <v>3.295E-2</v>
      </c>
      <c r="R76" s="20">
        <f t="shared" si="47"/>
        <v>3.6000000000000003E-3</v>
      </c>
      <c r="S76" s="20">
        <f t="shared" si="48"/>
        <v>6.4999999999999997E-3</v>
      </c>
      <c r="T76" s="20">
        <f t="shared" si="49"/>
        <v>1.9999999999999987E-4</v>
      </c>
      <c r="U76" s="20">
        <f t="shared" si="50"/>
        <v>2E-3</v>
      </c>
      <c r="V76" s="22"/>
      <c r="W76" s="21" t="s">
        <v>9</v>
      </c>
      <c r="X76" s="20">
        <f t="shared" si="56"/>
        <v>3.4849999999999999E-2</v>
      </c>
      <c r="Y76" s="20">
        <f t="shared" si="51"/>
        <v>6.6E-3</v>
      </c>
      <c r="Z76" s="20">
        <f t="shared" si="52"/>
        <v>1.2500000000000001E-2</v>
      </c>
      <c r="AA76" s="20">
        <f t="shared" si="53"/>
        <v>2.1999999999999997E-3</v>
      </c>
      <c r="AB76" s="20">
        <f t="shared" si="54"/>
        <v>6.0000000000000001E-3</v>
      </c>
    </row>
    <row r="77" spans="1:28" x14ac:dyDescent="0.25">
      <c r="A77" s="21" t="s">
        <v>941</v>
      </c>
      <c r="B77" s="21" t="s">
        <v>10</v>
      </c>
      <c r="C77" s="25">
        <f>[1]EURGBP!$B20</f>
        <v>3.6600000000000001E-2</v>
      </c>
      <c r="D77" s="25">
        <f>[1]EURGBP!$F20</f>
        <v>6.0000000000000001E-3</v>
      </c>
      <c r="E77" s="25">
        <f>[1]EURGBP!$E20</f>
        <v>1.11E-2</v>
      </c>
      <c r="F77" s="25">
        <f>[1]EURGBP!$D20</f>
        <v>1.2999999999999999E-3</v>
      </c>
      <c r="G77" s="25">
        <f>[1]EURGBP!$C20</f>
        <v>4.4000000000000003E-3</v>
      </c>
      <c r="H77" s="8"/>
      <c r="I77" s="21" t="s">
        <v>10</v>
      </c>
      <c r="J77" s="28">
        <f>'[2]G7 Cross'!$C79</f>
        <v>0.2</v>
      </c>
      <c r="K77" s="28">
        <v>0.3</v>
      </c>
      <c r="L77" s="28">
        <v>0.6</v>
      </c>
      <c r="M77" s="28">
        <v>0.2</v>
      </c>
      <c r="N77" s="28">
        <v>0.4</v>
      </c>
      <c r="O77" s="16"/>
      <c r="P77" s="21" t="s">
        <v>10</v>
      </c>
      <c r="Q77" s="20">
        <f t="shared" si="55"/>
        <v>3.3599999999999998E-2</v>
      </c>
      <c r="R77" s="20">
        <f t="shared" si="47"/>
        <v>4.5000000000000005E-3</v>
      </c>
      <c r="S77" s="20">
        <f t="shared" si="48"/>
        <v>8.0999999999999996E-3</v>
      </c>
      <c r="T77" s="20">
        <f t="shared" si="49"/>
        <v>2.9999999999999992E-4</v>
      </c>
      <c r="U77" s="20">
        <f t="shared" si="50"/>
        <v>2.4000000000000002E-3</v>
      </c>
      <c r="V77" s="22"/>
      <c r="W77" s="21" t="s">
        <v>10</v>
      </c>
      <c r="X77" s="20">
        <f t="shared" si="56"/>
        <v>3.56E-2</v>
      </c>
      <c r="Y77" s="20">
        <f t="shared" si="51"/>
        <v>7.4999999999999997E-3</v>
      </c>
      <c r="Z77" s="20">
        <f t="shared" si="52"/>
        <v>1.4100000000000001E-2</v>
      </c>
      <c r="AA77" s="20">
        <f t="shared" si="53"/>
        <v>2.3E-3</v>
      </c>
      <c r="AB77" s="20">
        <f t="shared" si="54"/>
        <v>6.4000000000000003E-3</v>
      </c>
    </row>
    <row r="78" spans="1:28" x14ac:dyDescent="0.25">
      <c r="A78" s="21" t="s">
        <v>941</v>
      </c>
      <c r="B78" s="21" t="s">
        <v>11</v>
      </c>
      <c r="C78" s="25">
        <f>[1]EURGBP!$B21</f>
        <v>4.0800000000000003E-2</v>
      </c>
      <c r="D78" s="25">
        <f>[1]EURGBP!$F21</f>
        <v>7.8000000000000005E-3</v>
      </c>
      <c r="E78" s="25">
        <f>[1]EURGBP!$E21</f>
        <v>1.4199999999999999E-2</v>
      </c>
      <c r="F78" s="25">
        <f>[1]EURGBP!$D21</f>
        <v>1.7000000000000001E-3</v>
      </c>
      <c r="G78" s="25">
        <f>[1]EURGBP!$C21</f>
        <v>5.6999999999999993E-3</v>
      </c>
      <c r="H78" s="8"/>
      <c r="I78" s="21" t="s">
        <v>11</v>
      </c>
      <c r="J78" s="28">
        <f>'[2]G7 Cross'!$C80</f>
        <v>0.2</v>
      </c>
      <c r="K78" s="28">
        <v>0.3</v>
      </c>
      <c r="L78" s="28">
        <v>0.6</v>
      </c>
      <c r="M78" s="28">
        <v>0.2</v>
      </c>
      <c r="N78" s="28">
        <v>0.4</v>
      </c>
      <c r="O78" s="16"/>
      <c r="P78" s="21" t="s">
        <v>11</v>
      </c>
      <c r="Q78" s="20">
        <f t="shared" si="55"/>
        <v>3.78E-2</v>
      </c>
      <c r="R78" s="20">
        <f t="shared" si="47"/>
        <v>6.3E-3</v>
      </c>
      <c r="S78" s="20">
        <f t="shared" si="48"/>
        <v>1.1199999999999998E-2</v>
      </c>
      <c r="T78" s="20">
        <f t="shared" si="49"/>
        <v>7.000000000000001E-4</v>
      </c>
      <c r="U78" s="20">
        <f t="shared" si="50"/>
        <v>3.6999999999999993E-3</v>
      </c>
      <c r="V78" s="22"/>
      <c r="W78" s="21" t="s">
        <v>11</v>
      </c>
      <c r="X78" s="20">
        <f t="shared" si="56"/>
        <v>3.9800000000000002E-2</v>
      </c>
      <c r="Y78" s="20">
        <f t="shared" si="51"/>
        <v>9.300000000000001E-3</v>
      </c>
      <c r="Z78" s="20">
        <f t="shared" si="52"/>
        <v>1.72E-2</v>
      </c>
      <c r="AA78" s="20">
        <f t="shared" si="53"/>
        <v>2.7000000000000001E-3</v>
      </c>
      <c r="AB78" s="20">
        <f t="shared" si="54"/>
        <v>7.6999999999999994E-3</v>
      </c>
    </row>
    <row r="79" spans="1:28" x14ac:dyDescent="0.25">
      <c r="A79" s="21" t="s">
        <v>941</v>
      </c>
      <c r="B79" s="21" t="s">
        <v>12</v>
      </c>
      <c r="C79" s="25">
        <f>[1]EURGBP!$B22</f>
        <v>4.5599999999999995E-2</v>
      </c>
      <c r="D79" s="25">
        <f>[1]EURGBP!$F22</f>
        <v>8.6999999999999994E-3</v>
      </c>
      <c r="E79" s="25">
        <f>[1]EURGBP!$E22</f>
        <v>1.6E-2</v>
      </c>
      <c r="F79" s="25">
        <f>[1]EURGBP!$D22</f>
        <v>1.9E-3</v>
      </c>
      <c r="G79" s="25">
        <f>[1]EURGBP!$C22</f>
        <v>6.5000000000000006E-3</v>
      </c>
      <c r="H79" s="8"/>
      <c r="I79" s="21" t="s">
        <v>12</v>
      </c>
      <c r="J79" s="28">
        <f>'[2]G7 Cross'!$C81</f>
        <v>0.19</v>
      </c>
      <c r="K79" s="28">
        <v>0.3</v>
      </c>
      <c r="L79" s="28">
        <v>0.6</v>
      </c>
      <c r="M79" s="28">
        <v>0.2</v>
      </c>
      <c r="N79" s="28">
        <v>0.4</v>
      </c>
      <c r="O79" s="16"/>
      <c r="P79" s="21" t="s">
        <v>12</v>
      </c>
      <c r="Q79" s="20">
        <f t="shared" si="55"/>
        <v>4.2649999999999993E-2</v>
      </c>
      <c r="R79" s="20">
        <f t="shared" si="47"/>
        <v>7.1999999999999998E-3</v>
      </c>
      <c r="S79" s="20">
        <f t="shared" si="48"/>
        <v>1.3000000000000001E-2</v>
      </c>
      <c r="T79" s="20">
        <f t="shared" si="49"/>
        <v>8.9999999999999998E-4</v>
      </c>
      <c r="U79" s="20">
        <f t="shared" si="50"/>
        <v>4.5000000000000005E-3</v>
      </c>
      <c r="V79" s="22"/>
      <c r="W79" s="21" t="s">
        <v>12</v>
      </c>
      <c r="X79" s="20">
        <f t="shared" si="56"/>
        <v>4.4549999999999992E-2</v>
      </c>
      <c r="Y79" s="20">
        <f t="shared" si="51"/>
        <v>1.0199999999999999E-2</v>
      </c>
      <c r="Z79" s="20">
        <f t="shared" si="52"/>
        <v>1.9E-2</v>
      </c>
      <c r="AA79" s="20">
        <f t="shared" si="53"/>
        <v>2.8999999999999998E-3</v>
      </c>
      <c r="AB79" s="20">
        <f t="shared" si="54"/>
        <v>8.5000000000000006E-3</v>
      </c>
    </row>
    <row r="80" spans="1:28" x14ac:dyDescent="0.25">
      <c r="A80" s="21" t="s">
        <v>941</v>
      </c>
      <c r="B80" s="21" t="s">
        <v>13</v>
      </c>
      <c r="C80" s="25">
        <f>[1]EURGBP!$B23</f>
        <v>4.7400000000000005E-2</v>
      </c>
      <c r="D80" s="25">
        <f>[1]EURGBP!$F23</f>
        <v>9.4999999999999998E-3</v>
      </c>
      <c r="E80" s="25">
        <f>[1]EURGBP!$E23</f>
        <v>1.77E-2</v>
      </c>
      <c r="F80" s="25">
        <f>[1]EURGBP!$D23</f>
        <v>2.0999999999999999E-3</v>
      </c>
      <c r="G80" s="25">
        <f>[1]EURGBP!$C23</f>
        <v>7.0999999999999995E-3</v>
      </c>
      <c r="H80" s="8"/>
      <c r="I80" s="21" t="s">
        <v>13</v>
      </c>
      <c r="J80" s="28">
        <f>'[2]G7 Cross'!$C82</f>
        <v>0.19</v>
      </c>
      <c r="K80" s="28">
        <v>0.3</v>
      </c>
      <c r="L80" s="28">
        <v>0.6</v>
      </c>
      <c r="M80" s="28">
        <v>0.2</v>
      </c>
      <c r="N80" s="28">
        <v>0.4</v>
      </c>
      <c r="O80" s="16"/>
      <c r="P80" s="21" t="s">
        <v>13</v>
      </c>
      <c r="Q80" s="20">
        <f t="shared" si="55"/>
        <v>4.4450000000000003E-2</v>
      </c>
      <c r="R80" s="20">
        <f t="shared" si="47"/>
        <v>8.0000000000000002E-3</v>
      </c>
      <c r="S80" s="20">
        <f t="shared" si="48"/>
        <v>1.4700000000000001E-2</v>
      </c>
      <c r="T80" s="20">
        <f t="shared" si="49"/>
        <v>1.0999999999999998E-3</v>
      </c>
      <c r="U80" s="20">
        <f t="shared" si="50"/>
        <v>5.0999999999999995E-3</v>
      </c>
      <c r="V80" s="22"/>
      <c r="W80" s="21" t="s">
        <v>13</v>
      </c>
      <c r="X80" s="20">
        <f t="shared" si="56"/>
        <v>4.6350000000000002E-2</v>
      </c>
      <c r="Y80" s="20">
        <f t="shared" si="51"/>
        <v>1.0999999999999999E-2</v>
      </c>
      <c r="Z80" s="20">
        <f t="shared" si="52"/>
        <v>2.07E-2</v>
      </c>
      <c r="AA80" s="20">
        <f t="shared" si="53"/>
        <v>3.0999999999999999E-3</v>
      </c>
      <c r="AB80" s="20">
        <f t="shared" si="54"/>
        <v>9.1000000000000004E-3</v>
      </c>
    </row>
    <row r="81" spans="1:28" x14ac:dyDescent="0.25">
      <c r="A81" s="21" t="s">
        <v>941</v>
      </c>
      <c r="B81" s="21" t="s">
        <v>14</v>
      </c>
      <c r="C81" s="25">
        <f>[1]EURGBP!$B24</f>
        <v>5.0900000000000001E-2</v>
      </c>
      <c r="D81" s="25">
        <f>[1]EURGBP!$F24</f>
        <v>1.0700000000000001E-2</v>
      </c>
      <c r="E81" s="25">
        <f>[1]EURGBP!$E24</f>
        <v>1.9799999999999998E-2</v>
      </c>
      <c r="F81" s="25">
        <f>[1]EURGBP!$D24</f>
        <v>2.5000000000000001E-3</v>
      </c>
      <c r="G81" s="25">
        <f>[1]EURGBP!$C24</f>
        <v>8.3999999999999995E-3</v>
      </c>
      <c r="H81" s="16"/>
      <c r="I81" s="21" t="s">
        <v>14</v>
      </c>
      <c r="J81" s="28">
        <f>'[2]G7 Cross'!$C83</f>
        <v>0.27</v>
      </c>
      <c r="K81" s="28">
        <v>0.3</v>
      </c>
      <c r="L81" s="28">
        <v>0.6</v>
      </c>
      <c r="M81" s="28">
        <v>0.2</v>
      </c>
      <c r="N81" s="28">
        <v>0.4</v>
      </c>
      <c r="O81" s="16"/>
      <c r="P81" s="21" t="s">
        <v>14</v>
      </c>
      <c r="Q81" s="20">
        <f t="shared" si="55"/>
        <v>4.7550000000000002E-2</v>
      </c>
      <c r="R81" s="20">
        <f t="shared" si="47"/>
        <v>9.2000000000000016E-3</v>
      </c>
      <c r="S81" s="20">
        <f t="shared" si="48"/>
        <v>1.6799999999999999E-2</v>
      </c>
      <c r="T81" s="20">
        <f t="shared" si="49"/>
        <v>1.5E-3</v>
      </c>
      <c r="U81" s="20">
        <f t="shared" si="50"/>
        <v>6.3999999999999994E-3</v>
      </c>
      <c r="V81" s="22"/>
      <c r="W81" s="21" t="s">
        <v>14</v>
      </c>
      <c r="X81" s="20">
        <f t="shared" si="56"/>
        <v>5.0249999999999996E-2</v>
      </c>
      <c r="Y81" s="20">
        <f t="shared" si="51"/>
        <v>1.2200000000000001E-2</v>
      </c>
      <c r="Z81" s="20">
        <f t="shared" si="52"/>
        <v>2.2799999999999997E-2</v>
      </c>
      <c r="AA81" s="20">
        <f t="shared" si="53"/>
        <v>3.5000000000000001E-3</v>
      </c>
      <c r="AB81" s="20">
        <f t="shared" si="54"/>
        <v>1.04E-2</v>
      </c>
    </row>
    <row r="82" spans="1:28" x14ac:dyDescent="0.25">
      <c r="A82" s="21" t="s">
        <v>941</v>
      </c>
      <c r="B82" s="21" t="s">
        <v>876</v>
      </c>
      <c r="C82" s="25">
        <f>[1]EURGBP!$B25</f>
        <v>5.3699999999999998E-2</v>
      </c>
      <c r="D82" s="25">
        <f>[1]EURGBP!$F25</f>
        <v>1.1200000000000002E-2</v>
      </c>
      <c r="E82" s="25">
        <f>[1]EURGBP!$E25</f>
        <v>2.0899999999999998E-2</v>
      </c>
      <c r="F82" s="25">
        <f>[1]EURGBP!$D25</f>
        <v>2.7000000000000001E-3</v>
      </c>
      <c r="G82" s="25">
        <f>[1]EURGBP!$C25</f>
        <v>9.1000000000000004E-3</v>
      </c>
      <c r="H82" s="16"/>
      <c r="I82" s="21" t="s">
        <v>876</v>
      </c>
      <c r="J82" s="28">
        <f>'[2]G7 Cross'!$C84</f>
        <v>0.43</v>
      </c>
      <c r="K82" s="28">
        <v>0.3</v>
      </c>
      <c r="L82" s="28">
        <v>0.6</v>
      </c>
      <c r="M82" s="28">
        <v>0.2</v>
      </c>
      <c r="N82" s="28">
        <v>0.4</v>
      </c>
      <c r="O82" s="16"/>
      <c r="P82" s="21" t="s">
        <v>876</v>
      </c>
      <c r="Q82" s="20">
        <f t="shared" si="55"/>
        <v>4.9549999999999997E-2</v>
      </c>
      <c r="R82" s="20">
        <f t="shared" si="47"/>
        <v>9.700000000000002E-3</v>
      </c>
      <c r="S82" s="20">
        <f t="shared" si="48"/>
        <v>1.7899999999999999E-2</v>
      </c>
      <c r="T82" s="20">
        <f t="shared" si="49"/>
        <v>1.7000000000000001E-3</v>
      </c>
      <c r="U82" s="20">
        <f t="shared" si="50"/>
        <v>7.1000000000000004E-3</v>
      </c>
      <c r="V82" s="22"/>
      <c r="W82" s="21" t="s">
        <v>876</v>
      </c>
      <c r="X82" s="20">
        <f t="shared" si="56"/>
        <v>5.3849999999999995E-2</v>
      </c>
      <c r="Y82" s="20">
        <f t="shared" si="51"/>
        <v>1.2700000000000001E-2</v>
      </c>
      <c r="Z82" s="20">
        <f t="shared" si="52"/>
        <v>2.3899999999999998E-2</v>
      </c>
      <c r="AA82" s="20">
        <f t="shared" si="53"/>
        <v>3.7000000000000002E-3</v>
      </c>
      <c r="AB82" s="20">
        <f t="shared" si="54"/>
        <v>1.11E-2</v>
      </c>
    </row>
    <row r="83" spans="1:28" x14ac:dyDescent="0.25">
      <c r="A83" s="16"/>
      <c r="B83" s="16"/>
      <c r="C83" s="26"/>
      <c r="D83" s="26"/>
      <c r="E83" s="26"/>
      <c r="F83" s="26"/>
      <c r="G83" s="26"/>
      <c r="H83" s="16"/>
      <c r="I83" s="16"/>
      <c r="J83" s="16"/>
      <c r="K83" s="16"/>
      <c r="L83" s="16"/>
      <c r="M83" s="16"/>
      <c r="N83" s="16"/>
      <c r="O83" s="16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spans="1:28" x14ac:dyDescent="0.25">
      <c r="A84" s="16"/>
      <c r="B84" s="16"/>
      <c r="C84" s="26"/>
      <c r="D84" s="26"/>
      <c r="E84" s="26"/>
      <c r="F84" s="26"/>
      <c r="G84" s="26"/>
      <c r="H84" s="16"/>
      <c r="I84" s="16"/>
      <c r="J84" s="16"/>
      <c r="K84" s="16"/>
      <c r="L84" s="16"/>
      <c r="M84" s="16"/>
      <c r="N84" s="16"/>
      <c r="O84" s="16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spans="1:28" x14ac:dyDescent="0.25">
      <c r="A85" s="7" t="s">
        <v>70</v>
      </c>
      <c r="B85" s="7" t="s">
        <v>327</v>
      </c>
      <c r="C85" s="24" t="s">
        <v>311</v>
      </c>
      <c r="D85" s="24" t="s">
        <v>312</v>
      </c>
      <c r="E85" s="24" t="s">
        <v>313</v>
      </c>
      <c r="F85" s="24" t="s">
        <v>314</v>
      </c>
      <c r="G85" s="24" t="s">
        <v>315</v>
      </c>
      <c r="H85" s="8"/>
      <c r="I85" s="7" t="s">
        <v>328</v>
      </c>
      <c r="J85" s="7" t="s">
        <v>311</v>
      </c>
      <c r="K85" s="7" t="s">
        <v>312</v>
      </c>
      <c r="L85" s="7" t="s">
        <v>313</v>
      </c>
      <c r="M85" s="7" t="s">
        <v>314</v>
      </c>
      <c r="N85" s="7" t="s">
        <v>315</v>
      </c>
      <c r="O85" s="16"/>
      <c r="P85" s="7" t="s">
        <v>349</v>
      </c>
      <c r="Q85" s="7" t="s">
        <v>311</v>
      </c>
      <c r="R85" s="7" t="s">
        <v>312</v>
      </c>
      <c r="S85" s="7" t="s">
        <v>313</v>
      </c>
      <c r="T85" s="7" t="s">
        <v>314</v>
      </c>
      <c r="U85" s="7" t="s">
        <v>315</v>
      </c>
      <c r="V85" s="22"/>
      <c r="W85" s="7" t="s">
        <v>318</v>
      </c>
      <c r="X85" s="7" t="s">
        <v>311</v>
      </c>
      <c r="Y85" s="7" t="s">
        <v>312</v>
      </c>
      <c r="Z85" s="7" t="s">
        <v>313</v>
      </c>
      <c r="AA85" s="7" t="s">
        <v>314</v>
      </c>
      <c r="AB85" s="7" t="s">
        <v>315</v>
      </c>
    </row>
    <row r="86" spans="1:28" x14ac:dyDescent="0.25">
      <c r="A86" s="21" t="s">
        <v>359</v>
      </c>
      <c r="B86" s="21" t="s">
        <v>5</v>
      </c>
      <c r="C86" s="25">
        <f>[1]EURJPY!$B15</f>
        <v>0.1452</v>
      </c>
      <c r="D86" s="25">
        <f>[1]EURJPY!$F15</f>
        <v>-3.2199999999999999E-2</v>
      </c>
      <c r="E86" s="25">
        <f>[1]EURJPY!$E15</f>
        <v>-6.3299999999999995E-2</v>
      </c>
      <c r="F86" s="25">
        <f>[1]EURJPY!$D15</f>
        <v>3.9000000000000003E-3</v>
      </c>
      <c r="G86" s="25">
        <f>[1]EURJPY!$C15</f>
        <v>1.52E-2</v>
      </c>
      <c r="H86" s="8"/>
      <c r="I86" s="21" t="s">
        <v>5</v>
      </c>
      <c r="J86" s="28">
        <f>'[2]G7 Cross'!$C86</f>
        <v>4.04</v>
      </c>
      <c r="K86" s="28">
        <v>1.2</v>
      </c>
      <c r="L86" s="28">
        <v>2.4</v>
      </c>
      <c r="M86" s="28">
        <v>0.8</v>
      </c>
      <c r="N86" s="28">
        <v>1.6</v>
      </c>
      <c r="O86" s="16"/>
      <c r="P86" s="21" t="s">
        <v>5</v>
      </c>
      <c r="Q86" s="20">
        <f>(C86-J86/200)-0.002</f>
        <v>0.123</v>
      </c>
      <c r="R86" s="20">
        <f t="shared" ref="R86:R96" si="57">D86-K86/200</f>
        <v>-3.8199999999999998E-2</v>
      </c>
      <c r="S86" s="20">
        <f t="shared" ref="S86:S96" si="58">E86-L86/200</f>
        <v>-7.5299999999999992E-2</v>
      </c>
      <c r="T86" s="20">
        <f t="shared" ref="T86:T96" si="59">F86-M86/200</f>
        <v>-9.9999999999999829E-5</v>
      </c>
      <c r="U86" s="20">
        <f t="shared" ref="U86:U96" si="60">G86-N86/200</f>
        <v>7.1999999999999998E-3</v>
      </c>
      <c r="V86" s="22"/>
      <c r="W86" s="21" t="s">
        <v>5</v>
      </c>
      <c r="X86" s="20">
        <f>(C86+J86/200)-0.002</f>
        <v>0.16339999999999999</v>
      </c>
      <c r="Y86" s="20">
        <f t="shared" ref="Y86:Y96" si="61">D86+K86/200</f>
        <v>-2.6200000000000001E-2</v>
      </c>
      <c r="Z86" s="20">
        <f t="shared" ref="Z86:Z96" si="62">E86+L86/200</f>
        <v>-5.1299999999999998E-2</v>
      </c>
      <c r="AA86" s="20">
        <f t="shared" ref="AA86:AA96" si="63">F86+M86/200</f>
        <v>7.9000000000000008E-3</v>
      </c>
      <c r="AB86" s="20">
        <f t="shared" ref="AB86:AB96" si="64">G86+N86/200</f>
        <v>2.3199999999999998E-2</v>
      </c>
    </row>
    <row r="87" spans="1:28" x14ac:dyDescent="0.25">
      <c r="A87" s="21" t="s">
        <v>359</v>
      </c>
      <c r="B87" s="21" t="s">
        <v>6</v>
      </c>
      <c r="C87" s="25">
        <f>[1]EURJPY!$B16</f>
        <v>0.109</v>
      </c>
      <c r="D87" s="25">
        <f>[1]EURJPY!$F16</f>
        <v>-2.41E-2</v>
      </c>
      <c r="E87" s="25">
        <f>[1]EURJPY!$E16</f>
        <v>-4.7400000000000005E-2</v>
      </c>
      <c r="F87" s="25">
        <f>[1]EURJPY!$D16</f>
        <v>3.4000000000000002E-3</v>
      </c>
      <c r="G87" s="25">
        <f>[1]EURJPY!$C16</f>
        <v>1.1200000000000002E-2</v>
      </c>
      <c r="H87" s="8"/>
      <c r="I87" s="21" t="s">
        <v>6</v>
      </c>
      <c r="J87" s="28">
        <f>'[2]G7 Cross'!$C87</f>
        <v>1.8</v>
      </c>
      <c r="K87" s="28">
        <v>0.5</v>
      </c>
      <c r="L87" s="28">
        <v>1</v>
      </c>
      <c r="M87" s="28">
        <v>0.4</v>
      </c>
      <c r="N87" s="28">
        <v>0.8</v>
      </c>
      <c r="O87" s="16"/>
      <c r="P87" s="21" t="s">
        <v>6</v>
      </c>
      <c r="Q87" s="20">
        <f t="shared" ref="Q87:Q96" si="65">(C87-J87/200)-0.002</f>
        <v>9.8000000000000004E-2</v>
      </c>
      <c r="R87" s="20">
        <f t="shared" si="57"/>
        <v>-2.6599999999999999E-2</v>
      </c>
      <c r="S87" s="20">
        <f t="shared" si="58"/>
        <v>-5.2400000000000002E-2</v>
      </c>
      <c r="T87" s="20">
        <f t="shared" si="59"/>
        <v>1.4000000000000002E-3</v>
      </c>
      <c r="U87" s="20">
        <f t="shared" si="60"/>
        <v>7.2000000000000015E-3</v>
      </c>
      <c r="V87" s="22"/>
      <c r="W87" s="21" t="s">
        <v>6</v>
      </c>
      <c r="X87" s="20">
        <f t="shared" ref="X87:X96" si="66">(C87+J87/200)-0.002</f>
        <v>0.11599999999999999</v>
      </c>
      <c r="Y87" s="20">
        <f t="shared" si="61"/>
        <v>-2.1600000000000001E-2</v>
      </c>
      <c r="Z87" s="20">
        <f t="shared" si="62"/>
        <v>-4.2400000000000007E-2</v>
      </c>
      <c r="AA87" s="20">
        <f t="shared" si="63"/>
        <v>5.4000000000000003E-3</v>
      </c>
      <c r="AB87" s="20">
        <f t="shared" si="64"/>
        <v>1.5200000000000002E-2</v>
      </c>
    </row>
    <row r="88" spans="1:28" x14ac:dyDescent="0.25">
      <c r="A88" s="21" t="s">
        <v>359</v>
      </c>
      <c r="B88" s="21" t="s">
        <v>7</v>
      </c>
      <c r="C88" s="25">
        <f>[1]EURJPY!$B17</f>
        <v>0.1074</v>
      </c>
      <c r="D88" s="25">
        <f>[1]EURJPY!$F17</f>
        <v>-2.3700000000000002E-2</v>
      </c>
      <c r="E88" s="25">
        <f>[1]EURJPY!$E17</f>
        <v>-4.53E-2</v>
      </c>
      <c r="F88" s="25">
        <f>[1]EURJPY!$D17</f>
        <v>3.2000000000000002E-3</v>
      </c>
      <c r="G88" s="25">
        <f>[1]EURJPY!$C17</f>
        <v>1.0800000000000001E-2</v>
      </c>
      <c r="H88" s="8"/>
      <c r="I88" s="21" t="s">
        <v>7</v>
      </c>
      <c r="J88" s="28">
        <f>'[2]G7 Cross'!$C88</f>
        <v>1.5</v>
      </c>
      <c r="K88" s="28">
        <v>0.4</v>
      </c>
      <c r="L88" s="28">
        <v>0.8</v>
      </c>
      <c r="M88" s="28">
        <v>0.3</v>
      </c>
      <c r="N88" s="28">
        <v>0.6</v>
      </c>
      <c r="O88" s="16"/>
      <c r="P88" s="21" t="s">
        <v>7</v>
      </c>
      <c r="Q88" s="20">
        <f t="shared" si="65"/>
        <v>9.7899999999999987E-2</v>
      </c>
      <c r="R88" s="20">
        <f t="shared" si="57"/>
        <v>-2.5700000000000001E-2</v>
      </c>
      <c r="S88" s="20">
        <f t="shared" si="58"/>
        <v>-4.9299999999999997E-2</v>
      </c>
      <c r="T88" s="20">
        <f t="shared" si="59"/>
        <v>1.7000000000000001E-3</v>
      </c>
      <c r="U88" s="20">
        <f t="shared" si="60"/>
        <v>7.8000000000000005E-3</v>
      </c>
      <c r="V88" s="22"/>
      <c r="W88" s="21" t="s">
        <v>7</v>
      </c>
      <c r="X88" s="20">
        <f t="shared" si="66"/>
        <v>0.1129</v>
      </c>
      <c r="Y88" s="20">
        <f t="shared" si="61"/>
        <v>-2.1700000000000004E-2</v>
      </c>
      <c r="Z88" s="20">
        <f t="shared" si="62"/>
        <v>-4.1300000000000003E-2</v>
      </c>
      <c r="AA88" s="20">
        <f t="shared" si="63"/>
        <v>4.7000000000000002E-3</v>
      </c>
      <c r="AB88" s="20">
        <f t="shared" si="64"/>
        <v>1.38E-2</v>
      </c>
    </row>
    <row r="89" spans="1:28" x14ac:dyDescent="0.25">
      <c r="A89" s="21" t="s">
        <v>359</v>
      </c>
      <c r="B89" s="21" t="s">
        <v>8</v>
      </c>
      <c r="C89" s="25">
        <f>[1]EURJPY!$B18</f>
        <v>9.8100000000000007E-2</v>
      </c>
      <c r="D89" s="25">
        <f>[1]EURJPY!$F18</f>
        <v>-2.2700000000000001E-2</v>
      </c>
      <c r="E89" s="25">
        <f>[1]EURJPY!$E18</f>
        <v>-4.0199999999999993E-2</v>
      </c>
      <c r="F89" s="25">
        <f>[1]EURJPY!$D18</f>
        <v>2.7000000000000001E-3</v>
      </c>
      <c r="G89" s="25">
        <f>[1]EURJPY!$C18</f>
        <v>9.5999999999999992E-3</v>
      </c>
      <c r="H89" s="8"/>
      <c r="I89" s="21" t="s">
        <v>8</v>
      </c>
      <c r="J89" s="28">
        <f>'[2]G7 Cross'!$C89</f>
        <v>0.6</v>
      </c>
      <c r="K89" s="28">
        <v>0.3</v>
      </c>
      <c r="L89" s="28">
        <v>0.6</v>
      </c>
      <c r="M89" s="28">
        <v>0.2</v>
      </c>
      <c r="N89" s="28">
        <v>0.4</v>
      </c>
      <c r="O89" s="16"/>
      <c r="P89" s="21" t="s">
        <v>8</v>
      </c>
      <c r="Q89" s="20">
        <f t="shared" si="65"/>
        <v>9.3100000000000002E-2</v>
      </c>
      <c r="R89" s="20">
        <f t="shared" si="57"/>
        <v>-2.4200000000000003E-2</v>
      </c>
      <c r="S89" s="20">
        <f t="shared" si="58"/>
        <v>-4.3199999999999995E-2</v>
      </c>
      <c r="T89" s="20">
        <f t="shared" si="59"/>
        <v>1.7000000000000001E-3</v>
      </c>
      <c r="U89" s="20">
        <f t="shared" si="60"/>
        <v>7.5999999999999991E-3</v>
      </c>
      <c r="V89" s="22"/>
      <c r="W89" s="21" t="s">
        <v>8</v>
      </c>
      <c r="X89" s="20">
        <f t="shared" si="66"/>
        <v>9.9100000000000008E-2</v>
      </c>
      <c r="Y89" s="20">
        <f t="shared" si="61"/>
        <v>-2.12E-2</v>
      </c>
      <c r="Z89" s="20">
        <f t="shared" si="62"/>
        <v>-3.719999999999999E-2</v>
      </c>
      <c r="AA89" s="20">
        <f t="shared" si="63"/>
        <v>3.7000000000000002E-3</v>
      </c>
      <c r="AB89" s="20">
        <f t="shared" si="64"/>
        <v>1.1599999999999999E-2</v>
      </c>
    </row>
    <row r="90" spans="1:28" x14ac:dyDescent="0.25">
      <c r="A90" s="21" t="s">
        <v>359</v>
      </c>
      <c r="B90" s="21" t="s">
        <v>9</v>
      </c>
      <c r="C90" s="25">
        <f>[1]EURJPY!$B19</f>
        <v>9.1499999999999998E-2</v>
      </c>
      <c r="D90" s="25">
        <f>[1]EURJPY!$F19</f>
        <v>-2.07E-2</v>
      </c>
      <c r="E90" s="25">
        <f>[1]EURJPY!$E19</f>
        <v>-3.7200000000000004E-2</v>
      </c>
      <c r="F90" s="25">
        <f>[1]EURJPY!$D19</f>
        <v>2.8000000000000004E-3</v>
      </c>
      <c r="G90" s="25">
        <f>[1]EURJPY!$C19</f>
        <v>9.7999999999999997E-3</v>
      </c>
      <c r="H90" s="8"/>
      <c r="I90" s="21" t="s">
        <v>9</v>
      </c>
      <c r="J90" s="28">
        <f>'[2]G7 Cross'!$C90</f>
        <v>0.5</v>
      </c>
      <c r="K90" s="28">
        <v>0.3</v>
      </c>
      <c r="L90" s="28">
        <v>0.6</v>
      </c>
      <c r="M90" s="28">
        <v>0.2</v>
      </c>
      <c r="N90" s="28">
        <v>0.4</v>
      </c>
      <c r="O90" s="16"/>
      <c r="P90" s="21" t="s">
        <v>9</v>
      </c>
      <c r="Q90" s="20">
        <f t="shared" si="65"/>
        <v>8.6999999999999994E-2</v>
      </c>
      <c r="R90" s="20">
        <f t="shared" si="57"/>
        <v>-2.2200000000000001E-2</v>
      </c>
      <c r="S90" s="20">
        <f t="shared" si="58"/>
        <v>-4.0200000000000007E-2</v>
      </c>
      <c r="T90" s="20">
        <f t="shared" si="59"/>
        <v>1.8000000000000004E-3</v>
      </c>
      <c r="U90" s="20">
        <f t="shared" si="60"/>
        <v>7.7999999999999996E-3</v>
      </c>
      <c r="V90" s="22"/>
      <c r="W90" s="21" t="s">
        <v>9</v>
      </c>
      <c r="X90" s="20">
        <f t="shared" si="66"/>
        <v>9.1999999999999998E-2</v>
      </c>
      <c r="Y90" s="20">
        <f t="shared" si="61"/>
        <v>-1.9199999999999998E-2</v>
      </c>
      <c r="Z90" s="20">
        <f t="shared" si="62"/>
        <v>-3.4200000000000001E-2</v>
      </c>
      <c r="AA90" s="20">
        <f t="shared" si="63"/>
        <v>3.8000000000000004E-3</v>
      </c>
      <c r="AB90" s="20">
        <f t="shared" si="64"/>
        <v>1.18E-2</v>
      </c>
    </row>
    <row r="91" spans="1:28" x14ac:dyDescent="0.25">
      <c r="A91" s="21" t="s">
        <v>359</v>
      </c>
      <c r="B91" s="21" t="s">
        <v>10</v>
      </c>
      <c r="C91" s="25">
        <f>[1]EURJPY!$B20</f>
        <v>8.8499999999999995E-2</v>
      </c>
      <c r="D91" s="25">
        <f>[1]EURJPY!$F20</f>
        <v>-1.9199999999999998E-2</v>
      </c>
      <c r="E91" s="25">
        <f>[1]EURJPY!$E20</f>
        <v>-3.5200000000000002E-2</v>
      </c>
      <c r="F91" s="25">
        <f>[1]EURJPY!$D20</f>
        <v>3.0000000000000001E-3</v>
      </c>
      <c r="G91" s="25">
        <f>[1]EURJPY!$C20</f>
        <v>1.03E-2</v>
      </c>
      <c r="H91" s="8"/>
      <c r="I91" s="21" t="s">
        <v>10</v>
      </c>
      <c r="J91" s="28">
        <f>'[2]G7 Cross'!$C91</f>
        <v>0.44</v>
      </c>
      <c r="K91" s="28">
        <v>0.3</v>
      </c>
      <c r="L91" s="28">
        <v>0.6</v>
      </c>
      <c r="M91" s="28">
        <v>0.2</v>
      </c>
      <c r="N91" s="28">
        <v>0.4</v>
      </c>
      <c r="O91" s="16"/>
      <c r="P91" s="21" t="s">
        <v>10</v>
      </c>
      <c r="Q91" s="20">
        <f t="shared" si="65"/>
        <v>8.43E-2</v>
      </c>
      <c r="R91" s="20">
        <f t="shared" si="57"/>
        <v>-2.07E-2</v>
      </c>
      <c r="S91" s="20">
        <f t="shared" si="58"/>
        <v>-3.8200000000000005E-2</v>
      </c>
      <c r="T91" s="20">
        <f t="shared" si="59"/>
        <v>2E-3</v>
      </c>
      <c r="U91" s="20">
        <f t="shared" si="60"/>
        <v>8.3000000000000001E-3</v>
      </c>
      <c r="V91" s="22"/>
      <c r="W91" s="21" t="s">
        <v>10</v>
      </c>
      <c r="X91" s="20">
        <f t="shared" si="66"/>
        <v>8.8699999999999987E-2</v>
      </c>
      <c r="Y91" s="20">
        <f t="shared" si="61"/>
        <v>-1.7699999999999997E-2</v>
      </c>
      <c r="Z91" s="20">
        <f t="shared" si="62"/>
        <v>-3.2199999999999999E-2</v>
      </c>
      <c r="AA91" s="20">
        <f t="shared" si="63"/>
        <v>4.0000000000000001E-3</v>
      </c>
      <c r="AB91" s="20">
        <f t="shared" si="64"/>
        <v>1.23E-2</v>
      </c>
    </row>
    <row r="92" spans="1:28" x14ac:dyDescent="0.25">
      <c r="A92" s="21" t="s">
        <v>359</v>
      </c>
      <c r="B92" s="21" t="s">
        <v>11</v>
      </c>
      <c r="C92" s="25">
        <f>[1]EURJPY!$B21</f>
        <v>8.5199999999999998E-2</v>
      </c>
      <c r="D92" s="25">
        <f>[1]EURJPY!$F21</f>
        <v>-1.4199999999999999E-2</v>
      </c>
      <c r="E92" s="25">
        <f>[1]EURJPY!$E21</f>
        <v>-2.7200000000000002E-2</v>
      </c>
      <c r="F92" s="25">
        <f>[1]EURJPY!$D21</f>
        <v>3.3E-3</v>
      </c>
      <c r="G92" s="25">
        <f>[1]EURJPY!$C21</f>
        <v>1.15E-2</v>
      </c>
      <c r="H92" s="8"/>
      <c r="I92" s="21" t="s">
        <v>11</v>
      </c>
      <c r="J92" s="28">
        <f>'[2]G7 Cross'!$C92</f>
        <v>0.41</v>
      </c>
      <c r="K92" s="28">
        <v>0.3</v>
      </c>
      <c r="L92" s="28">
        <v>0.6</v>
      </c>
      <c r="M92" s="28">
        <v>0.2</v>
      </c>
      <c r="N92" s="28">
        <v>0.4</v>
      </c>
      <c r="O92" s="16"/>
      <c r="P92" s="21" t="s">
        <v>11</v>
      </c>
      <c r="Q92" s="20">
        <f t="shared" si="65"/>
        <v>8.115E-2</v>
      </c>
      <c r="R92" s="20">
        <f t="shared" si="57"/>
        <v>-1.5699999999999999E-2</v>
      </c>
      <c r="S92" s="20">
        <f t="shared" si="58"/>
        <v>-3.0200000000000001E-2</v>
      </c>
      <c r="T92" s="20">
        <f t="shared" si="59"/>
        <v>2.3E-3</v>
      </c>
      <c r="U92" s="20">
        <f t="shared" si="60"/>
        <v>9.4999999999999998E-3</v>
      </c>
      <c r="V92" s="22"/>
      <c r="W92" s="21" t="s">
        <v>11</v>
      </c>
      <c r="X92" s="20">
        <f t="shared" si="66"/>
        <v>8.5249999999999992E-2</v>
      </c>
      <c r="Y92" s="20">
        <f t="shared" si="61"/>
        <v>-1.2699999999999999E-2</v>
      </c>
      <c r="Z92" s="20">
        <f t="shared" si="62"/>
        <v>-2.4200000000000003E-2</v>
      </c>
      <c r="AA92" s="20">
        <f t="shared" si="63"/>
        <v>4.3E-3</v>
      </c>
      <c r="AB92" s="20">
        <f t="shared" si="64"/>
        <v>1.35E-2</v>
      </c>
    </row>
    <row r="93" spans="1:28" x14ac:dyDescent="0.25">
      <c r="A93" s="21" t="s">
        <v>359</v>
      </c>
      <c r="B93" s="21" t="s">
        <v>12</v>
      </c>
      <c r="C93" s="25">
        <f>[1]EURJPY!$B22</f>
        <v>8.5500000000000007E-2</v>
      </c>
      <c r="D93" s="25">
        <f>[1]EURJPY!$F22</f>
        <v>-1.01E-2</v>
      </c>
      <c r="E93" s="25">
        <f>[1]EURJPY!$E22</f>
        <v>-2.0199999999999999E-2</v>
      </c>
      <c r="F93" s="25">
        <f>[1]EURJPY!$D22</f>
        <v>3.4000000000000002E-3</v>
      </c>
      <c r="G93" s="25">
        <f>[1]EURJPY!$C22</f>
        <v>1.1899999999999999E-2</v>
      </c>
      <c r="H93" s="8"/>
      <c r="I93" s="21" t="s">
        <v>12</v>
      </c>
      <c r="J93" s="28">
        <f>'[2]G7 Cross'!$C93</f>
        <v>0.39</v>
      </c>
      <c r="K93" s="28">
        <v>0.3</v>
      </c>
      <c r="L93" s="28">
        <v>0.6</v>
      </c>
      <c r="M93" s="28">
        <v>0.2</v>
      </c>
      <c r="N93" s="28">
        <v>0.4</v>
      </c>
      <c r="O93" s="16"/>
      <c r="P93" s="21" t="s">
        <v>12</v>
      </c>
      <c r="Q93" s="20">
        <f t="shared" si="65"/>
        <v>8.1550000000000011E-2</v>
      </c>
      <c r="R93" s="20">
        <f t="shared" si="57"/>
        <v>-1.1599999999999999E-2</v>
      </c>
      <c r="S93" s="20">
        <f t="shared" si="58"/>
        <v>-2.3199999999999998E-2</v>
      </c>
      <c r="T93" s="20">
        <f t="shared" si="59"/>
        <v>2.4000000000000002E-3</v>
      </c>
      <c r="U93" s="20">
        <f t="shared" si="60"/>
        <v>9.8999999999999991E-3</v>
      </c>
      <c r="V93" s="22"/>
      <c r="W93" s="21" t="s">
        <v>12</v>
      </c>
      <c r="X93" s="20">
        <f t="shared" si="66"/>
        <v>8.5449999999999998E-2</v>
      </c>
      <c r="Y93" s="20">
        <f t="shared" si="61"/>
        <v>-8.6E-3</v>
      </c>
      <c r="Z93" s="20">
        <f t="shared" si="62"/>
        <v>-1.72E-2</v>
      </c>
      <c r="AA93" s="20">
        <f t="shared" si="63"/>
        <v>4.4000000000000003E-3</v>
      </c>
      <c r="AB93" s="20">
        <f t="shared" si="64"/>
        <v>1.3899999999999999E-2</v>
      </c>
    </row>
    <row r="94" spans="1:28" x14ac:dyDescent="0.25">
      <c r="A94" s="21" t="s">
        <v>359</v>
      </c>
      <c r="B94" s="21" t="s">
        <v>13</v>
      </c>
      <c r="C94" s="25">
        <f>[1]EURJPY!$B23</f>
        <v>8.48E-2</v>
      </c>
      <c r="D94" s="25">
        <f>[1]EURJPY!$F23</f>
        <v>-7.7000000000000002E-3</v>
      </c>
      <c r="E94" s="25">
        <f>[1]EURJPY!$E23</f>
        <v>-1.5700000000000002E-2</v>
      </c>
      <c r="F94" s="25">
        <f>[1]EURJPY!$D23</f>
        <v>3.4000000000000002E-3</v>
      </c>
      <c r="G94" s="25">
        <f>[1]EURJPY!$C23</f>
        <v>1.2199999999999999E-2</v>
      </c>
      <c r="H94" s="8"/>
      <c r="I94" s="21" t="s">
        <v>13</v>
      </c>
      <c r="J94" s="28">
        <f>'[2]G7 Cross'!$C94</f>
        <v>0.43</v>
      </c>
      <c r="K94" s="28">
        <v>0.3</v>
      </c>
      <c r="L94" s="28">
        <v>0.6</v>
      </c>
      <c r="M94" s="28">
        <v>0.2</v>
      </c>
      <c r="N94" s="28">
        <v>0.4</v>
      </c>
      <c r="O94" s="16"/>
      <c r="P94" s="21" t="s">
        <v>13</v>
      </c>
      <c r="Q94" s="20">
        <f t="shared" si="65"/>
        <v>8.0649999999999999E-2</v>
      </c>
      <c r="R94" s="20">
        <f t="shared" si="57"/>
        <v>-9.1999999999999998E-3</v>
      </c>
      <c r="S94" s="20">
        <f t="shared" si="58"/>
        <v>-1.8700000000000001E-2</v>
      </c>
      <c r="T94" s="20">
        <f t="shared" si="59"/>
        <v>2.4000000000000002E-3</v>
      </c>
      <c r="U94" s="20">
        <f t="shared" si="60"/>
        <v>1.0199999999999999E-2</v>
      </c>
      <c r="V94" s="22"/>
      <c r="W94" s="21" t="s">
        <v>13</v>
      </c>
      <c r="X94" s="20">
        <f t="shared" si="66"/>
        <v>8.4949999999999998E-2</v>
      </c>
      <c r="Y94" s="20">
        <f t="shared" si="61"/>
        <v>-6.2000000000000006E-3</v>
      </c>
      <c r="Z94" s="20">
        <f t="shared" si="62"/>
        <v>-1.2700000000000003E-2</v>
      </c>
      <c r="AA94" s="20">
        <f t="shared" si="63"/>
        <v>4.4000000000000003E-3</v>
      </c>
      <c r="AB94" s="20">
        <f t="shared" si="64"/>
        <v>1.4199999999999999E-2</v>
      </c>
    </row>
    <row r="95" spans="1:28" x14ac:dyDescent="0.25">
      <c r="A95" s="21" t="s">
        <v>359</v>
      </c>
      <c r="B95" s="21" t="s">
        <v>14</v>
      </c>
      <c r="C95" s="25">
        <f>[1]EURJPY!$B24</f>
        <v>8.4700000000000011E-2</v>
      </c>
      <c r="D95" s="25">
        <f>[1]EURJPY!$F24</f>
        <v>-7.3000000000000001E-3</v>
      </c>
      <c r="E95" s="25">
        <f>[1]EURJPY!$E24</f>
        <v>-1.3899999999999999E-2</v>
      </c>
      <c r="F95" s="25">
        <f>[1]EURJPY!$D24</f>
        <v>4.0999999999999995E-3</v>
      </c>
      <c r="G95" s="25">
        <f>[1]EURJPY!$C24</f>
        <v>1.3899999999999999E-2</v>
      </c>
      <c r="H95" s="16"/>
      <c r="I95" s="21" t="s">
        <v>14</v>
      </c>
      <c r="J95" s="28">
        <f>'[2]G7 Cross'!$C95</f>
        <v>0.49</v>
      </c>
      <c r="K95" s="28">
        <v>0.3</v>
      </c>
      <c r="L95" s="28">
        <v>0.6</v>
      </c>
      <c r="M95" s="28">
        <v>0.2</v>
      </c>
      <c r="N95" s="28">
        <v>0.4</v>
      </c>
      <c r="O95" s="16"/>
      <c r="P95" s="21" t="s">
        <v>14</v>
      </c>
      <c r="Q95" s="20">
        <f t="shared" si="65"/>
        <v>8.0250000000000016E-2</v>
      </c>
      <c r="R95" s="20">
        <f t="shared" si="57"/>
        <v>-8.8000000000000005E-3</v>
      </c>
      <c r="S95" s="20">
        <f t="shared" si="58"/>
        <v>-1.6899999999999998E-2</v>
      </c>
      <c r="T95" s="20">
        <f t="shared" si="59"/>
        <v>3.0999999999999995E-3</v>
      </c>
      <c r="U95" s="20">
        <f t="shared" si="60"/>
        <v>1.1899999999999999E-2</v>
      </c>
      <c r="V95" s="22"/>
      <c r="W95" s="21" t="s">
        <v>14</v>
      </c>
      <c r="X95" s="20">
        <f t="shared" si="66"/>
        <v>8.5150000000000003E-2</v>
      </c>
      <c r="Y95" s="20">
        <f t="shared" si="61"/>
        <v>-5.7999999999999996E-3</v>
      </c>
      <c r="Z95" s="20">
        <f t="shared" si="62"/>
        <v>-1.09E-2</v>
      </c>
      <c r="AA95" s="20">
        <f t="shared" si="63"/>
        <v>5.0999999999999995E-3</v>
      </c>
      <c r="AB95" s="20">
        <f t="shared" si="64"/>
        <v>1.5899999999999997E-2</v>
      </c>
    </row>
    <row r="96" spans="1:28" x14ac:dyDescent="0.25">
      <c r="A96" s="21" t="s">
        <v>359</v>
      </c>
      <c r="B96" s="21" t="s">
        <v>876</v>
      </c>
      <c r="C96" s="25">
        <f>[1]EURJPY!$B25</f>
        <v>8.5099999999999995E-2</v>
      </c>
      <c r="D96" s="25">
        <f>[1]EURJPY!$F25</f>
        <v>-6.8999999999999999E-3</v>
      </c>
      <c r="E96" s="25">
        <f>[1]EURJPY!$E25</f>
        <v>-1.24E-2</v>
      </c>
      <c r="F96" s="25">
        <f>[1]EURJPY!$D25</f>
        <v>4.3E-3</v>
      </c>
      <c r="G96" s="25">
        <f>[1]EURJPY!$C25</f>
        <v>1.4999999999999999E-2</v>
      </c>
      <c r="H96" s="16"/>
      <c r="I96" s="21" t="s">
        <v>876</v>
      </c>
      <c r="J96" s="28">
        <f>'[2]G7 Cross'!$C96</f>
        <v>0.53</v>
      </c>
      <c r="K96" s="28">
        <v>0.3</v>
      </c>
      <c r="L96" s="28">
        <v>0.6</v>
      </c>
      <c r="M96" s="28">
        <v>0.2</v>
      </c>
      <c r="N96" s="28">
        <v>0.4</v>
      </c>
      <c r="O96" s="16"/>
      <c r="P96" s="21" t="s">
        <v>876</v>
      </c>
      <c r="Q96" s="20">
        <f t="shared" si="65"/>
        <v>8.0449999999999994E-2</v>
      </c>
      <c r="R96" s="20">
        <f t="shared" si="57"/>
        <v>-8.3999999999999995E-3</v>
      </c>
      <c r="S96" s="20">
        <f t="shared" si="58"/>
        <v>-1.54E-2</v>
      </c>
      <c r="T96" s="20">
        <f t="shared" si="59"/>
        <v>3.3E-3</v>
      </c>
      <c r="U96" s="20">
        <f t="shared" si="60"/>
        <v>1.2999999999999999E-2</v>
      </c>
      <c r="V96" s="22"/>
      <c r="W96" s="21" t="s">
        <v>876</v>
      </c>
      <c r="X96" s="20">
        <f t="shared" si="66"/>
        <v>8.5749999999999993E-2</v>
      </c>
      <c r="Y96" s="20">
        <f t="shared" si="61"/>
        <v>-5.4000000000000003E-3</v>
      </c>
      <c r="Z96" s="20">
        <f t="shared" si="62"/>
        <v>-9.3999999999999986E-3</v>
      </c>
      <c r="AA96" s="20">
        <f t="shared" si="63"/>
        <v>5.3E-3</v>
      </c>
      <c r="AB96" s="20">
        <f t="shared" si="64"/>
        <v>1.7000000000000001E-2</v>
      </c>
    </row>
    <row r="97" spans="1:28" x14ac:dyDescent="0.25">
      <c r="A97" s="21"/>
      <c r="B97" s="21"/>
      <c r="C97" s="25"/>
      <c r="D97" s="25"/>
      <c r="E97" s="25"/>
      <c r="F97" s="25"/>
      <c r="G97" s="25"/>
      <c r="H97" s="16"/>
      <c r="I97" s="21"/>
      <c r="J97" s="28"/>
      <c r="K97" s="28"/>
      <c r="L97" s="28"/>
      <c r="M97" s="28"/>
      <c r="N97" s="28"/>
      <c r="O97" s="16"/>
      <c r="P97" s="21"/>
      <c r="Q97" s="20"/>
      <c r="R97" s="20"/>
      <c r="S97" s="20"/>
      <c r="T97" s="20"/>
      <c r="U97" s="20"/>
      <c r="V97" s="22"/>
      <c r="W97" s="21"/>
      <c r="X97" s="20"/>
      <c r="Y97" s="20"/>
      <c r="Z97" s="20"/>
      <c r="AA97" s="20"/>
      <c r="AB97" s="20"/>
    </row>
    <row r="98" spans="1:28" x14ac:dyDescent="0.25">
      <c r="A98" s="16"/>
      <c r="B98" s="16"/>
      <c r="C98" s="26"/>
      <c r="D98" s="26"/>
      <c r="E98" s="26"/>
      <c r="F98" s="26"/>
      <c r="G98" s="26"/>
      <c r="H98" s="16"/>
      <c r="I98" s="16"/>
      <c r="J98" s="16"/>
      <c r="K98" s="16"/>
      <c r="L98" s="16"/>
      <c r="M98" s="16"/>
      <c r="N98" s="16"/>
      <c r="O98" s="16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28" x14ac:dyDescent="0.25">
      <c r="A99" s="7" t="s">
        <v>70</v>
      </c>
      <c r="B99" s="7" t="s">
        <v>351</v>
      </c>
      <c r="C99" s="24" t="s">
        <v>347</v>
      </c>
      <c r="D99" s="24" t="s">
        <v>348</v>
      </c>
      <c r="E99" s="24" t="s">
        <v>343</v>
      </c>
      <c r="F99" s="24" t="s">
        <v>344</v>
      </c>
      <c r="G99" s="24" t="s">
        <v>345</v>
      </c>
      <c r="H99" s="8"/>
      <c r="I99" s="7" t="s">
        <v>346</v>
      </c>
      <c r="J99" s="7" t="s">
        <v>347</v>
      </c>
      <c r="K99" s="7" t="s">
        <v>348</v>
      </c>
      <c r="L99" s="7" t="s">
        <v>343</v>
      </c>
      <c r="M99" s="7" t="s">
        <v>344</v>
      </c>
      <c r="N99" s="7" t="s">
        <v>345</v>
      </c>
      <c r="O99" s="16"/>
      <c r="P99" s="7" t="s">
        <v>349</v>
      </c>
      <c r="Q99" s="7" t="s">
        <v>347</v>
      </c>
      <c r="R99" s="7" t="s">
        <v>348</v>
      </c>
      <c r="S99" s="7" t="s">
        <v>343</v>
      </c>
      <c r="T99" s="7" t="s">
        <v>344</v>
      </c>
      <c r="U99" s="7" t="s">
        <v>345</v>
      </c>
      <c r="V99" s="22"/>
      <c r="W99" s="7" t="s">
        <v>350</v>
      </c>
      <c r="X99" s="7" t="s">
        <v>347</v>
      </c>
      <c r="Y99" s="7" t="s">
        <v>348</v>
      </c>
      <c r="Z99" s="7" t="s">
        <v>343</v>
      </c>
      <c r="AA99" s="7" t="s">
        <v>344</v>
      </c>
      <c r="AB99" s="7" t="s">
        <v>345</v>
      </c>
    </row>
    <row r="100" spans="1:28" x14ac:dyDescent="0.25">
      <c r="A100" s="21" t="s">
        <v>943</v>
      </c>
      <c r="B100" s="21" t="s">
        <v>5</v>
      </c>
      <c r="C100" s="25">
        <f>[1]EURNZD!$B15</f>
        <v>6.4500000000000002E-2</v>
      </c>
      <c r="D100" s="25">
        <f>[1]EURNZD!$F15</f>
        <v>2.0999999999999999E-3</v>
      </c>
      <c r="E100" s="25">
        <f>[1]EURNZD!$E15</f>
        <v>4.0999999999999995E-3</v>
      </c>
      <c r="F100" s="25">
        <f>[1]EURNZD!$D15</f>
        <v>1.1000000000000001E-3</v>
      </c>
      <c r="G100" s="25">
        <f>[1]EURNZD!$C15</f>
        <v>3.8E-3</v>
      </c>
      <c r="H100" s="8"/>
      <c r="I100" s="21" t="s">
        <v>5</v>
      </c>
      <c r="J100" s="28">
        <f>'[2]G7 Cross'!$C98</f>
        <v>4.0999999999999996</v>
      </c>
      <c r="K100" s="28">
        <v>1.2</v>
      </c>
      <c r="L100" s="28">
        <v>2.4</v>
      </c>
      <c r="M100" s="28">
        <v>0.8</v>
      </c>
      <c r="N100" s="28">
        <v>1.6</v>
      </c>
      <c r="O100" s="16"/>
      <c r="P100" s="21" t="s">
        <v>5</v>
      </c>
      <c r="Q100" s="20">
        <f>(C100-J100/200)-0.002</f>
        <v>4.2000000000000003E-2</v>
      </c>
      <c r="R100" s="20">
        <f t="shared" ref="R100:R110" si="67">D100-K100/200</f>
        <v>-3.9000000000000003E-3</v>
      </c>
      <c r="S100" s="20">
        <f t="shared" ref="S100:S110" si="68">E100-L100/200</f>
        <v>-7.9000000000000008E-3</v>
      </c>
      <c r="T100" s="20">
        <f t="shared" ref="T100:T110" si="69">F100-M100/200</f>
        <v>-2.8999999999999998E-3</v>
      </c>
      <c r="U100" s="20">
        <f t="shared" ref="U100:U110" si="70">G100-N100/200</f>
        <v>-4.2000000000000006E-3</v>
      </c>
      <c r="V100" s="22"/>
      <c r="W100" s="21" t="s">
        <v>5</v>
      </c>
      <c r="X100" s="20">
        <f>(C100+J100/200)-0.002</f>
        <v>8.299999999999999E-2</v>
      </c>
      <c r="Y100" s="20">
        <f t="shared" ref="Y100:Y110" si="71">D100+K100/200</f>
        <v>8.0999999999999996E-3</v>
      </c>
      <c r="Z100" s="20">
        <f t="shared" ref="Z100:Z110" si="72">E100+L100/200</f>
        <v>1.61E-2</v>
      </c>
      <c r="AA100" s="20">
        <f t="shared" ref="AA100:AA110" si="73">F100+M100/200</f>
        <v>5.1000000000000004E-3</v>
      </c>
      <c r="AB100" s="20">
        <f t="shared" ref="AB100:AB110" si="74">G100+N100/200</f>
        <v>1.18E-2</v>
      </c>
    </row>
    <row r="101" spans="1:28" x14ac:dyDescent="0.25">
      <c r="A101" s="21" t="s">
        <v>943</v>
      </c>
      <c r="B101" s="21" t="s">
        <v>6</v>
      </c>
      <c r="C101" s="25">
        <f>[1]EURNZD!$B16</f>
        <v>5.3499999999999999E-2</v>
      </c>
      <c r="D101" s="25">
        <f>[1]EURNZD!$F16</f>
        <v>2.0999999999999999E-3</v>
      </c>
      <c r="E101" s="25">
        <f>[1]EURNZD!$E16</f>
        <v>3.7000000000000002E-3</v>
      </c>
      <c r="F101" s="25">
        <f>[1]EURNZD!$D16</f>
        <v>1E-3</v>
      </c>
      <c r="G101" s="25">
        <f>[1]EURNZD!$C16</f>
        <v>3.0999999999999999E-3</v>
      </c>
      <c r="H101" s="8"/>
      <c r="I101" s="21" t="s">
        <v>6</v>
      </c>
      <c r="J101" s="28">
        <f>'[2]G7 Cross'!$C99</f>
        <v>1.28</v>
      </c>
      <c r="K101" s="28">
        <v>0.5</v>
      </c>
      <c r="L101" s="28">
        <v>1</v>
      </c>
      <c r="M101" s="28">
        <v>0.4</v>
      </c>
      <c r="N101" s="28">
        <v>0.8</v>
      </c>
      <c r="O101" s="16"/>
      <c r="P101" s="21" t="s">
        <v>6</v>
      </c>
      <c r="Q101" s="20">
        <f t="shared" ref="Q101:Q110" si="75">(C101-J101/200)-0.002</f>
        <v>4.5099999999999994E-2</v>
      </c>
      <c r="R101" s="20">
        <f t="shared" si="67"/>
        <v>-4.0000000000000018E-4</v>
      </c>
      <c r="S101" s="20">
        <f t="shared" si="68"/>
        <v>-1.2999999999999999E-3</v>
      </c>
      <c r="T101" s="20">
        <f t="shared" si="69"/>
        <v>-1E-3</v>
      </c>
      <c r="U101" s="20">
        <f t="shared" si="70"/>
        <v>-9.0000000000000019E-4</v>
      </c>
      <c r="V101" s="22"/>
      <c r="W101" s="21" t="s">
        <v>6</v>
      </c>
      <c r="X101" s="20">
        <f t="shared" ref="X101:X110" si="76">(C101+J101/200)-0.002</f>
        <v>5.79E-2</v>
      </c>
      <c r="Y101" s="20">
        <f t="shared" si="71"/>
        <v>4.5999999999999999E-3</v>
      </c>
      <c r="Z101" s="20">
        <f t="shared" si="72"/>
        <v>8.6999999999999994E-3</v>
      </c>
      <c r="AA101" s="20">
        <f t="shared" si="73"/>
        <v>3.0000000000000001E-3</v>
      </c>
      <c r="AB101" s="20">
        <f t="shared" si="74"/>
        <v>7.1000000000000004E-3</v>
      </c>
    </row>
    <row r="102" spans="1:28" x14ac:dyDescent="0.25">
      <c r="A102" s="21" t="s">
        <v>943</v>
      </c>
      <c r="B102" s="21" t="s">
        <v>7</v>
      </c>
      <c r="C102" s="25">
        <f>[1]EURNZD!$B17</f>
        <v>5.1500000000000004E-2</v>
      </c>
      <c r="D102" s="25">
        <f>[1]EURNZD!$F17</f>
        <v>2.3E-3</v>
      </c>
      <c r="E102" s="25">
        <f>[1]EURNZD!$E17</f>
        <v>4.0999999999999995E-3</v>
      </c>
      <c r="F102" s="25">
        <f>[1]EURNZD!$D17</f>
        <v>8.9999999999999998E-4</v>
      </c>
      <c r="G102" s="25">
        <f>[1]EURNZD!$C17</f>
        <v>3.0999999999999999E-3</v>
      </c>
      <c r="H102" s="8"/>
      <c r="I102" s="21" t="s">
        <v>7</v>
      </c>
      <c r="J102" s="28">
        <f>'[2]G7 Cross'!$C100</f>
        <v>0.78</v>
      </c>
      <c r="K102" s="28">
        <v>0.4</v>
      </c>
      <c r="L102" s="28">
        <v>0.8</v>
      </c>
      <c r="M102" s="28">
        <v>0.3</v>
      </c>
      <c r="N102" s="28">
        <v>0.6</v>
      </c>
      <c r="O102" s="16"/>
      <c r="P102" s="21" t="s">
        <v>7</v>
      </c>
      <c r="Q102" s="20">
        <f t="shared" si="75"/>
        <v>4.5600000000000002E-2</v>
      </c>
      <c r="R102" s="20">
        <f t="shared" si="67"/>
        <v>2.9999999999999992E-4</v>
      </c>
      <c r="S102" s="20">
        <f t="shared" si="68"/>
        <v>9.9999999999999395E-5</v>
      </c>
      <c r="T102" s="20">
        <f t="shared" si="69"/>
        <v>-6.0000000000000006E-4</v>
      </c>
      <c r="U102" s="20">
        <f t="shared" si="70"/>
        <v>9.9999999999999829E-5</v>
      </c>
      <c r="V102" s="22"/>
      <c r="W102" s="21" t="s">
        <v>7</v>
      </c>
      <c r="X102" s="20">
        <f t="shared" si="76"/>
        <v>5.3400000000000003E-2</v>
      </c>
      <c r="Y102" s="20">
        <f t="shared" si="71"/>
        <v>4.3E-3</v>
      </c>
      <c r="Z102" s="20">
        <f t="shared" si="72"/>
        <v>8.0999999999999996E-3</v>
      </c>
      <c r="AA102" s="20">
        <f t="shared" si="73"/>
        <v>2.4000000000000002E-3</v>
      </c>
      <c r="AB102" s="20">
        <f t="shared" si="74"/>
        <v>6.0999999999999995E-3</v>
      </c>
    </row>
    <row r="103" spans="1:28" x14ac:dyDescent="0.25">
      <c r="A103" s="21" t="s">
        <v>943</v>
      </c>
      <c r="B103" s="21" t="s">
        <v>8</v>
      </c>
      <c r="C103" s="25">
        <f>[1]EURNZD!$B18</f>
        <v>5.3800000000000001E-2</v>
      </c>
      <c r="D103" s="25">
        <f>[1]EURNZD!$F18</f>
        <v>2.8000000000000004E-3</v>
      </c>
      <c r="E103" s="25">
        <f>[1]EURNZD!$E18</f>
        <v>5.6000000000000008E-3</v>
      </c>
      <c r="F103" s="25">
        <f>[1]EURNZD!$D18</f>
        <v>1.1000000000000001E-3</v>
      </c>
      <c r="G103" s="25">
        <f>[1]EURNZD!$C18</f>
        <v>3.4999999999999996E-3</v>
      </c>
      <c r="H103" s="8"/>
      <c r="I103" s="21" t="s">
        <v>8</v>
      </c>
      <c r="J103" s="28">
        <f>'[2]G7 Cross'!$C101</f>
        <v>0.49</v>
      </c>
      <c r="K103" s="28">
        <v>0.3</v>
      </c>
      <c r="L103" s="28">
        <v>0.6</v>
      </c>
      <c r="M103" s="28">
        <v>0.2</v>
      </c>
      <c r="N103" s="28">
        <v>0.4</v>
      </c>
      <c r="O103" s="16"/>
      <c r="P103" s="21" t="s">
        <v>8</v>
      </c>
      <c r="Q103" s="20">
        <f t="shared" si="75"/>
        <v>4.9349999999999998E-2</v>
      </c>
      <c r="R103" s="20">
        <f t="shared" si="67"/>
        <v>1.3000000000000004E-3</v>
      </c>
      <c r="S103" s="20">
        <f t="shared" si="68"/>
        <v>2.6000000000000007E-3</v>
      </c>
      <c r="T103" s="20">
        <f t="shared" si="69"/>
        <v>1.0000000000000005E-4</v>
      </c>
      <c r="U103" s="20">
        <f t="shared" si="70"/>
        <v>1.4999999999999996E-3</v>
      </c>
      <c r="V103" s="22"/>
      <c r="W103" s="21" t="s">
        <v>8</v>
      </c>
      <c r="X103" s="20">
        <f t="shared" si="76"/>
        <v>5.425E-2</v>
      </c>
      <c r="Y103" s="20">
        <f t="shared" si="71"/>
        <v>4.3E-3</v>
      </c>
      <c r="Z103" s="20">
        <f t="shared" si="72"/>
        <v>8.6E-3</v>
      </c>
      <c r="AA103" s="20">
        <f t="shared" si="73"/>
        <v>2.1000000000000003E-3</v>
      </c>
      <c r="AB103" s="20">
        <f t="shared" si="74"/>
        <v>5.4999999999999997E-3</v>
      </c>
    </row>
    <row r="104" spans="1:28" x14ac:dyDescent="0.25">
      <c r="A104" s="21" t="s">
        <v>943</v>
      </c>
      <c r="B104" s="21" t="s">
        <v>9</v>
      </c>
      <c r="C104" s="25">
        <f>[1]EURNZD!$B19</f>
        <v>5.79E-2</v>
      </c>
      <c r="D104" s="25">
        <f>[1]EURNZD!$F19</f>
        <v>3.4000000000000002E-3</v>
      </c>
      <c r="E104" s="25">
        <f>[1]EURNZD!$E19</f>
        <v>6.8999999999999999E-3</v>
      </c>
      <c r="F104" s="25">
        <f>[1]EURNZD!$D19</f>
        <v>1.2999999999999999E-3</v>
      </c>
      <c r="G104" s="25">
        <f>[1]EURNZD!$C19</f>
        <v>4.3E-3</v>
      </c>
      <c r="H104" s="8"/>
      <c r="I104" s="21" t="s">
        <v>9</v>
      </c>
      <c r="J104" s="28">
        <f>'[2]G7 Cross'!$C102</f>
        <v>0.45</v>
      </c>
      <c r="K104" s="28">
        <v>0.3</v>
      </c>
      <c r="L104" s="28">
        <v>0.6</v>
      </c>
      <c r="M104" s="28">
        <v>0.2</v>
      </c>
      <c r="N104" s="28">
        <v>0.4</v>
      </c>
      <c r="O104" s="16"/>
      <c r="P104" s="21" t="s">
        <v>9</v>
      </c>
      <c r="Q104" s="20">
        <f t="shared" si="75"/>
        <v>5.3649999999999996E-2</v>
      </c>
      <c r="R104" s="20">
        <f t="shared" si="67"/>
        <v>1.9000000000000002E-3</v>
      </c>
      <c r="S104" s="20">
        <f t="shared" si="68"/>
        <v>3.8999999999999998E-3</v>
      </c>
      <c r="T104" s="20">
        <f t="shared" si="69"/>
        <v>2.9999999999999992E-4</v>
      </c>
      <c r="U104" s="20">
        <f t="shared" si="70"/>
        <v>2.3E-3</v>
      </c>
      <c r="V104" s="22"/>
      <c r="W104" s="21" t="s">
        <v>9</v>
      </c>
      <c r="X104" s="20">
        <f t="shared" si="76"/>
        <v>5.815E-2</v>
      </c>
      <c r="Y104" s="20">
        <f t="shared" si="71"/>
        <v>4.8999999999999998E-3</v>
      </c>
      <c r="Z104" s="20">
        <f t="shared" si="72"/>
        <v>9.8999999999999991E-3</v>
      </c>
      <c r="AA104" s="20">
        <f t="shared" si="73"/>
        <v>2.3E-3</v>
      </c>
      <c r="AB104" s="20">
        <f t="shared" si="74"/>
        <v>6.3E-3</v>
      </c>
    </row>
    <row r="105" spans="1:28" x14ac:dyDescent="0.25">
      <c r="A105" s="21" t="s">
        <v>943</v>
      </c>
      <c r="B105" s="21" t="s">
        <v>10</v>
      </c>
      <c r="C105" s="25">
        <f>[1]EURNZD!$B20</f>
        <v>5.8799999999999998E-2</v>
      </c>
      <c r="D105" s="25">
        <f>[1]EURNZD!$F20</f>
        <v>3.8E-3</v>
      </c>
      <c r="E105" s="25">
        <f>[1]EURNZD!$E20</f>
        <v>7.8000000000000005E-3</v>
      </c>
      <c r="F105" s="25">
        <f>[1]EURNZD!$D20</f>
        <v>1.5E-3</v>
      </c>
      <c r="G105" s="25">
        <f>[1]EURNZD!$C20</f>
        <v>5.0000000000000001E-3</v>
      </c>
      <c r="H105" s="8"/>
      <c r="I105" s="21" t="s">
        <v>10</v>
      </c>
      <c r="J105" s="28">
        <f>'[2]G7 Cross'!$C103</f>
        <v>0.45</v>
      </c>
      <c r="K105" s="28">
        <v>0.3</v>
      </c>
      <c r="L105" s="28">
        <v>0.6</v>
      </c>
      <c r="M105" s="28">
        <v>0.2</v>
      </c>
      <c r="N105" s="28">
        <v>0.4</v>
      </c>
      <c r="O105" s="16"/>
      <c r="P105" s="21" t="s">
        <v>10</v>
      </c>
      <c r="Q105" s="20">
        <f t="shared" si="75"/>
        <v>5.4549999999999994E-2</v>
      </c>
      <c r="R105" s="20">
        <f t="shared" si="67"/>
        <v>2.3E-3</v>
      </c>
      <c r="S105" s="20">
        <f t="shared" si="68"/>
        <v>4.8000000000000004E-3</v>
      </c>
      <c r="T105" s="20">
        <f t="shared" si="69"/>
        <v>5.0000000000000001E-4</v>
      </c>
      <c r="U105" s="20">
        <f t="shared" si="70"/>
        <v>3.0000000000000001E-3</v>
      </c>
      <c r="V105" s="22"/>
      <c r="W105" s="21" t="s">
        <v>10</v>
      </c>
      <c r="X105" s="20">
        <f t="shared" si="76"/>
        <v>5.9049999999999998E-2</v>
      </c>
      <c r="Y105" s="20">
        <f t="shared" si="71"/>
        <v>5.3E-3</v>
      </c>
      <c r="Z105" s="20">
        <f t="shared" si="72"/>
        <v>1.0800000000000001E-2</v>
      </c>
      <c r="AA105" s="20">
        <f t="shared" si="73"/>
        <v>2.5000000000000001E-3</v>
      </c>
      <c r="AB105" s="20">
        <f t="shared" si="74"/>
        <v>7.0000000000000001E-3</v>
      </c>
    </row>
    <row r="106" spans="1:28" x14ac:dyDescent="0.25">
      <c r="A106" s="21" t="s">
        <v>943</v>
      </c>
      <c r="B106" s="21" t="s">
        <v>11</v>
      </c>
      <c r="C106" s="25">
        <f>[1]EURNZD!$B21</f>
        <v>6.0700000000000004E-2</v>
      </c>
      <c r="D106" s="25">
        <f>[1]EURNZD!$F21</f>
        <v>4.6999999999999993E-3</v>
      </c>
      <c r="E106" s="25">
        <f>[1]EURNZD!$E21</f>
        <v>9.7000000000000003E-3</v>
      </c>
      <c r="F106" s="25">
        <f>[1]EURNZD!$D21</f>
        <v>1.9E-3</v>
      </c>
      <c r="G106" s="25">
        <f>[1]EURNZD!$C21</f>
        <v>6.6E-3</v>
      </c>
      <c r="H106" s="8"/>
      <c r="I106" s="21" t="s">
        <v>11</v>
      </c>
      <c r="J106" s="28">
        <f>'[2]G7 Cross'!$C104</f>
        <v>0.56000000000000005</v>
      </c>
      <c r="K106" s="28">
        <v>0.3</v>
      </c>
      <c r="L106" s="28">
        <v>0.6</v>
      </c>
      <c r="M106" s="28">
        <v>0.2</v>
      </c>
      <c r="N106" s="28">
        <v>0.4</v>
      </c>
      <c r="O106" s="16"/>
      <c r="P106" s="21" t="s">
        <v>11</v>
      </c>
      <c r="Q106" s="20">
        <f t="shared" si="75"/>
        <v>5.5900000000000005E-2</v>
      </c>
      <c r="R106" s="20">
        <f t="shared" si="67"/>
        <v>3.1999999999999993E-3</v>
      </c>
      <c r="S106" s="20">
        <f t="shared" si="68"/>
        <v>6.7000000000000002E-3</v>
      </c>
      <c r="T106" s="20">
        <f t="shared" si="69"/>
        <v>8.9999999999999998E-4</v>
      </c>
      <c r="U106" s="20">
        <f t="shared" si="70"/>
        <v>4.5999999999999999E-3</v>
      </c>
      <c r="V106" s="22"/>
      <c r="W106" s="21" t="s">
        <v>11</v>
      </c>
      <c r="X106" s="20">
        <f t="shared" si="76"/>
        <v>6.1499999999999999E-2</v>
      </c>
      <c r="Y106" s="20">
        <f t="shared" si="71"/>
        <v>6.1999999999999989E-3</v>
      </c>
      <c r="Z106" s="20">
        <f t="shared" si="72"/>
        <v>1.2699999999999999E-2</v>
      </c>
      <c r="AA106" s="20">
        <f t="shared" si="73"/>
        <v>2.8999999999999998E-3</v>
      </c>
      <c r="AB106" s="20">
        <f t="shared" si="74"/>
        <v>8.6E-3</v>
      </c>
    </row>
    <row r="107" spans="1:28" x14ac:dyDescent="0.25">
      <c r="A107" s="21" t="s">
        <v>943</v>
      </c>
      <c r="B107" s="21" t="s">
        <v>12</v>
      </c>
      <c r="C107" s="25">
        <f>[1]EURNZD!$B22</f>
        <v>6.4199999999999993E-2</v>
      </c>
      <c r="D107" s="25">
        <f>[1]EURNZD!$F22</f>
        <v>6.0999999999999995E-3</v>
      </c>
      <c r="E107" s="25">
        <f>[1]EURNZD!$E22</f>
        <v>1.2500000000000001E-2</v>
      </c>
      <c r="F107" s="25">
        <f>[1]EURNZD!$D22</f>
        <v>2.2000000000000001E-3</v>
      </c>
      <c r="G107" s="25">
        <f>[1]EURNZD!$C22</f>
        <v>7.7000000000000002E-3</v>
      </c>
      <c r="H107" s="8"/>
      <c r="I107" s="21" t="s">
        <v>12</v>
      </c>
      <c r="J107" s="28">
        <f>'[2]G7 Cross'!$C105</f>
        <v>0.53</v>
      </c>
      <c r="K107" s="28">
        <v>0.3</v>
      </c>
      <c r="L107" s="28">
        <v>0.6</v>
      </c>
      <c r="M107" s="28">
        <v>0.2</v>
      </c>
      <c r="N107" s="28">
        <v>0.4</v>
      </c>
      <c r="O107" s="16"/>
      <c r="P107" s="21" t="s">
        <v>12</v>
      </c>
      <c r="Q107" s="20">
        <f t="shared" si="75"/>
        <v>5.9549999999999992E-2</v>
      </c>
      <c r="R107" s="20">
        <f t="shared" si="67"/>
        <v>4.5999999999999999E-3</v>
      </c>
      <c r="S107" s="20">
        <f t="shared" si="68"/>
        <v>9.5000000000000015E-3</v>
      </c>
      <c r="T107" s="20">
        <f t="shared" si="69"/>
        <v>1.2000000000000001E-3</v>
      </c>
      <c r="U107" s="20">
        <f t="shared" si="70"/>
        <v>5.7000000000000002E-3</v>
      </c>
      <c r="V107" s="22"/>
      <c r="W107" s="21" t="s">
        <v>12</v>
      </c>
      <c r="X107" s="20">
        <f t="shared" si="76"/>
        <v>6.4849999999999991E-2</v>
      </c>
      <c r="Y107" s="20">
        <f t="shared" si="71"/>
        <v>7.5999999999999991E-3</v>
      </c>
      <c r="Z107" s="20">
        <f t="shared" si="72"/>
        <v>1.55E-2</v>
      </c>
      <c r="AA107" s="20">
        <f t="shared" si="73"/>
        <v>3.2000000000000002E-3</v>
      </c>
      <c r="AB107" s="20">
        <f t="shared" si="74"/>
        <v>9.7000000000000003E-3</v>
      </c>
    </row>
    <row r="108" spans="1:28" x14ac:dyDescent="0.25">
      <c r="A108" s="21" t="s">
        <v>943</v>
      </c>
      <c r="B108" s="21" t="s">
        <v>13</v>
      </c>
      <c r="C108" s="25">
        <f>[1]EURNZD!$B23</f>
        <v>6.59E-2</v>
      </c>
      <c r="D108" s="25">
        <f>[1]EURNZD!$F23</f>
        <v>8.199999999999999E-3</v>
      </c>
      <c r="E108" s="25">
        <f>[1]EURNZD!$E23</f>
        <v>1.7000000000000001E-2</v>
      </c>
      <c r="F108" s="25">
        <f>[1]EURNZD!$D23</f>
        <v>2.5999999999999999E-3</v>
      </c>
      <c r="G108" s="25">
        <f>[1]EURNZD!$C23</f>
        <v>9.1000000000000004E-3</v>
      </c>
      <c r="H108" s="8"/>
      <c r="I108" s="21" t="s">
        <v>13</v>
      </c>
      <c r="J108" s="28">
        <f>'[2]G7 Cross'!$C106</f>
        <v>0.53</v>
      </c>
      <c r="K108" s="28">
        <v>0.3</v>
      </c>
      <c r="L108" s="28">
        <v>0.6</v>
      </c>
      <c r="M108" s="28">
        <v>0.2</v>
      </c>
      <c r="N108" s="28">
        <v>0.4</v>
      </c>
      <c r="O108" s="16"/>
      <c r="P108" s="21" t="s">
        <v>13</v>
      </c>
      <c r="Q108" s="20">
        <f t="shared" si="75"/>
        <v>6.1249999999999999E-2</v>
      </c>
      <c r="R108" s="20">
        <f t="shared" si="67"/>
        <v>6.6999999999999994E-3</v>
      </c>
      <c r="S108" s="20">
        <f t="shared" si="68"/>
        <v>1.4000000000000002E-2</v>
      </c>
      <c r="T108" s="20">
        <f t="shared" si="69"/>
        <v>1.5999999999999999E-3</v>
      </c>
      <c r="U108" s="20">
        <f t="shared" si="70"/>
        <v>7.1000000000000004E-3</v>
      </c>
      <c r="V108" s="22"/>
      <c r="W108" s="21" t="s">
        <v>13</v>
      </c>
      <c r="X108" s="20">
        <f t="shared" si="76"/>
        <v>6.6549999999999998E-2</v>
      </c>
      <c r="Y108" s="20">
        <f t="shared" si="71"/>
        <v>9.6999999999999986E-3</v>
      </c>
      <c r="Z108" s="20">
        <f t="shared" si="72"/>
        <v>0.02</v>
      </c>
      <c r="AA108" s="20">
        <f t="shared" si="73"/>
        <v>3.5999999999999999E-3</v>
      </c>
      <c r="AB108" s="20">
        <f t="shared" si="74"/>
        <v>1.11E-2</v>
      </c>
    </row>
    <row r="109" spans="1:28" x14ac:dyDescent="0.25">
      <c r="A109" s="21" t="s">
        <v>943</v>
      </c>
      <c r="B109" s="21" t="s">
        <v>14</v>
      </c>
      <c r="C109" s="25">
        <f>[1]EURNZD!$B24</f>
        <v>6.8199999999999997E-2</v>
      </c>
      <c r="D109" s="25">
        <f>[1]EURNZD!$F24</f>
        <v>8.6E-3</v>
      </c>
      <c r="E109" s="25">
        <f>[1]EURNZD!$E24</f>
        <v>1.7500000000000002E-2</v>
      </c>
      <c r="F109" s="25">
        <f>[1]EURNZD!$D24</f>
        <v>2.7000000000000001E-3</v>
      </c>
      <c r="G109" s="25">
        <f>[1]EURNZD!$C24</f>
        <v>9.4999999999999998E-3</v>
      </c>
      <c r="H109" s="16"/>
      <c r="I109" s="21" t="s">
        <v>14</v>
      </c>
      <c r="J109" s="28">
        <f>'[2]G7 Cross'!$C107</f>
        <v>0.55000000000000004</v>
      </c>
      <c r="K109" s="28">
        <v>0.3</v>
      </c>
      <c r="L109" s="28">
        <v>0.6</v>
      </c>
      <c r="M109" s="28">
        <v>0.2</v>
      </c>
      <c r="N109" s="28">
        <v>0.4</v>
      </c>
      <c r="O109" s="16"/>
      <c r="P109" s="21" t="s">
        <v>14</v>
      </c>
      <c r="Q109" s="20">
        <f t="shared" si="75"/>
        <v>6.3449999999999993E-2</v>
      </c>
      <c r="R109" s="20">
        <f t="shared" si="67"/>
        <v>7.1000000000000004E-3</v>
      </c>
      <c r="S109" s="20">
        <f t="shared" si="68"/>
        <v>1.4500000000000002E-2</v>
      </c>
      <c r="T109" s="20">
        <f t="shared" si="69"/>
        <v>1.7000000000000001E-3</v>
      </c>
      <c r="U109" s="20">
        <f t="shared" si="70"/>
        <v>7.4999999999999997E-3</v>
      </c>
      <c r="V109" s="22"/>
      <c r="W109" s="21" t="s">
        <v>14</v>
      </c>
      <c r="X109" s="20">
        <f t="shared" si="76"/>
        <v>6.8949999999999997E-2</v>
      </c>
      <c r="Y109" s="20">
        <f t="shared" si="71"/>
        <v>1.01E-2</v>
      </c>
      <c r="Z109" s="20">
        <f t="shared" si="72"/>
        <v>2.0500000000000001E-2</v>
      </c>
      <c r="AA109" s="20">
        <f t="shared" si="73"/>
        <v>3.7000000000000002E-3</v>
      </c>
      <c r="AB109" s="20">
        <f t="shared" si="74"/>
        <v>1.15E-2</v>
      </c>
    </row>
    <row r="110" spans="1:28" x14ac:dyDescent="0.25">
      <c r="A110" s="21" t="s">
        <v>943</v>
      </c>
      <c r="B110" s="21" t="s">
        <v>876</v>
      </c>
      <c r="C110" s="25">
        <f>[1]EURNZD!$B25</f>
        <v>6.9099999999999995E-2</v>
      </c>
      <c r="D110" s="25">
        <f>[1]EURNZD!$F25</f>
        <v>8.6999999999999994E-3</v>
      </c>
      <c r="E110" s="25">
        <f>[1]EURNZD!$E25</f>
        <v>1.78E-2</v>
      </c>
      <c r="F110" s="25">
        <f>[1]EURNZD!$D25</f>
        <v>2.8000000000000004E-3</v>
      </c>
      <c r="G110" s="25">
        <f>[1]EURNZD!$C25</f>
        <v>9.7000000000000003E-3</v>
      </c>
      <c r="H110" s="16"/>
      <c r="I110" s="21" t="s">
        <v>876</v>
      </c>
      <c r="J110" s="28">
        <f>'[2]G7 Cross'!$C108</f>
        <v>0.99</v>
      </c>
      <c r="K110" s="28">
        <v>0.3</v>
      </c>
      <c r="L110" s="28">
        <v>0.6</v>
      </c>
      <c r="M110" s="28">
        <v>0.2</v>
      </c>
      <c r="N110" s="28">
        <v>0.4</v>
      </c>
      <c r="O110" s="16"/>
      <c r="P110" s="21" t="s">
        <v>876</v>
      </c>
      <c r="Q110" s="20">
        <f t="shared" si="75"/>
        <v>6.2149999999999997E-2</v>
      </c>
      <c r="R110" s="20">
        <f t="shared" si="67"/>
        <v>7.1999999999999998E-3</v>
      </c>
      <c r="S110" s="20">
        <f t="shared" si="68"/>
        <v>1.4800000000000001E-2</v>
      </c>
      <c r="T110" s="20">
        <f t="shared" si="69"/>
        <v>1.8000000000000004E-3</v>
      </c>
      <c r="U110" s="20">
        <f t="shared" si="70"/>
        <v>7.7000000000000002E-3</v>
      </c>
      <c r="V110" s="22"/>
      <c r="W110" s="21" t="s">
        <v>876</v>
      </c>
      <c r="X110" s="20">
        <f t="shared" si="76"/>
        <v>7.2049999999999989E-2</v>
      </c>
      <c r="Y110" s="20">
        <f t="shared" si="71"/>
        <v>1.0199999999999999E-2</v>
      </c>
      <c r="Z110" s="20">
        <f t="shared" si="72"/>
        <v>2.0799999999999999E-2</v>
      </c>
      <c r="AA110" s="20">
        <f t="shared" si="73"/>
        <v>3.8000000000000004E-3</v>
      </c>
      <c r="AB110" s="20">
        <f t="shared" si="74"/>
        <v>1.17E-2</v>
      </c>
    </row>
    <row r="111" spans="1:28" x14ac:dyDescent="0.25">
      <c r="A111" s="16"/>
      <c r="B111" s="16"/>
      <c r="C111" s="26"/>
      <c r="D111" s="26"/>
      <c r="E111" s="26"/>
      <c r="F111" s="26"/>
      <c r="G111" s="26"/>
      <c r="H111" s="16"/>
      <c r="I111" s="16"/>
      <c r="J111" s="16"/>
      <c r="K111" s="16"/>
      <c r="L111" s="16"/>
      <c r="M111" s="16"/>
      <c r="N111" s="16"/>
      <c r="O111" s="16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spans="1:28" x14ac:dyDescent="0.25">
      <c r="A112" s="16"/>
      <c r="B112" s="16"/>
      <c r="C112" s="26"/>
      <c r="D112" s="26"/>
      <c r="E112" s="26"/>
      <c r="F112" s="26"/>
      <c r="G112" s="26"/>
      <c r="H112" s="16"/>
      <c r="I112" s="16"/>
      <c r="J112" s="16"/>
      <c r="K112" s="16"/>
      <c r="L112" s="16"/>
      <c r="M112" s="16"/>
      <c r="N112" s="16"/>
      <c r="O112" s="16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spans="1:28" x14ac:dyDescent="0.25">
      <c r="A113" s="7" t="s">
        <v>70</v>
      </c>
      <c r="B113" s="7" t="s">
        <v>351</v>
      </c>
      <c r="C113" s="24" t="s">
        <v>347</v>
      </c>
      <c r="D113" s="24" t="s">
        <v>348</v>
      </c>
      <c r="E113" s="24" t="s">
        <v>343</v>
      </c>
      <c r="F113" s="24" t="s">
        <v>344</v>
      </c>
      <c r="G113" s="24" t="s">
        <v>345</v>
      </c>
      <c r="H113" s="8"/>
      <c r="I113" s="7" t="s">
        <v>346</v>
      </c>
      <c r="J113" s="7" t="s">
        <v>347</v>
      </c>
      <c r="K113" s="7" t="s">
        <v>348</v>
      </c>
      <c r="L113" s="7" t="s">
        <v>343</v>
      </c>
      <c r="M113" s="7" t="s">
        <v>344</v>
      </c>
      <c r="N113" s="7" t="s">
        <v>345</v>
      </c>
      <c r="O113" s="16"/>
      <c r="P113" s="7" t="s">
        <v>349</v>
      </c>
      <c r="Q113" s="7" t="s">
        <v>347</v>
      </c>
      <c r="R113" s="7" t="s">
        <v>348</v>
      </c>
      <c r="S113" s="7" t="s">
        <v>343</v>
      </c>
      <c r="T113" s="7" t="s">
        <v>344</v>
      </c>
      <c r="U113" s="7" t="s">
        <v>345</v>
      </c>
      <c r="V113" s="22"/>
      <c r="W113" s="7" t="s">
        <v>350</v>
      </c>
      <c r="X113" s="7" t="s">
        <v>347</v>
      </c>
      <c r="Y113" s="7" t="s">
        <v>348</v>
      </c>
      <c r="Z113" s="7" t="s">
        <v>343</v>
      </c>
      <c r="AA113" s="7" t="s">
        <v>344</v>
      </c>
      <c r="AB113" s="7" t="s">
        <v>345</v>
      </c>
    </row>
    <row r="114" spans="1:28" x14ac:dyDescent="0.25">
      <c r="A114" s="21" t="s">
        <v>944</v>
      </c>
      <c r="B114" s="21" t="s">
        <v>5</v>
      </c>
      <c r="C114" s="25">
        <f>[1]GBPAUD!$B15</f>
        <v>4.8899999999999999E-2</v>
      </c>
      <c r="D114" s="25">
        <f>[1]GBPAUD!$F15</f>
        <v>-4.0000000000000002E-4</v>
      </c>
      <c r="E114" s="25">
        <f>[1]GBPAUD!$E15</f>
        <v>-7.000000000000001E-4</v>
      </c>
      <c r="F114" s="25">
        <f>[1]GBPAUD!$D15</f>
        <v>1.1999999999999999E-3</v>
      </c>
      <c r="G114" s="25">
        <f>[1]GBPAUD!$C15</f>
        <v>4.4000000000000003E-3</v>
      </c>
      <c r="H114" s="8"/>
      <c r="I114" s="21" t="s">
        <v>5</v>
      </c>
      <c r="J114" s="28">
        <f>'[2]G7 Cross'!$C110</f>
        <v>1.55</v>
      </c>
      <c r="K114" s="28">
        <v>4</v>
      </c>
      <c r="L114" s="28">
        <v>8</v>
      </c>
      <c r="M114" s="28">
        <v>3</v>
      </c>
      <c r="N114" s="28">
        <v>6</v>
      </c>
      <c r="O114" s="16"/>
      <c r="P114" s="21" t="s">
        <v>5</v>
      </c>
      <c r="Q114" s="20">
        <f>(C114-J114/200)-0.002</f>
        <v>3.9149999999999997E-2</v>
      </c>
      <c r="R114" s="20">
        <f t="shared" ref="R114:R124" si="77">D114-K114/200</f>
        <v>-2.0400000000000001E-2</v>
      </c>
      <c r="S114" s="20">
        <f t="shared" ref="S114:S124" si="78">E114-L114/200</f>
        <v>-4.07E-2</v>
      </c>
      <c r="T114" s="20">
        <f t="shared" ref="T114:T124" si="79">F114-M114/200</f>
        <v>-1.38E-2</v>
      </c>
      <c r="U114" s="20">
        <f t="shared" ref="U114:U124" si="80">G114-N114/200</f>
        <v>-2.5599999999999998E-2</v>
      </c>
      <c r="V114" s="22"/>
      <c r="W114" s="21" t="s">
        <v>5</v>
      </c>
      <c r="X114" s="20">
        <f>(C114+J114/200)-0.002</f>
        <v>5.4649999999999997E-2</v>
      </c>
      <c r="Y114" s="20">
        <f t="shared" ref="Y114:Y124" si="81">D114+K114/200</f>
        <v>1.9599999999999999E-2</v>
      </c>
      <c r="Z114" s="20">
        <f t="shared" ref="Z114:Z124" si="82">E114+L114/200</f>
        <v>3.9300000000000002E-2</v>
      </c>
      <c r="AA114" s="20">
        <f t="shared" ref="AA114:AA124" si="83">F114+M114/200</f>
        <v>1.6199999999999999E-2</v>
      </c>
      <c r="AB114" s="20">
        <f t="shared" ref="AB114:AB124" si="84">G114+N114/200</f>
        <v>3.44E-2</v>
      </c>
    </row>
    <row r="115" spans="1:28" x14ac:dyDescent="0.25">
      <c r="A115" s="21" t="s">
        <v>944</v>
      </c>
      <c r="B115" s="21" t="s">
        <v>6</v>
      </c>
      <c r="C115" s="25">
        <f>[1]GBPAUD!$B16</f>
        <v>4.1799999999999997E-2</v>
      </c>
      <c r="D115" s="25">
        <f>[1]GBPAUD!$F16</f>
        <v>-8.0000000000000004E-4</v>
      </c>
      <c r="E115" s="25">
        <f>[1]GBPAUD!$E16</f>
        <v>-1.4000000000000002E-3</v>
      </c>
      <c r="F115" s="25">
        <f>[1]GBPAUD!$D16</f>
        <v>1E-3</v>
      </c>
      <c r="G115" s="25">
        <f>[1]GBPAUD!$C16</f>
        <v>3.7000000000000002E-3</v>
      </c>
      <c r="H115" s="8"/>
      <c r="I115" s="21" t="s">
        <v>6</v>
      </c>
      <c r="J115" s="28">
        <f>'[2]G7 Cross'!$C111</f>
        <v>0.95</v>
      </c>
      <c r="K115" s="28">
        <v>2</v>
      </c>
      <c r="L115" s="28">
        <v>4</v>
      </c>
      <c r="M115" s="28">
        <v>1.5</v>
      </c>
      <c r="N115" s="28">
        <v>3</v>
      </c>
      <c r="O115" s="16"/>
      <c r="P115" s="21" t="s">
        <v>6</v>
      </c>
      <c r="Q115" s="20">
        <f t="shared" ref="Q115:Q124" si="85">(C115-J115/200)-0.002</f>
        <v>3.5049999999999998E-2</v>
      </c>
      <c r="R115" s="20">
        <f t="shared" si="77"/>
        <v>-1.0800000000000001E-2</v>
      </c>
      <c r="S115" s="20">
        <f t="shared" si="78"/>
        <v>-2.1400000000000002E-2</v>
      </c>
      <c r="T115" s="20">
        <f t="shared" si="79"/>
        <v>-6.4999999999999997E-3</v>
      </c>
      <c r="U115" s="20">
        <f t="shared" si="80"/>
        <v>-1.1299999999999999E-2</v>
      </c>
      <c r="V115" s="22"/>
      <c r="W115" s="21" t="s">
        <v>6</v>
      </c>
      <c r="X115" s="20">
        <f t="shared" ref="X115:X124" si="86">(C115+J115/200)-0.002</f>
        <v>4.4549999999999992E-2</v>
      </c>
      <c r="Y115" s="20">
        <f t="shared" si="81"/>
        <v>9.1999999999999998E-3</v>
      </c>
      <c r="Z115" s="20">
        <f t="shared" si="82"/>
        <v>1.8599999999999998E-2</v>
      </c>
      <c r="AA115" s="20">
        <f t="shared" si="83"/>
        <v>8.5000000000000006E-3</v>
      </c>
      <c r="AB115" s="20">
        <f t="shared" si="84"/>
        <v>1.8700000000000001E-2</v>
      </c>
    </row>
    <row r="116" spans="1:28" x14ac:dyDescent="0.25">
      <c r="A116" s="21" t="s">
        <v>944</v>
      </c>
      <c r="B116" s="21" t="s">
        <v>7</v>
      </c>
      <c r="C116" s="25">
        <f>[1]GBPAUD!$B17</f>
        <v>4.5899999999999996E-2</v>
      </c>
      <c r="D116" s="25">
        <f>[1]GBPAUD!$F17</f>
        <v>-8.9999999999999998E-4</v>
      </c>
      <c r="E116" s="25">
        <f>[1]GBPAUD!$E17</f>
        <v>-1.6000000000000001E-3</v>
      </c>
      <c r="F116" s="25">
        <f>[1]GBPAUD!$D17</f>
        <v>1.1000000000000001E-3</v>
      </c>
      <c r="G116" s="25">
        <f>[1]GBPAUD!$C17</f>
        <v>3.9000000000000003E-3</v>
      </c>
      <c r="H116" s="8"/>
      <c r="I116" s="21" t="s">
        <v>7</v>
      </c>
      <c r="J116" s="28">
        <f>'[2]G7 Cross'!$C112</f>
        <v>0.68</v>
      </c>
      <c r="K116" s="28">
        <v>1.5</v>
      </c>
      <c r="L116" s="28">
        <v>3</v>
      </c>
      <c r="M116" s="28">
        <v>1</v>
      </c>
      <c r="N116" s="28">
        <v>2</v>
      </c>
      <c r="O116" s="16"/>
      <c r="P116" s="21" t="s">
        <v>7</v>
      </c>
      <c r="Q116" s="20">
        <f t="shared" si="85"/>
        <v>4.0499999999999994E-2</v>
      </c>
      <c r="R116" s="20">
        <f t="shared" si="77"/>
        <v>-8.3999999999999995E-3</v>
      </c>
      <c r="S116" s="20">
        <f t="shared" si="78"/>
        <v>-1.66E-2</v>
      </c>
      <c r="T116" s="20">
        <f t="shared" si="79"/>
        <v>-3.8999999999999998E-3</v>
      </c>
      <c r="U116" s="20">
        <f t="shared" si="80"/>
        <v>-6.0999999999999995E-3</v>
      </c>
      <c r="V116" s="22"/>
      <c r="W116" s="21" t="s">
        <v>7</v>
      </c>
      <c r="X116" s="20">
        <f t="shared" si="86"/>
        <v>4.7299999999999995E-2</v>
      </c>
      <c r="Y116" s="20">
        <f t="shared" si="81"/>
        <v>6.6E-3</v>
      </c>
      <c r="Z116" s="20">
        <f t="shared" si="82"/>
        <v>1.3399999999999999E-2</v>
      </c>
      <c r="AA116" s="20">
        <f t="shared" si="83"/>
        <v>6.1000000000000004E-3</v>
      </c>
      <c r="AB116" s="20">
        <f t="shared" si="84"/>
        <v>1.3900000000000001E-2</v>
      </c>
    </row>
    <row r="117" spans="1:28" x14ac:dyDescent="0.25">
      <c r="A117" s="21" t="s">
        <v>944</v>
      </c>
      <c r="B117" s="21" t="s">
        <v>8</v>
      </c>
      <c r="C117" s="25">
        <f>[1]GBPAUD!$B18</f>
        <v>5.0199999999999995E-2</v>
      </c>
      <c r="D117" s="25">
        <f>[1]GBPAUD!$F18</f>
        <v>-8.9999999999999998E-4</v>
      </c>
      <c r="E117" s="25">
        <f>[1]GBPAUD!$E18</f>
        <v>-1.6000000000000001E-3</v>
      </c>
      <c r="F117" s="25">
        <f>[1]GBPAUD!$D18</f>
        <v>1E-3</v>
      </c>
      <c r="G117" s="25">
        <f>[1]GBPAUD!$C18</f>
        <v>3.8E-3</v>
      </c>
      <c r="H117" s="8"/>
      <c r="I117" s="21" t="s">
        <v>8</v>
      </c>
      <c r="J117" s="28">
        <f>'[2]G7 Cross'!$C113</f>
        <v>0.27</v>
      </c>
      <c r="K117" s="28">
        <v>1.5</v>
      </c>
      <c r="L117" s="28">
        <v>3</v>
      </c>
      <c r="M117" s="28">
        <v>1</v>
      </c>
      <c r="N117" s="28">
        <v>2</v>
      </c>
      <c r="O117" s="16"/>
      <c r="P117" s="21" t="s">
        <v>8</v>
      </c>
      <c r="Q117" s="20">
        <f t="shared" si="85"/>
        <v>4.6849999999999996E-2</v>
      </c>
      <c r="R117" s="20">
        <f t="shared" si="77"/>
        <v>-8.3999999999999995E-3</v>
      </c>
      <c r="S117" s="20">
        <f t="shared" si="78"/>
        <v>-1.66E-2</v>
      </c>
      <c r="T117" s="20">
        <f t="shared" si="79"/>
        <v>-4.0000000000000001E-3</v>
      </c>
      <c r="U117" s="20">
        <f t="shared" si="80"/>
        <v>-6.2000000000000006E-3</v>
      </c>
      <c r="V117" s="22"/>
      <c r="W117" s="21" t="s">
        <v>8</v>
      </c>
      <c r="X117" s="20">
        <f t="shared" si="86"/>
        <v>4.954999999999999E-2</v>
      </c>
      <c r="Y117" s="20">
        <f t="shared" si="81"/>
        <v>6.6E-3</v>
      </c>
      <c r="Z117" s="20">
        <f t="shared" si="82"/>
        <v>1.3399999999999999E-2</v>
      </c>
      <c r="AA117" s="20">
        <f t="shared" si="83"/>
        <v>6.0000000000000001E-3</v>
      </c>
      <c r="AB117" s="20">
        <f t="shared" si="84"/>
        <v>1.38E-2</v>
      </c>
    </row>
    <row r="118" spans="1:28" x14ac:dyDescent="0.25">
      <c r="A118" s="21" t="s">
        <v>944</v>
      </c>
      <c r="B118" s="21" t="s">
        <v>9</v>
      </c>
      <c r="C118" s="25">
        <f>[1]GBPAUD!$B19</f>
        <v>5.4100000000000002E-2</v>
      </c>
      <c r="D118" s="25">
        <f>[1]GBPAUD!$F19</f>
        <v>-1E-3</v>
      </c>
      <c r="E118" s="25">
        <f>[1]GBPAUD!$E19</f>
        <v>-1.8E-3</v>
      </c>
      <c r="F118" s="25">
        <f>[1]GBPAUD!$D19</f>
        <v>1.1999999999999999E-3</v>
      </c>
      <c r="G118" s="25">
        <f>[1]GBPAUD!$C19</f>
        <v>4.4000000000000003E-3</v>
      </c>
      <c r="H118" s="8"/>
      <c r="I118" s="21" t="s">
        <v>9</v>
      </c>
      <c r="J118" s="28">
        <f>'[2]G7 Cross'!$C114</f>
        <v>0.27</v>
      </c>
      <c r="K118" s="28">
        <v>0.8</v>
      </c>
      <c r="L118" s="28">
        <v>1.6</v>
      </c>
      <c r="M118" s="28">
        <v>0.5</v>
      </c>
      <c r="N118" s="28">
        <v>1</v>
      </c>
      <c r="O118" s="16"/>
      <c r="P118" s="21" t="s">
        <v>9</v>
      </c>
      <c r="Q118" s="20">
        <f t="shared" si="85"/>
        <v>5.0750000000000003E-2</v>
      </c>
      <c r="R118" s="20">
        <f t="shared" si="77"/>
        <v>-5.0000000000000001E-3</v>
      </c>
      <c r="S118" s="20">
        <f t="shared" si="78"/>
        <v>-9.7999999999999997E-3</v>
      </c>
      <c r="T118" s="20">
        <f t="shared" si="79"/>
        <v>-1.3000000000000002E-3</v>
      </c>
      <c r="U118" s="20">
        <f t="shared" si="80"/>
        <v>-5.9999999999999984E-4</v>
      </c>
      <c r="V118" s="22"/>
      <c r="W118" s="21" t="s">
        <v>9</v>
      </c>
      <c r="X118" s="20">
        <f t="shared" si="86"/>
        <v>5.3449999999999998E-2</v>
      </c>
      <c r="Y118" s="20">
        <f t="shared" si="81"/>
        <v>3.0000000000000001E-3</v>
      </c>
      <c r="Z118" s="20">
        <f t="shared" si="82"/>
        <v>6.2000000000000006E-3</v>
      </c>
      <c r="AA118" s="20">
        <f t="shared" si="83"/>
        <v>3.7000000000000002E-3</v>
      </c>
      <c r="AB118" s="20">
        <f t="shared" si="84"/>
        <v>9.4000000000000004E-3</v>
      </c>
    </row>
    <row r="119" spans="1:28" x14ac:dyDescent="0.25">
      <c r="A119" s="21" t="s">
        <v>944</v>
      </c>
      <c r="B119" s="21" t="s">
        <v>10</v>
      </c>
      <c r="C119" s="25">
        <f>[1]GBPAUD!$B20</f>
        <v>5.57E-2</v>
      </c>
      <c r="D119" s="25">
        <f>[1]GBPAUD!$F20</f>
        <v>-1E-3</v>
      </c>
      <c r="E119" s="25">
        <f>[1]GBPAUD!$E20</f>
        <v>-1.9E-3</v>
      </c>
      <c r="F119" s="25">
        <f>[1]GBPAUD!$D20</f>
        <v>1.2999999999999999E-3</v>
      </c>
      <c r="G119" s="25">
        <f>[1]GBPAUD!$C20</f>
        <v>4.7999999999999996E-3</v>
      </c>
      <c r="H119" s="8"/>
      <c r="I119" s="21" t="s">
        <v>10</v>
      </c>
      <c r="J119" s="28">
        <f>'[2]G7 Cross'!$C115</f>
        <v>0.28000000000000003</v>
      </c>
      <c r="K119" s="28">
        <v>0.8</v>
      </c>
      <c r="L119" s="28">
        <v>1.6</v>
      </c>
      <c r="M119" s="28">
        <v>0.5</v>
      </c>
      <c r="N119" s="28">
        <v>1</v>
      </c>
      <c r="O119" s="16"/>
      <c r="P119" s="21" t="s">
        <v>10</v>
      </c>
      <c r="Q119" s="20">
        <f t="shared" si="85"/>
        <v>5.2299999999999999E-2</v>
      </c>
      <c r="R119" s="20">
        <f t="shared" si="77"/>
        <v>-5.0000000000000001E-3</v>
      </c>
      <c r="S119" s="20">
        <f t="shared" si="78"/>
        <v>-9.9000000000000008E-3</v>
      </c>
      <c r="T119" s="20">
        <f t="shared" si="79"/>
        <v>-1.2000000000000001E-3</v>
      </c>
      <c r="U119" s="20">
        <f t="shared" si="80"/>
        <v>-2.0000000000000052E-4</v>
      </c>
      <c r="V119" s="22"/>
      <c r="W119" s="21" t="s">
        <v>10</v>
      </c>
      <c r="X119" s="20">
        <f t="shared" si="86"/>
        <v>5.5099999999999996E-2</v>
      </c>
      <c r="Y119" s="20">
        <f t="shared" si="81"/>
        <v>3.0000000000000001E-3</v>
      </c>
      <c r="Z119" s="20">
        <f t="shared" si="82"/>
        <v>6.1000000000000004E-3</v>
      </c>
      <c r="AA119" s="20">
        <f t="shared" si="83"/>
        <v>3.8E-3</v>
      </c>
      <c r="AB119" s="20">
        <f t="shared" si="84"/>
        <v>9.7999999999999997E-3</v>
      </c>
    </row>
    <row r="120" spans="1:28" x14ac:dyDescent="0.25">
      <c r="A120" s="21" t="s">
        <v>944</v>
      </c>
      <c r="B120" s="21" t="s">
        <v>11</v>
      </c>
      <c r="C120" s="25">
        <f>[1]GBPAUD!$B21</f>
        <v>6.0100000000000001E-2</v>
      </c>
      <c r="D120" s="25">
        <f>[1]GBPAUD!$F21</f>
        <v>-1.1000000000000001E-3</v>
      </c>
      <c r="E120" s="25">
        <f>[1]GBPAUD!$E21</f>
        <v>-1.9E-3</v>
      </c>
      <c r="F120" s="25">
        <f>[1]GBPAUD!$D21</f>
        <v>1.6000000000000001E-3</v>
      </c>
      <c r="G120" s="25">
        <f>[1]GBPAUD!$C21</f>
        <v>6.1999999999999998E-3</v>
      </c>
      <c r="H120" s="8"/>
      <c r="I120" s="21" t="s">
        <v>11</v>
      </c>
      <c r="J120" s="28">
        <f>'[2]G7 Cross'!$C116</f>
        <v>0.25</v>
      </c>
      <c r="K120" s="28">
        <v>0.8</v>
      </c>
      <c r="L120" s="28">
        <v>1.6</v>
      </c>
      <c r="M120" s="28">
        <v>0.5</v>
      </c>
      <c r="N120" s="28">
        <v>1</v>
      </c>
      <c r="O120" s="16"/>
      <c r="P120" s="21" t="s">
        <v>11</v>
      </c>
      <c r="Q120" s="20">
        <f t="shared" si="85"/>
        <v>5.6849999999999998E-2</v>
      </c>
      <c r="R120" s="20">
        <f t="shared" si="77"/>
        <v>-5.1000000000000004E-3</v>
      </c>
      <c r="S120" s="20">
        <f t="shared" si="78"/>
        <v>-9.9000000000000008E-3</v>
      </c>
      <c r="T120" s="20">
        <f t="shared" si="79"/>
        <v>-8.9999999999999998E-4</v>
      </c>
      <c r="U120" s="20">
        <f t="shared" si="80"/>
        <v>1.1999999999999997E-3</v>
      </c>
      <c r="V120" s="22"/>
      <c r="W120" s="21" t="s">
        <v>11</v>
      </c>
      <c r="X120" s="20">
        <f t="shared" si="86"/>
        <v>5.935E-2</v>
      </c>
      <c r="Y120" s="20">
        <f t="shared" si="81"/>
        <v>2.8999999999999998E-3</v>
      </c>
      <c r="Z120" s="20">
        <f t="shared" si="82"/>
        <v>6.1000000000000004E-3</v>
      </c>
      <c r="AA120" s="20">
        <f t="shared" si="83"/>
        <v>4.1000000000000003E-3</v>
      </c>
      <c r="AB120" s="20">
        <f t="shared" si="84"/>
        <v>1.12E-2</v>
      </c>
    </row>
    <row r="121" spans="1:28" x14ac:dyDescent="0.25">
      <c r="A121" s="21" t="s">
        <v>944</v>
      </c>
      <c r="B121" s="21" t="s">
        <v>12</v>
      </c>
      <c r="C121" s="25">
        <f>[1]GBPAUD!$B22</f>
        <v>6.3799999999999996E-2</v>
      </c>
      <c r="D121" s="25">
        <f>[1]GBPAUD!$F22</f>
        <v>-1.1000000000000001E-3</v>
      </c>
      <c r="E121" s="25">
        <f>[1]GBPAUD!$E22</f>
        <v>-1.8E-3</v>
      </c>
      <c r="F121" s="25">
        <f>[1]GBPAUD!$D22</f>
        <v>2E-3</v>
      </c>
      <c r="G121" s="25">
        <f>[1]GBPAUD!$C22</f>
        <v>7.6E-3</v>
      </c>
      <c r="H121" s="8"/>
      <c r="I121" s="21" t="s">
        <v>12</v>
      </c>
      <c r="J121" s="28">
        <f>'[2]G7 Cross'!$C117</f>
        <v>0.25</v>
      </c>
      <c r="K121" s="28">
        <v>0.8</v>
      </c>
      <c r="L121" s="28">
        <v>1.6</v>
      </c>
      <c r="M121" s="28">
        <v>0.5</v>
      </c>
      <c r="N121" s="28">
        <v>1</v>
      </c>
      <c r="O121" s="16"/>
      <c r="P121" s="21" t="s">
        <v>12</v>
      </c>
      <c r="Q121" s="20">
        <f t="shared" si="85"/>
        <v>6.0549999999999993E-2</v>
      </c>
      <c r="R121" s="20">
        <f t="shared" si="77"/>
        <v>-5.1000000000000004E-3</v>
      </c>
      <c r="S121" s="20">
        <f t="shared" si="78"/>
        <v>-9.7999999999999997E-3</v>
      </c>
      <c r="T121" s="20">
        <f t="shared" si="79"/>
        <v>-5.0000000000000001E-4</v>
      </c>
      <c r="U121" s="20">
        <f t="shared" si="80"/>
        <v>2.5999999999999999E-3</v>
      </c>
      <c r="V121" s="22"/>
      <c r="W121" s="21" t="s">
        <v>12</v>
      </c>
      <c r="X121" s="20">
        <f t="shared" si="86"/>
        <v>6.3049999999999995E-2</v>
      </c>
      <c r="Y121" s="20">
        <f t="shared" si="81"/>
        <v>2.8999999999999998E-3</v>
      </c>
      <c r="Z121" s="20">
        <f t="shared" si="82"/>
        <v>6.2000000000000006E-3</v>
      </c>
      <c r="AA121" s="20">
        <f t="shared" si="83"/>
        <v>4.5000000000000005E-3</v>
      </c>
      <c r="AB121" s="20">
        <f t="shared" si="84"/>
        <v>1.26E-2</v>
      </c>
    </row>
    <row r="122" spans="1:28" x14ac:dyDescent="0.25">
      <c r="A122" s="21" t="s">
        <v>944</v>
      </c>
      <c r="B122" s="21" t="s">
        <v>13</v>
      </c>
      <c r="C122" s="25">
        <f>[1]GBPAUD!$B23</f>
        <v>6.6799999999999998E-2</v>
      </c>
      <c r="D122" s="25">
        <f>[1]GBPAUD!$F23</f>
        <v>-8.9999999999999998E-4</v>
      </c>
      <c r="E122" s="25">
        <f>[1]GBPAUD!$E23</f>
        <v>-1.2999999999999999E-3</v>
      </c>
      <c r="F122" s="25">
        <f>[1]GBPAUD!$D23</f>
        <v>2.3E-3</v>
      </c>
      <c r="G122" s="25">
        <f>[1]GBPAUD!$C23</f>
        <v>9.1000000000000004E-3</v>
      </c>
      <c r="H122" s="8"/>
      <c r="I122" s="21" t="s">
        <v>13</v>
      </c>
      <c r="J122" s="28">
        <f>'[2]G7 Cross'!$C118</f>
        <v>0.26</v>
      </c>
      <c r="K122" s="28">
        <v>0.8</v>
      </c>
      <c r="L122" s="28">
        <v>1.6</v>
      </c>
      <c r="M122" s="28">
        <v>0.5</v>
      </c>
      <c r="N122" s="28">
        <v>1</v>
      </c>
      <c r="O122" s="16"/>
      <c r="P122" s="21" t="s">
        <v>13</v>
      </c>
      <c r="Q122" s="20">
        <f t="shared" si="85"/>
        <v>6.3500000000000001E-2</v>
      </c>
      <c r="R122" s="20">
        <f t="shared" si="77"/>
        <v>-4.8999999999999998E-3</v>
      </c>
      <c r="S122" s="20">
        <f t="shared" si="78"/>
        <v>-9.2999999999999992E-3</v>
      </c>
      <c r="T122" s="20">
        <f t="shared" si="79"/>
        <v>-2.0000000000000009E-4</v>
      </c>
      <c r="U122" s="20">
        <f t="shared" si="80"/>
        <v>4.1000000000000003E-3</v>
      </c>
      <c r="V122" s="22"/>
      <c r="W122" s="21" t="s">
        <v>13</v>
      </c>
      <c r="X122" s="20">
        <f t="shared" si="86"/>
        <v>6.6099999999999992E-2</v>
      </c>
      <c r="Y122" s="20">
        <f t="shared" si="81"/>
        <v>3.1000000000000003E-3</v>
      </c>
      <c r="Z122" s="20">
        <f t="shared" si="82"/>
        <v>6.7000000000000002E-3</v>
      </c>
      <c r="AA122" s="20">
        <f t="shared" si="83"/>
        <v>4.8000000000000004E-3</v>
      </c>
      <c r="AB122" s="20">
        <f t="shared" si="84"/>
        <v>1.4100000000000001E-2</v>
      </c>
    </row>
    <row r="123" spans="1:28" x14ac:dyDescent="0.25">
      <c r="A123" s="21" t="s">
        <v>944</v>
      </c>
      <c r="B123" s="21" t="s">
        <v>14</v>
      </c>
      <c r="C123" s="25">
        <f>[1]GBPAUD!$B24</f>
        <v>7.1500000000000008E-2</v>
      </c>
      <c r="D123" s="25">
        <f>[1]GBPAUD!$F24</f>
        <v>-1E-3</v>
      </c>
      <c r="E123" s="25">
        <f>[1]GBPAUD!$E24</f>
        <v>-1.1999999999999999E-3</v>
      </c>
      <c r="F123" s="25">
        <f>[1]GBPAUD!$D24</f>
        <v>2.7000000000000001E-3</v>
      </c>
      <c r="G123" s="25">
        <f>[1]GBPAUD!$C24</f>
        <v>1.01E-2</v>
      </c>
      <c r="H123" s="16"/>
      <c r="I123" s="21" t="s">
        <v>14</v>
      </c>
      <c r="J123" s="28">
        <f>'[2]G7 Cross'!$C119</f>
        <v>0.4</v>
      </c>
      <c r="K123" s="28">
        <v>1.2</v>
      </c>
      <c r="L123" s="28">
        <v>2.4</v>
      </c>
      <c r="M123" s="28">
        <v>0.8</v>
      </c>
      <c r="N123" s="28">
        <v>1.6</v>
      </c>
      <c r="O123" s="16"/>
      <c r="P123" s="21" t="s">
        <v>14</v>
      </c>
      <c r="Q123" s="20">
        <f t="shared" si="85"/>
        <v>6.7500000000000004E-2</v>
      </c>
      <c r="R123" s="20">
        <f t="shared" si="77"/>
        <v>-7.0000000000000001E-3</v>
      </c>
      <c r="S123" s="20">
        <f t="shared" si="78"/>
        <v>-1.32E-2</v>
      </c>
      <c r="T123" s="20">
        <f t="shared" si="79"/>
        <v>-1.2999999999999999E-3</v>
      </c>
      <c r="U123" s="20">
        <f t="shared" si="80"/>
        <v>2.0999999999999994E-3</v>
      </c>
      <c r="V123" s="22"/>
      <c r="W123" s="21" t="s">
        <v>14</v>
      </c>
      <c r="X123" s="20">
        <f t="shared" si="86"/>
        <v>7.1500000000000008E-2</v>
      </c>
      <c r="Y123" s="20">
        <f t="shared" si="81"/>
        <v>5.0000000000000001E-3</v>
      </c>
      <c r="Z123" s="20">
        <f t="shared" si="82"/>
        <v>1.0800000000000001E-2</v>
      </c>
      <c r="AA123" s="20">
        <f t="shared" si="83"/>
        <v>6.7000000000000002E-3</v>
      </c>
      <c r="AB123" s="20">
        <f t="shared" si="84"/>
        <v>1.8099999999999998E-2</v>
      </c>
    </row>
    <row r="124" spans="1:28" x14ac:dyDescent="0.25">
      <c r="A124" s="21" t="s">
        <v>944</v>
      </c>
      <c r="B124" s="21" t="s">
        <v>876</v>
      </c>
      <c r="C124" s="25">
        <f>[1]GBPAUD!$B25</f>
        <v>7.4700000000000003E-2</v>
      </c>
      <c r="D124" s="25">
        <f>[1]GBPAUD!$F25</f>
        <v>-1E-3</v>
      </c>
      <c r="E124" s="25">
        <f>[1]GBPAUD!$E25</f>
        <v>-1E-3</v>
      </c>
      <c r="F124" s="25">
        <f>[1]GBPAUD!$D25</f>
        <v>2.8000000000000004E-3</v>
      </c>
      <c r="G124" s="25">
        <f>[1]GBPAUD!$C25</f>
        <v>1.0500000000000001E-2</v>
      </c>
      <c r="H124" s="16"/>
      <c r="I124" s="21" t="s">
        <v>876</v>
      </c>
      <c r="J124" s="28">
        <f>'[2]G7 Cross'!$C120</f>
        <v>0.54</v>
      </c>
      <c r="K124" s="28">
        <v>1.2</v>
      </c>
      <c r="L124" s="28">
        <v>2.4</v>
      </c>
      <c r="M124" s="28">
        <v>0.8</v>
      </c>
      <c r="N124" s="28">
        <v>1.6</v>
      </c>
      <c r="O124" s="16"/>
      <c r="P124" s="21" t="s">
        <v>876</v>
      </c>
      <c r="Q124" s="20">
        <f t="shared" si="85"/>
        <v>7.0000000000000007E-2</v>
      </c>
      <c r="R124" s="20">
        <f t="shared" si="77"/>
        <v>-7.0000000000000001E-3</v>
      </c>
      <c r="S124" s="20">
        <f t="shared" si="78"/>
        <v>-1.3000000000000001E-2</v>
      </c>
      <c r="T124" s="20">
        <f t="shared" si="79"/>
        <v>-1.1999999999999997E-3</v>
      </c>
      <c r="U124" s="20">
        <f t="shared" si="80"/>
        <v>2.5000000000000005E-3</v>
      </c>
      <c r="V124" s="22"/>
      <c r="W124" s="21" t="s">
        <v>876</v>
      </c>
      <c r="X124" s="20">
        <f t="shared" si="86"/>
        <v>7.5399999999999995E-2</v>
      </c>
      <c r="Y124" s="20">
        <f t="shared" si="81"/>
        <v>5.0000000000000001E-3</v>
      </c>
      <c r="Z124" s="20">
        <f t="shared" si="82"/>
        <v>1.0999999999999999E-2</v>
      </c>
      <c r="AA124" s="20">
        <f t="shared" si="83"/>
        <v>6.8000000000000005E-3</v>
      </c>
      <c r="AB124" s="20">
        <f t="shared" si="84"/>
        <v>1.8500000000000003E-2</v>
      </c>
    </row>
    <row r="125" spans="1:28" x14ac:dyDescent="0.25">
      <c r="A125" s="16"/>
      <c r="B125" s="16"/>
      <c r="C125" s="26"/>
      <c r="D125" s="26"/>
      <c r="E125" s="26"/>
      <c r="F125" s="26"/>
      <c r="G125" s="26"/>
      <c r="H125" s="16"/>
      <c r="I125" s="16"/>
      <c r="J125" s="16"/>
      <c r="K125" s="16"/>
      <c r="L125" s="16"/>
      <c r="M125" s="16"/>
      <c r="N125" s="16"/>
      <c r="O125" s="16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spans="1:28" x14ac:dyDescent="0.25">
      <c r="A126" s="16"/>
      <c r="B126" s="16"/>
      <c r="C126" s="26"/>
      <c r="D126" s="26"/>
      <c r="E126" s="26"/>
      <c r="F126" s="26"/>
      <c r="G126" s="26"/>
      <c r="H126" s="16"/>
      <c r="I126" s="16"/>
      <c r="J126" s="16"/>
      <c r="K126" s="16"/>
      <c r="L126" s="16"/>
      <c r="M126" s="16"/>
      <c r="N126" s="16"/>
      <c r="O126" s="16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spans="1:28" x14ac:dyDescent="0.25">
      <c r="A127" s="7" t="s">
        <v>70</v>
      </c>
      <c r="B127" s="7" t="s">
        <v>327</v>
      </c>
      <c r="C127" s="24" t="s">
        <v>311</v>
      </c>
      <c r="D127" s="24" t="s">
        <v>312</v>
      </c>
      <c r="E127" s="24" t="s">
        <v>313</v>
      </c>
      <c r="F127" s="24" t="s">
        <v>314</v>
      </c>
      <c r="G127" s="24" t="s">
        <v>315</v>
      </c>
      <c r="H127" s="8"/>
      <c r="I127" s="7" t="s">
        <v>328</v>
      </c>
      <c r="J127" s="7" t="s">
        <v>311</v>
      </c>
      <c r="K127" s="7" t="s">
        <v>312</v>
      </c>
      <c r="L127" s="7" t="s">
        <v>313</v>
      </c>
      <c r="M127" s="7" t="s">
        <v>314</v>
      </c>
      <c r="N127" s="7" t="s">
        <v>315</v>
      </c>
      <c r="O127" s="16"/>
      <c r="P127" s="7" t="s">
        <v>349</v>
      </c>
      <c r="Q127" s="7" t="s">
        <v>311</v>
      </c>
      <c r="R127" s="7" t="s">
        <v>312</v>
      </c>
      <c r="S127" s="7" t="s">
        <v>313</v>
      </c>
      <c r="T127" s="7" t="s">
        <v>314</v>
      </c>
      <c r="U127" s="7" t="s">
        <v>315</v>
      </c>
      <c r="V127" s="22"/>
      <c r="W127" s="7" t="s">
        <v>318</v>
      </c>
      <c r="X127" s="7" t="s">
        <v>311</v>
      </c>
      <c r="Y127" s="7" t="s">
        <v>312</v>
      </c>
      <c r="Z127" s="7" t="s">
        <v>313</v>
      </c>
      <c r="AA127" s="7" t="s">
        <v>314</v>
      </c>
      <c r="AB127" s="7" t="s">
        <v>315</v>
      </c>
    </row>
    <row r="128" spans="1:28" x14ac:dyDescent="0.25">
      <c r="A128" s="21" t="s">
        <v>1888</v>
      </c>
      <c r="B128" s="21" t="s">
        <v>5</v>
      </c>
      <c r="C128" s="25">
        <f>[1]AUDCHF!$B15</f>
        <v>6.8099999999999994E-2</v>
      </c>
      <c r="D128" s="25">
        <f>[1]AUDCHF!$F15</f>
        <v>-7.7000000000000002E-3</v>
      </c>
      <c r="E128" s="25">
        <f>[1]AUDCHF!$E15</f>
        <v>-1.4999999999999999E-2</v>
      </c>
      <c r="F128" s="25">
        <f>[1]AUDCHF!$D15</f>
        <v>1.5E-3</v>
      </c>
      <c r="G128" s="25">
        <f>[1]AUDCHF!$C15</f>
        <v>5.5000000000000005E-3</v>
      </c>
      <c r="H128" s="8"/>
      <c r="I128" s="21" t="s">
        <v>5</v>
      </c>
      <c r="J128" s="28">
        <f>'[2]G7 Cross'!$C122</f>
        <v>2.73</v>
      </c>
      <c r="K128" s="28">
        <v>4</v>
      </c>
      <c r="L128" s="28">
        <v>8</v>
      </c>
      <c r="M128" s="28">
        <v>3</v>
      </c>
      <c r="N128" s="28">
        <v>6</v>
      </c>
      <c r="O128" s="16"/>
      <c r="P128" s="21" t="s">
        <v>5</v>
      </c>
      <c r="Q128" s="20">
        <f>(C128-J128/200)-0.002</f>
        <v>5.244999999999999E-2</v>
      </c>
      <c r="R128" s="20">
        <f t="shared" ref="R128:R138" si="87">D128-K128/200</f>
        <v>-2.7700000000000002E-2</v>
      </c>
      <c r="S128" s="20">
        <f t="shared" ref="S128:S138" si="88">E128-L128/200</f>
        <v>-5.5E-2</v>
      </c>
      <c r="T128" s="20">
        <f t="shared" ref="T128:T138" si="89">F128-M128/200</f>
        <v>-1.35E-2</v>
      </c>
      <c r="U128" s="20">
        <f t="shared" ref="U128:U138" si="90">G128-N128/200</f>
        <v>-2.4499999999999997E-2</v>
      </c>
      <c r="V128" s="22"/>
      <c r="W128" s="21" t="s">
        <v>5</v>
      </c>
      <c r="X128" s="20">
        <f>(C128+J128/200)-0.002</f>
        <v>7.9749999999999988E-2</v>
      </c>
      <c r="Y128" s="20">
        <f t="shared" ref="Y128:Y138" si="91">D128+K128/200</f>
        <v>1.23E-2</v>
      </c>
      <c r="Z128" s="20">
        <f t="shared" ref="Z128:Z138" si="92">E128+L128/200</f>
        <v>2.5000000000000001E-2</v>
      </c>
      <c r="AA128" s="20">
        <f t="shared" ref="AA128:AA138" si="93">F128+M128/200</f>
        <v>1.6500000000000001E-2</v>
      </c>
      <c r="AB128" s="20">
        <f t="shared" ref="AB128:AB138" si="94">G128+N128/200</f>
        <v>3.5499999999999997E-2</v>
      </c>
    </row>
    <row r="129" spans="1:28" x14ac:dyDescent="0.25">
      <c r="A129" s="21" t="s">
        <v>1888</v>
      </c>
      <c r="B129" s="21" t="s">
        <v>6</v>
      </c>
      <c r="C129" s="25">
        <f>[1]AUDCHF!$B16</f>
        <v>5.4100000000000002E-2</v>
      </c>
      <c r="D129" s="25">
        <f>[1]AUDCHF!$F16</f>
        <v>-7.0999999999999995E-3</v>
      </c>
      <c r="E129" s="25">
        <f>[1]AUDCHF!$E16</f>
        <v>-1.3899999999999999E-2</v>
      </c>
      <c r="F129" s="25">
        <f>[1]AUDCHF!$D16</f>
        <v>1.1999999999999999E-3</v>
      </c>
      <c r="G129" s="25">
        <f>[1]AUDCHF!$C16</f>
        <v>4.5999999999999999E-3</v>
      </c>
      <c r="H129" s="8"/>
      <c r="I129" s="21" t="s">
        <v>6</v>
      </c>
      <c r="J129" s="28">
        <f>'[2]G7 Cross'!$C123</f>
        <v>0.86</v>
      </c>
      <c r="K129" s="28">
        <v>2</v>
      </c>
      <c r="L129" s="28">
        <v>4</v>
      </c>
      <c r="M129" s="28">
        <v>1.5</v>
      </c>
      <c r="N129" s="28">
        <v>3</v>
      </c>
      <c r="O129" s="16"/>
      <c r="P129" s="21" t="s">
        <v>6</v>
      </c>
      <c r="Q129" s="20">
        <f t="shared" ref="Q129:Q138" si="95">(C129-J129/200)-0.002</f>
        <v>4.7800000000000002E-2</v>
      </c>
      <c r="R129" s="20">
        <f t="shared" si="87"/>
        <v>-1.7100000000000001E-2</v>
      </c>
      <c r="S129" s="20">
        <f t="shared" si="88"/>
        <v>-3.39E-2</v>
      </c>
      <c r="T129" s="20">
        <f t="shared" si="89"/>
        <v>-6.3E-3</v>
      </c>
      <c r="U129" s="20">
        <f t="shared" si="90"/>
        <v>-1.04E-2</v>
      </c>
      <c r="V129" s="22"/>
      <c r="W129" s="21" t="s">
        <v>6</v>
      </c>
      <c r="X129" s="20">
        <f t="shared" ref="X129:X138" si="96">(C129+J129/200)-0.002</f>
        <v>5.6399999999999999E-2</v>
      </c>
      <c r="Y129" s="20">
        <f t="shared" si="91"/>
        <v>2.9000000000000007E-3</v>
      </c>
      <c r="Z129" s="20">
        <f t="shared" si="92"/>
        <v>6.1000000000000013E-3</v>
      </c>
      <c r="AA129" s="20">
        <f t="shared" si="93"/>
        <v>8.6999999999999994E-3</v>
      </c>
      <c r="AB129" s="20">
        <f t="shared" si="94"/>
        <v>1.9599999999999999E-2</v>
      </c>
    </row>
    <row r="130" spans="1:28" x14ac:dyDescent="0.25">
      <c r="A130" s="21" t="s">
        <v>1888</v>
      </c>
      <c r="B130" s="21" t="s">
        <v>7</v>
      </c>
      <c r="C130" s="25">
        <f>[1]AUDCHF!$B17</f>
        <v>5.3600000000000002E-2</v>
      </c>
      <c r="D130" s="25">
        <f>[1]AUDCHF!$F17</f>
        <v>-7.4999999999999997E-3</v>
      </c>
      <c r="E130" s="25">
        <f>[1]AUDCHF!$E17</f>
        <v>-1.46E-2</v>
      </c>
      <c r="F130" s="25">
        <f>[1]AUDCHF!$D17</f>
        <v>1.1999999999999999E-3</v>
      </c>
      <c r="G130" s="25">
        <f>[1]AUDCHF!$C17</f>
        <v>4.5999999999999999E-3</v>
      </c>
      <c r="H130" s="8"/>
      <c r="I130" s="21" t="s">
        <v>7</v>
      </c>
      <c r="J130" s="28">
        <f>'[2]G7 Cross'!$C124</f>
        <v>0.52</v>
      </c>
      <c r="K130" s="28">
        <v>1.5</v>
      </c>
      <c r="L130" s="28">
        <v>3</v>
      </c>
      <c r="M130" s="28">
        <v>1</v>
      </c>
      <c r="N130" s="28">
        <v>2</v>
      </c>
      <c r="O130" s="16"/>
      <c r="P130" s="21" t="s">
        <v>7</v>
      </c>
      <c r="Q130" s="20">
        <f t="shared" si="95"/>
        <v>4.9000000000000002E-2</v>
      </c>
      <c r="R130" s="20">
        <f t="shared" si="87"/>
        <v>-1.4999999999999999E-2</v>
      </c>
      <c r="S130" s="20">
        <f t="shared" si="88"/>
        <v>-2.9600000000000001E-2</v>
      </c>
      <c r="T130" s="20">
        <f t="shared" si="89"/>
        <v>-3.8000000000000004E-3</v>
      </c>
      <c r="U130" s="20">
        <f t="shared" si="90"/>
        <v>-5.4000000000000003E-3</v>
      </c>
      <c r="V130" s="22"/>
      <c r="W130" s="21" t="s">
        <v>7</v>
      </c>
      <c r="X130" s="20">
        <f t="shared" si="96"/>
        <v>5.4199999999999998E-2</v>
      </c>
      <c r="Y130" s="20">
        <f t="shared" si="91"/>
        <v>0</v>
      </c>
      <c r="Z130" s="20">
        <f t="shared" si="92"/>
        <v>3.9999999999999931E-4</v>
      </c>
      <c r="AA130" s="20">
        <f t="shared" si="93"/>
        <v>6.1999999999999998E-3</v>
      </c>
      <c r="AB130" s="20">
        <f t="shared" si="94"/>
        <v>1.46E-2</v>
      </c>
    </row>
    <row r="131" spans="1:28" x14ac:dyDescent="0.25">
      <c r="A131" s="21" t="s">
        <v>1888</v>
      </c>
      <c r="B131" s="21" t="s">
        <v>8</v>
      </c>
      <c r="C131" s="25">
        <f>[1]AUDCHF!$B18</f>
        <v>5.9699999999999996E-2</v>
      </c>
      <c r="D131" s="25">
        <f>[1]AUDCHF!$F18</f>
        <v>-7.7000000000000002E-3</v>
      </c>
      <c r="E131" s="25">
        <f>[1]AUDCHF!$E18</f>
        <v>-1.5100000000000001E-2</v>
      </c>
      <c r="F131" s="25">
        <f>[1]AUDCHF!$D18</f>
        <v>1.4000000000000002E-3</v>
      </c>
      <c r="G131" s="25">
        <f>[1]AUDCHF!$C18</f>
        <v>5.1999999999999998E-3</v>
      </c>
      <c r="H131" s="8"/>
      <c r="I131" s="21" t="s">
        <v>8</v>
      </c>
      <c r="J131" s="28">
        <f>'[2]G7 Cross'!$C125</f>
        <v>0.33</v>
      </c>
      <c r="K131" s="28">
        <v>1.5</v>
      </c>
      <c r="L131" s="28">
        <v>3</v>
      </c>
      <c r="M131" s="28">
        <v>1</v>
      </c>
      <c r="N131" s="28">
        <v>2</v>
      </c>
      <c r="O131" s="16"/>
      <c r="P131" s="21" t="s">
        <v>8</v>
      </c>
      <c r="Q131" s="20">
        <f t="shared" si="95"/>
        <v>5.6049999999999996E-2</v>
      </c>
      <c r="R131" s="20">
        <f t="shared" si="87"/>
        <v>-1.52E-2</v>
      </c>
      <c r="S131" s="20">
        <f t="shared" si="88"/>
        <v>-3.0100000000000002E-2</v>
      </c>
      <c r="T131" s="20">
        <f t="shared" si="89"/>
        <v>-3.5999999999999999E-3</v>
      </c>
      <c r="U131" s="20">
        <f t="shared" si="90"/>
        <v>-4.8000000000000004E-3</v>
      </c>
      <c r="V131" s="22"/>
      <c r="W131" s="21" t="s">
        <v>8</v>
      </c>
      <c r="X131" s="20">
        <f t="shared" si="96"/>
        <v>5.9349999999999993E-2</v>
      </c>
      <c r="Y131" s="20">
        <f t="shared" si="91"/>
        <v>-2.0000000000000052E-4</v>
      </c>
      <c r="Z131" s="20">
        <f t="shared" si="92"/>
        <v>-1.0000000000000113E-4</v>
      </c>
      <c r="AA131" s="20">
        <f t="shared" si="93"/>
        <v>6.4000000000000003E-3</v>
      </c>
      <c r="AB131" s="20">
        <f t="shared" si="94"/>
        <v>1.52E-2</v>
      </c>
    </row>
    <row r="132" spans="1:28" x14ac:dyDescent="0.25">
      <c r="A132" s="21" t="s">
        <v>1888</v>
      </c>
      <c r="B132" s="21" t="s">
        <v>9</v>
      </c>
      <c r="C132" s="25">
        <f>[1]AUDCHF!$B19</f>
        <v>6.1500000000000006E-2</v>
      </c>
      <c r="D132" s="25">
        <f>[1]AUDCHF!$F19</f>
        <v>-8.3999999999999995E-3</v>
      </c>
      <c r="E132" s="25">
        <f>[1]AUDCHF!$E19</f>
        <v>-1.6500000000000001E-2</v>
      </c>
      <c r="F132" s="25">
        <f>[1]AUDCHF!$D19</f>
        <v>1.5E-3</v>
      </c>
      <c r="G132" s="25">
        <f>[1]AUDCHF!$C19</f>
        <v>5.8999999999999999E-3</v>
      </c>
      <c r="H132" s="8"/>
      <c r="I132" s="21" t="s">
        <v>9</v>
      </c>
      <c r="J132" s="28">
        <f>'[2]G7 Cross'!$C126</f>
        <v>0.3</v>
      </c>
      <c r="K132" s="28">
        <v>0.8</v>
      </c>
      <c r="L132" s="28">
        <v>1.6</v>
      </c>
      <c r="M132" s="28">
        <v>0.5</v>
      </c>
      <c r="N132" s="28">
        <v>1</v>
      </c>
      <c r="O132" s="16"/>
      <c r="P132" s="21" t="s">
        <v>9</v>
      </c>
      <c r="Q132" s="20">
        <f t="shared" si="95"/>
        <v>5.8000000000000003E-2</v>
      </c>
      <c r="R132" s="20">
        <f t="shared" si="87"/>
        <v>-1.24E-2</v>
      </c>
      <c r="S132" s="20">
        <f t="shared" si="88"/>
        <v>-2.4500000000000001E-2</v>
      </c>
      <c r="T132" s="20">
        <f t="shared" si="89"/>
        <v>-1E-3</v>
      </c>
      <c r="U132" s="20">
        <f t="shared" si="90"/>
        <v>8.9999999999999976E-4</v>
      </c>
      <c r="V132" s="22"/>
      <c r="W132" s="21" t="s">
        <v>9</v>
      </c>
      <c r="X132" s="20">
        <f t="shared" si="96"/>
        <v>6.0999999999999999E-2</v>
      </c>
      <c r="Y132" s="20">
        <f t="shared" si="91"/>
        <v>-4.3999999999999994E-3</v>
      </c>
      <c r="Z132" s="20">
        <f t="shared" si="92"/>
        <v>-8.5000000000000006E-3</v>
      </c>
      <c r="AA132" s="20">
        <f t="shared" si="93"/>
        <v>4.0000000000000001E-3</v>
      </c>
      <c r="AB132" s="20">
        <f t="shared" si="94"/>
        <v>1.09E-2</v>
      </c>
    </row>
    <row r="133" spans="1:28" x14ac:dyDescent="0.25">
      <c r="A133" s="21" t="s">
        <v>1888</v>
      </c>
      <c r="B133" s="21" t="s">
        <v>10</v>
      </c>
      <c r="C133" s="25">
        <f>[1]AUDCHF!$B20</f>
        <v>6.4199999999999993E-2</v>
      </c>
      <c r="D133" s="25">
        <f>[1]AUDCHF!$F20</f>
        <v>-9.0000000000000011E-3</v>
      </c>
      <c r="E133" s="25">
        <f>[1]AUDCHF!$E20</f>
        <v>-1.78E-2</v>
      </c>
      <c r="F133" s="25">
        <f>[1]AUDCHF!$D20</f>
        <v>1.7000000000000001E-3</v>
      </c>
      <c r="G133" s="25">
        <f>[1]AUDCHF!$C20</f>
        <v>6.7000000000000002E-3</v>
      </c>
      <c r="H133" s="8"/>
      <c r="I133" s="21" t="s">
        <v>10</v>
      </c>
      <c r="J133" s="28">
        <f>'[2]G7 Cross'!$C127</f>
        <v>0.31</v>
      </c>
      <c r="K133" s="28">
        <v>0.8</v>
      </c>
      <c r="L133" s="28">
        <v>1.6</v>
      </c>
      <c r="M133" s="28">
        <v>0.5</v>
      </c>
      <c r="N133" s="28">
        <v>1</v>
      </c>
      <c r="O133" s="16"/>
      <c r="P133" s="21" t="s">
        <v>10</v>
      </c>
      <c r="Q133" s="20">
        <f t="shared" si="95"/>
        <v>6.0649999999999996E-2</v>
      </c>
      <c r="R133" s="20">
        <f t="shared" si="87"/>
        <v>-1.3000000000000001E-2</v>
      </c>
      <c r="S133" s="20">
        <f t="shared" si="88"/>
        <v>-2.58E-2</v>
      </c>
      <c r="T133" s="20">
        <f t="shared" si="89"/>
        <v>-7.9999999999999993E-4</v>
      </c>
      <c r="U133" s="20">
        <f t="shared" si="90"/>
        <v>1.7000000000000001E-3</v>
      </c>
      <c r="V133" s="22"/>
      <c r="W133" s="21" t="s">
        <v>10</v>
      </c>
      <c r="X133" s="20">
        <f t="shared" si="96"/>
        <v>6.3749999999999987E-2</v>
      </c>
      <c r="Y133" s="20">
        <f t="shared" si="91"/>
        <v>-5.000000000000001E-3</v>
      </c>
      <c r="Z133" s="20">
        <f t="shared" si="92"/>
        <v>-9.7999999999999997E-3</v>
      </c>
      <c r="AA133" s="20">
        <f t="shared" si="93"/>
        <v>4.2000000000000006E-3</v>
      </c>
      <c r="AB133" s="20">
        <f t="shared" si="94"/>
        <v>1.17E-2</v>
      </c>
    </row>
    <row r="134" spans="1:28" x14ac:dyDescent="0.25">
      <c r="A134" s="21" t="s">
        <v>1888</v>
      </c>
      <c r="B134" s="21" t="s">
        <v>11</v>
      </c>
      <c r="C134" s="25">
        <f>[1]AUDCHF!$B21</f>
        <v>6.9400000000000003E-2</v>
      </c>
      <c r="D134" s="25">
        <f>[1]AUDCHF!$F21</f>
        <v>-1.11E-2</v>
      </c>
      <c r="E134" s="25">
        <f>[1]AUDCHF!$E21</f>
        <v>-2.2099999999999998E-2</v>
      </c>
      <c r="F134" s="25">
        <f>[1]AUDCHF!$D21</f>
        <v>2E-3</v>
      </c>
      <c r="G134" s="25">
        <f>[1]AUDCHF!$C21</f>
        <v>8.5000000000000006E-3</v>
      </c>
      <c r="H134" s="8"/>
      <c r="I134" s="21" t="s">
        <v>11</v>
      </c>
      <c r="J134" s="28">
        <f>'[2]G7 Cross'!$C128</f>
        <v>0.38</v>
      </c>
      <c r="K134" s="28">
        <v>0.8</v>
      </c>
      <c r="L134" s="28">
        <v>1.6</v>
      </c>
      <c r="M134" s="28">
        <v>0.5</v>
      </c>
      <c r="N134" s="28">
        <v>1</v>
      </c>
      <c r="O134" s="16"/>
      <c r="P134" s="21" t="s">
        <v>11</v>
      </c>
      <c r="Q134" s="20">
        <f t="shared" si="95"/>
        <v>6.5500000000000003E-2</v>
      </c>
      <c r="R134" s="20">
        <f t="shared" si="87"/>
        <v>-1.5100000000000001E-2</v>
      </c>
      <c r="S134" s="20">
        <f t="shared" si="88"/>
        <v>-3.0099999999999998E-2</v>
      </c>
      <c r="T134" s="20">
        <f t="shared" si="89"/>
        <v>-5.0000000000000001E-4</v>
      </c>
      <c r="U134" s="20">
        <f t="shared" si="90"/>
        <v>3.5000000000000005E-3</v>
      </c>
      <c r="V134" s="22"/>
      <c r="W134" s="21" t="s">
        <v>11</v>
      </c>
      <c r="X134" s="20">
        <f t="shared" si="96"/>
        <v>6.93E-2</v>
      </c>
      <c r="Y134" s="20">
        <f t="shared" si="91"/>
        <v>-7.1000000000000004E-3</v>
      </c>
      <c r="Z134" s="20">
        <f t="shared" si="92"/>
        <v>-1.4099999999999998E-2</v>
      </c>
      <c r="AA134" s="20">
        <f t="shared" si="93"/>
        <v>4.5000000000000005E-3</v>
      </c>
      <c r="AB134" s="20">
        <f t="shared" si="94"/>
        <v>1.3500000000000002E-2</v>
      </c>
    </row>
    <row r="135" spans="1:28" x14ac:dyDescent="0.25">
      <c r="A135" s="21" t="s">
        <v>1888</v>
      </c>
      <c r="B135" s="21" t="s">
        <v>12</v>
      </c>
      <c r="C135" s="25">
        <f>[1]AUDCHF!$B22</f>
        <v>7.3800000000000004E-2</v>
      </c>
      <c r="D135" s="25">
        <f>[1]AUDCHF!$F22</f>
        <v>-1.2199999999999999E-2</v>
      </c>
      <c r="E135" s="25">
        <f>[1]AUDCHF!$E22</f>
        <v>-2.46E-2</v>
      </c>
      <c r="F135" s="25">
        <f>[1]AUDCHF!$D22</f>
        <v>2.2000000000000001E-3</v>
      </c>
      <c r="G135" s="25">
        <f>[1]AUDCHF!$C22</f>
        <v>9.7999999999999997E-3</v>
      </c>
      <c r="H135" s="8"/>
      <c r="I135" s="21" t="s">
        <v>12</v>
      </c>
      <c r="J135" s="28">
        <f>'[2]G7 Cross'!$C129</f>
        <v>0.36</v>
      </c>
      <c r="K135" s="28">
        <v>0.8</v>
      </c>
      <c r="L135" s="28">
        <v>1.6</v>
      </c>
      <c r="M135" s="28">
        <v>0.5</v>
      </c>
      <c r="N135" s="28">
        <v>1</v>
      </c>
      <c r="O135" s="16"/>
      <c r="P135" s="21" t="s">
        <v>12</v>
      </c>
      <c r="Q135" s="20">
        <f t="shared" si="95"/>
        <v>7.0000000000000007E-2</v>
      </c>
      <c r="R135" s="20">
        <f t="shared" si="87"/>
        <v>-1.6199999999999999E-2</v>
      </c>
      <c r="S135" s="20">
        <f t="shared" si="88"/>
        <v>-3.2600000000000004E-2</v>
      </c>
      <c r="T135" s="20">
        <f t="shared" si="89"/>
        <v>-2.9999999999999992E-4</v>
      </c>
      <c r="U135" s="20">
        <f t="shared" si="90"/>
        <v>4.7999999999999996E-3</v>
      </c>
      <c r="V135" s="22"/>
      <c r="W135" s="21" t="s">
        <v>12</v>
      </c>
      <c r="X135" s="20">
        <f t="shared" si="96"/>
        <v>7.3599999999999999E-2</v>
      </c>
      <c r="Y135" s="20">
        <f t="shared" si="91"/>
        <v>-8.199999999999999E-3</v>
      </c>
      <c r="Z135" s="20">
        <f t="shared" si="92"/>
        <v>-1.66E-2</v>
      </c>
      <c r="AA135" s="20">
        <f t="shared" si="93"/>
        <v>4.7000000000000002E-3</v>
      </c>
      <c r="AB135" s="20">
        <f t="shared" si="94"/>
        <v>1.4800000000000001E-2</v>
      </c>
    </row>
    <row r="136" spans="1:28" x14ac:dyDescent="0.25">
      <c r="A136" s="21" t="s">
        <v>1888</v>
      </c>
      <c r="B136" s="21" t="s">
        <v>13</v>
      </c>
      <c r="C136" s="25">
        <f>[1]AUDCHF!$B23</f>
        <v>7.7399999999999997E-2</v>
      </c>
      <c r="D136" s="25">
        <f>[1]AUDCHF!$F23</f>
        <v>-1.3500000000000002E-2</v>
      </c>
      <c r="E136" s="25">
        <f>[1]AUDCHF!$E23</f>
        <v>-2.7400000000000001E-2</v>
      </c>
      <c r="F136" s="25">
        <f>[1]AUDCHF!$D23</f>
        <v>2.3999999999999998E-3</v>
      </c>
      <c r="G136" s="25">
        <f>[1]AUDCHF!$C23</f>
        <v>1.11E-2</v>
      </c>
      <c r="H136" s="8"/>
      <c r="I136" s="21" t="s">
        <v>13</v>
      </c>
      <c r="J136" s="28">
        <f>'[2]G7 Cross'!$C130</f>
        <v>0.36</v>
      </c>
      <c r="K136" s="28">
        <v>0.8</v>
      </c>
      <c r="L136" s="28">
        <v>1.6</v>
      </c>
      <c r="M136" s="28">
        <v>0.5</v>
      </c>
      <c r="N136" s="28">
        <v>1</v>
      </c>
      <c r="O136" s="16"/>
      <c r="P136" s="21" t="s">
        <v>13</v>
      </c>
      <c r="Q136" s="20">
        <f t="shared" si="95"/>
        <v>7.3599999999999999E-2</v>
      </c>
      <c r="R136" s="20">
        <f t="shared" si="87"/>
        <v>-1.7500000000000002E-2</v>
      </c>
      <c r="S136" s="20">
        <f t="shared" si="88"/>
        <v>-3.5400000000000001E-2</v>
      </c>
      <c r="T136" s="20">
        <f t="shared" si="89"/>
        <v>-1.0000000000000026E-4</v>
      </c>
      <c r="U136" s="20">
        <f t="shared" si="90"/>
        <v>6.1000000000000004E-3</v>
      </c>
      <c r="V136" s="22"/>
      <c r="W136" s="21" t="s">
        <v>13</v>
      </c>
      <c r="X136" s="20">
        <f t="shared" si="96"/>
        <v>7.7199999999999991E-2</v>
      </c>
      <c r="Y136" s="20">
        <f t="shared" si="91"/>
        <v>-9.5000000000000015E-3</v>
      </c>
      <c r="Z136" s="20">
        <f t="shared" si="92"/>
        <v>-1.9400000000000001E-2</v>
      </c>
      <c r="AA136" s="20">
        <f t="shared" si="93"/>
        <v>4.8999999999999998E-3</v>
      </c>
      <c r="AB136" s="20">
        <f t="shared" si="94"/>
        <v>1.61E-2</v>
      </c>
    </row>
    <row r="137" spans="1:28" x14ac:dyDescent="0.25">
      <c r="A137" s="21" t="s">
        <v>1888</v>
      </c>
      <c r="B137" s="21" t="s">
        <v>14</v>
      </c>
      <c r="C137" s="25">
        <f>[1]AUDCHF!$B24</f>
        <v>8.3400000000000002E-2</v>
      </c>
      <c r="D137" s="25">
        <f>[1]AUDCHF!$F24</f>
        <v>-1.44E-2</v>
      </c>
      <c r="E137" s="25">
        <f>[1]AUDCHF!$E24</f>
        <v>-2.7699999999999999E-2</v>
      </c>
      <c r="F137" s="25">
        <f>[1]AUDCHF!$D24</f>
        <v>3.0999999999999999E-3</v>
      </c>
      <c r="G137" s="25">
        <f>[1]AUDCHF!$C24</f>
        <v>1.34E-2</v>
      </c>
      <c r="H137" s="16"/>
      <c r="I137" s="21" t="s">
        <v>14</v>
      </c>
      <c r="J137" s="28">
        <f>'[2]G7 Cross'!$C131</f>
        <v>0.38</v>
      </c>
      <c r="K137" s="28">
        <v>1.2</v>
      </c>
      <c r="L137" s="28">
        <v>2.4</v>
      </c>
      <c r="M137" s="28">
        <v>0.8</v>
      </c>
      <c r="N137" s="28">
        <v>1.6</v>
      </c>
      <c r="O137" s="16"/>
      <c r="P137" s="21" t="s">
        <v>14</v>
      </c>
      <c r="Q137" s="20">
        <f t="shared" si="95"/>
        <v>7.9500000000000001E-2</v>
      </c>
      <c r="R137" s="20">
        <f t="shared" si="87"/>
        <v>-2.0400000000000001E-2</v>
      </c>
      <c r="S137" s="20">
        <f t="shared" si="88"/>
        <v>-3.9699999999999999E-2</v>
      </c>
      <c r="T137" s="20">
        <f t="shared" si="89"/>
        <v>-9.0000000000000019E-4</v>
      </c>
      <c r="U137" s="20">
        <f t="shared" si="90"/>
        <v>5.4000000000000003E-3</v>
      </c>
      <c r="V137" s="22"/>
      <c r="W137" s="21" t="s">
        <v>14</v>
      </c>
      <c r="X137" s="20">
        <f t="shared" si="96"/>
        <v>8.3299999999999999E-2</v>
      </c>
      <c r="Y137" s="20">
        <f t="shared" si="91"/>
        <v>-8.3999999999999995E-3</v>
      </c>
      <c r="Z137" s="20">
        <f t="shared" si="92"/>
        <v>-1.5699999999999999E-2</v>
      </c>
      <c r="AA137" s="20">
        <f t="shared" si="93"/>
        <v>7.1000000000000004E-3</v>
      </c>
      <c r="AB137" s="20">
        <f t="shared" si="94"/>
        <v>2.1400000000000002E-2</v>
      </c>
    </row>
    <row r="138" spans="1:28" x14ac:dyDescent="0.25">
      <c r="A138" s="21" t="s">
        <v>1888</v>
      </c>
      <c r="B138" s="21" t="s">
        <v>876</v>
      </c>
      <c r="C138" s="25">
        <f>[1]AUDCHF!$B25</f>
        <v>8.6099999999999996E-2</v>
      </c>
      <c r="D138" s="25">
        <f>[1]AUDCHF!$F25</f>
        <v>-1.49E-2</v>
      </c>
      <c r="E138" s="25">
        <f>[1]AUDCHF!$E25</f>
        <v>-2.8300000000000002E-2</v>
      </c>
      <c r="F138" s="25">
        <f>[1]AUDCHF!$D25</f>
        <v>3.2000000000000002E-3</v>
      </c>
      <c r="G138" s="25">
        <f>[1]AUDCHF!$C25</f>
        <v>1.43E-2</v>
      </c>
      <c r="H138" s="16"/>
      <c r="I138" s="21" t="s">
        <v>876</v>
      </c>
      <c r="J138" s="28">
        <f>'[2]G7 Cross'!$C132</f>
        <v>0.7</v>
      </c>
      <c r="K138" s="28">
        <v>1.2</v>
      </c>
      <c r="L138" s="28">
        <v>2.4</v>
      </c>
      <c r="M138" s="28">
        <v>0.8</v>
      </c>
      <c r="N138" s="28">
        <v>1.6</v>
      </c>
      <c r="O138" s="16"/>
      <c r="P138" s="21" t="s">
        <v>876</v>
      </c>
      <c r="Q138" s="20">
        <f t="shared" si="95"/>
        <v>8.0599999999999991E-2</v>
      </c>
      <c r="R138" s="20">
        <f t="shared" si="87"/>
        <v>-2.0900000000000002E-2</v>
      </c>
      <c r="S138" s="20">
        <f t="shared" si="88"/>
        <v>-4.0300000000000002E-2</v>
      </c>
      <c r="T138" s="20">
        <f t="shared" si="89"/>
        <v>-7.9999999999999993E-4</v>
      </c>
      <c r="U138" s="20">
        <f t="shared" si="90"/>
        <v>6.3E-3</v>
      </c>
      <c r="V138" s="22"/>
      <c r="W138" s="21" t="s">
        <v>876</v>
      </c>
      <c r="X138" s="20">
        <f t="shared" si="96"/>
        <v>8.7599999999999997E-2</v>
      </c>
      <c r="Y138" s="20">
        <f t="shared" si="91"/>
        <v>-8.8999999999999999E-3</v>
      </c>
      <c r="Z138" s="20">
        <f t="shared" si="92"/>
        <v>-1.6300000000000002E-2</v>
      </c>
      <c r="AA138" s="20">
        <f t="shared" si="93"/>
        <v>7.1999999999999998E-3</v>
      </c>
      <c r="AB138" s="20">
        <f t="shared" si="94"/>
        <v>2.23E-2</v>
      </c>
    </row>
    <row r="139" spans="1:28" x14ac:dyDescent="0.25">
      <c r="A139" s="16"/>
      <c r="B139" s="16"/>
      <c r="C139" s="26"/>
      <c r="D139" s="26"/>
      <c r="E139" s="26"/>
      <c r="F139" s="26"/>
      <c r="G139" s="26"/>
      <c r="H139" s="16"/>
      <c r="I139" s="16"/>
      <c r="J139" s="16"/>
      <c r="K139" s="16"/>
      <c r="L139" s="16"/>
      <c r="M139" s="16"/>
      <c r="N139" s="16"/>
      <c r="O139" s="16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 spans="1:28" x14ac:dyDescent="0.25">
      <c r="A140" s="16"/>
      <c r="B140" s="16"/>
      <c r="C140" s="26"/>
      <c r="D140" s="26"/>
      <c r="E140" s="26"/>
      <c r="F140" s="26"/>
      <c r="G140" s="26"/>
      <c r="H140" s="16"/>
      <c r="I140" s="16"/>
      <c r="J140" s="16"/>
      <c r="K140" s="16"/>
      <c r="L140" s="16"/>
      <c r="M140" s="16"/>
      <c r="N140" s="16"/>
      <c r="O140" s="16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 spans="1:28" x14ac:dyDescent="0.25">
      <c r="A141" s="7" t="s">
        <v>70</v>
      </c>
      <c r="B141" s="7" t="s">
        <v>327</v>
      </c>
      <c r="C141" s="24" t="s">
        <v>311</v>
      </c>
      <c r="D141" s="24" t="s">
        <v>312</v>
      </c>
      <c r="E141" s="24" t="s">
        <v>313</v>
      </c>
      <c r="F141" s="24" t="s">
        <v>314</v>
      </c>
      <c r="G141" s="24" t="s">
        <v>315</v>
      </c>
      <c r="H141" s="8"/>
      <c r="I141" s="7" t="s">
        <v>328</v>
      </c>
      <c r="J141" s="7" t="s">
        <v>311</v>
      </c>
      <c r="K141" s="7" t="s">
        <v>312</v>
      </c>
      <c r="L141" s="7" t="s">
        <v>313</v>
      </c>
      <c r="M141" s="7" t="s">
        <v>314</v>
      </c>
      <c r="N141" s="7" t="s">
        <v>315</v>
      </c>
      <c r="O141" s="16"/>
      <c r="P141" s="7" t="s">
        <v>349</v>
      </c>
      <c r="Q141" s="7" t="s">
        <v>311</v>
      </c>
      <c r="R141" s="7" t="s">
        <v>312</v>
      </c>
      <c r="S141" s="7" t="s">
        <v>313</v>
      </c>
      <c r="T141" s="7" t="s">
        <v>314</v>
      </c>
      <c r="U141" s="7" t="s">
        <v>315</v>
      </c>
      <c r="V141" s="22"/>
      <c r="W141" s="7" t="s">
        <v>318</v>
      </c>
      <c r="X141" s="7" t="s">
        <v>311</v>
      </c>
      <c r="Y141" s="7" t="s">
        <v>312</v>
      </c>
      <c r="Z141" s="7" t="s">
        <v>313</v>
      </c>
      <c r="AA141" s="7" t="s">
        <v>314</v>
      </c>
      <c r="AB141" s="7" t="s">
        <v>315</v>
      </c>
    </row>
    <row r="142" spans="1:28" x14ac:dyDescent="0.25">
      <c r="A142" s="21" t="s">
        <v>360</v>
      </c>
      <c r="B142" s="21" t="s">
        <v>5</v>
      </c>
      <c r="C142" s="25">
        <f>[1]GBPJPY!$B15</f>
        <v>0.14749999999999999</v>
      </c>
      <c r="D142" s="25">
        <f>[1]GBPJPY!$F15</f>
        <v>-3.6900000000000002E-2</v>
      </c>
      <c r="E142" s="25">
        <f>[1]GBPJPY!$E15</f>
        <v>-7.2999999999999995E-2</v>
      </c>
      <c r="F142" s="25">
        <f>[1]GBPJPY!$D15</f>
        <v>4.7999999999999996E-3</v>
      </c>
      <c r="G142" s="25">
        <f>[1]GBPJPY!$C15</f>
        <v>1.9099999999999999E-2</v>
      </c>
      <c r="H142" s="8"/>
      <c r="I142" s="21" t="s">
        <v>5</v>
      </c>
      <c r="J142" s="28">
        <f>'[2]G7 Cross'!$C134</f>
        <v>14.44</v>
      </c>
      <c r="K142" s="28">
        <v>4</v>
      </c>
      <c r="L142" s="28">
        <v>8</v>
      </c>
      <c r="M142" s="28">
        <v>3</v>
      </c>
      <c r="N142" s="28">
        <v>6</v>
      </c>
      <c r="O142" s="16"/>
      <c r="P142" s="21" t="s">
        <v>5</v>
      </c>
      <c r="Q142" s="20">
        <f>(C142-J142/200)-0.002</f>
        <v>7.329999999999999E-2</v>
      </c>
      <c r="R142" s="20">
        <f t="shared" ref="R142:R152" si="97">D142-K142/200</f>
        <v>-5.6900000000000006E-2</v>
      </c>
      <c r="S142" s="20">
        <f t="shared" ref="S142:S152" si="98">E142-L142/200</f>
        <v>-0.11299999999999999</v>
      </c>
      <c r="T142" s="20">
        <f t="shared" ref="T142:T152" si="99">F142-M142/200</f>
        <v>-1.0200000000000001E-2</v>
      </c>
      <c r="U142" s="20">
        <f t="shared" ref="U142:U152" si="100">G142-N142/200</f>
        <v>-1.09E-2</v>
      </c>
      <c r="V142" s="22"/>
      <c r="W142" s="21" t="s">
        <v>5</v>
      </c>
      <c r="X142" s="20">
        <f>(C142+J142/200)-0.002</f>
        <v>0.2177</v>
      </c>
      <c r="Y142" s="20">
        <f t="shared" ref="Y142:Y152" si="101">D142+K142/200</f>
        <v>-1.6900000000000002E-2</v>
      </c>
      <c r="Z142" s="20">
        <f t="shared" ref="Z142:Z152" si="102">E142+L142/200</f>
        <v>-3.2999999999999995E-2</v>
      </c>
      <c r="AA142" s="20">
        <f t="shared" ref="AA142:AA152" si="103">F142+M142/200</f>
        <v>1.9799999999999998E-2</v>
      </c>
      <c r="AB142" s="20">
        <f t="shared" ref="AB142:AB152" si="104">G142+N142/200</f>
        <v>4.9099999999999998E-2</v>
      </c>
    </row>
    <row r="143" spans="1:28" x14ac:dyDescent="0.25">
      <c r="A143" s="21" t="s">
        <v>360</v>
      </c>
      <c r="B143" s="21" t="s">
        <v>6</v>
      </c>
      <c r="C143" s="25">
        <f>[1]GBPJPY!$B16</f>
        <v>0.1081</v>
      </c>
      <c r="D143" s="25">
        <f>[1]GBPJPY!$F16</f>
        <v>-2.69E-2</v>
      </c>
      <c r="E143" s="25">
        <f>[1]GBPJPY!$E16</f>
        <v>-5.33E-2</v>
      </c>
      <c r="F143" s="25">
        <f>[1]GBPJPY!$D16</f>
        <v>3.4000000000000002E-3</v>
      </c>
      <c r="G143" s="25">
        <f>[1]GBPJPY!$C16</f>
        <v>1.3899999999999999E-2</v>
      </c>
      <c r="H143" s="8"/>
      <c r="I143" s="21" t="s">
        <v>6</v>
      </c>
      <c r="J143" s="28">
        <f>'[2]G7 Cross'!$C135</f>
        <v>3.95</v>
      </c>
      <c r="K143" s="28">
        <v>2</v>
      </c>
      <c r="L143" s="28">
        <v>4</v>
      </c>
      <c r="M143" s="28">
        <v>1.5</v>
      </c>
      <c r="N143" s="28">
        <v>3</v>
      </c>
      <c r="O143" s="16"/>
      <c r="P143" s="21" t="s">
        <v>6</v>
      </c>
      <c r="Q143" s="20">
        <f t="shared" ref="Q143:Q152" si="105">(C143-J143/200)-0.002</f>
        <v>8.6349999999999996E-2</v>
      </c>
      <c r="R143" s="20">
        <f t="shared" si="97"/>
        <v>-3.6900000000000002E-2</v>
      </c>
      <c r="S143" s="20">
        <f t="shared" si="98"/>
        <v>-7.3300000000000004E-2</v>
      </c>
      <c r="T143" s="20">
        <f t="shared" si="99"/>
        <v>-4.0999999999999995E-3</v>
      </c>
      <c r="U143" s="20">
        <f t="shared" si="100"/>
        <v>-1.1000000000000003E-3</v>
      </c>
      <c r="V143" s="22"/>
      <c r="W143" s="21" t="s">
        <v>6</v>
      </c>
      <c r="X143" s="20">
        <f t="shared" ref="X143:X152" si="106">(C143+J143/200)-0.002</f>
        <v>0.12584999999999999</v>
      </c>
      <c r="Y143" s="20">
        <f t="shared" si="101"/>
        <v>-1.6899999999999998E-2</v>
      </c>
      <c r="Z143" s="20">
        <f t="shared" si="102"/>
        <v>-3.3299999999999996E-2</v>
      </c>
      <c r="AA143" s="20">
        <f t="shared" si="103"/>
        <v>1.09E-2</v>
      </c>
      <c r="AB143" s="20">
        <f t="shared" si="104"/>
        <v>2.8899999999999999E-2</v>
      </c>
    </row>
    <row r="144" spans="1:28" x14ac:dyDescent="0.25">
      <c r="A144" s="21" t="s">
        <v>360</v>
      </c>
      <c r="B144" s="21" t="s">
        <v>7</v>
      </c>
      <c r="C144" s="25">
        <f>[1]GBPJPY!$B17</f>
        <v>0.10970000000000001</v>
      </c>
      <c r="D144" s="25">
        <f>[1]GBPJPY!$F17</f>
        <v>-2.7000000000000003E-2</v>
      </c>
      <c r="E144" s="25">
        <f>[1]GBPJPY!$E17</f>
        <v>-5.1900000000000002E-2</v>
      </c>
      <c r="F144" s="25">
        <f>[1]GBPJPY!$D17</f>
        <v>3.3E-3</v>
      </c>
      <c r="G144" s="25">
        <f>[1]GBPJPY!$C17</f>
        <v>1.34E-2</v>
      </c>
      <c r="H144" s="8"/>
      <c r="I144" s="21" t="s">
        <v>7</v>
      </c>
      <c r="J144" s="28">
        <f>'[2]G7 Cross'!$C136</f>
        <v>2.19</v>
      </c>
      <c r="K144" s="28">
        <v>1.5</v>
      </c>
      <c r="L144" s="28">
        <v>3</v>
      </c>
      <c r="M144" s="28">
        <v>1</v>
      </c>
      <c r="N144" s="28">
        <v>2</v>
      </c>
      <c r="O144" s="16"/>
      <c r="P144" s="21" t="s">
        <v>7</v>
      </c>
      <c r="Q144" s="20">
        <f t="shared" si="105"/>
        <v>9.6750000000000003E-2</v>
      </c>
      <c r="R144" s="20">
        <f t="shared" si="97"/>
        <v>-3.4500000000000003E-2</v>
      </c>
      <c r="S144" s="20">
        <f t="shared" si="98"/>
        <v>-6.6900000000000001E-2</v>
      </c>
      <c r="T144" s="20">
        <f t="shared" si="99"/>
        <v>-1.7000000000000001E-3</v>
      </c>
      <c r="U144" s="20">
        <f t="shared" si="100"/>
        <v>3.4000000000000002E-3</v>
      </c>
      <c r="V144" s="22"/>
      <c r="W144" s="21" t="s">
        <v>7</v>
      </c>
      <c r="X144" s="20">
        <f t="shared" si="106"/>
        <v>0.11865000000000001</v>
      </c>
      <c r="Y144" s="20">
        <f t="shared" si="101"/>
        <v>-1.9500000000000003E-2</v>
      </c>
      <c r="Z144" s="20">
        <f t="shared" si="102"/>
        <v>-3.6900000000000002E-2</v>
      </c>
      <c r="AA144" s="20">
        <f t="shared" si="103"/>
        <v>8.3000000000000001E-3</v>
      </c>
      <c r="AB144" s="20">
        <f t="shared" si="104"/>
        <v>2.3400000000000001E-2</v>
      </c>
    </row>
    <row r="145" spans="1:28" x14ac:dyDescent="0.25">
      <c r="A145" s="21" t="s">
        <v>360</v>
      </c>
      <c r="B145" s="21" t="s">
        <v>8</v>
      </c>
      <c r="C145" s="25">
        <f>[1]GBPJPY!$B18</f>
        <v>9.8699999999999996E-2</v>
      </c>
      <c r="D145" s="25">
        <f>[1]GBPJPY!$F18</f>
        <v>-2.3599999999999999E-2</v>
      </c>
      <c r="E145" s="25">
        <f>[1]GBPJPY!$E18</f>
        <v>-4.1900000000000007E-2</v>
      </c>
      <c r="F145" s="25">
        <f>[1]GBPJPY!$D18</f>
        <v>2.5999999999999999E-3</v>
      </c>
      <c r="G145" s="25">
        <f>[1]GBPJPY!$C18</f>
        <v>1.0800000000000001E-2</v>
      </c>
      <c r="H145" s="8"/>
      <c r="I145" s="21" t="s">
        <v>8</v>
      </c>
      <c r="J145" s="28">
        <f>'[2]G7 Cross'!$C137</f>
        <v>1.03</v>
      </c>
      <c r="K145" s="28">
        <v>1.5</v>
      </c>
      <c r="L145" s="28">
        <v>3</v>
      </c>
      <c r="M145" s="28">
        <v>1</v>
      </c>
      <c r="N145" s="28">
        <v>2</v>
      </c>
      <c r="O145" s="16"/>
      <c r="P145" s="21" t="s">
        <v>8</v>
      </c>
      <c r="Q145" s="20">
        <f t="shared" si="105"/>
        <v>9.1549999999999992E-2</v>
      </c>
      <c r="R145" s="20">
        <f t="shared" si="97"/>
        <v>-3.1099999999999999E-2</v>
      </c>
      <c r="S145" s="20">
        <f t="shared" si="98"/>
        <v>-5.6900000000000006E-2</v>
      </c>
      <c r="T145" s="20">
        <f t="shared" si="99"/>
        <v>-2.4000000000000002E-3</v>
      </c>
      <c r="U145" s="20">
        <f t="shared" si="100"/>
        <v>8.0000000000000036E-4</v>
      </c>
      <c r="V145" s="22"/>
      <c r="W145" s="21" t="s">
        <v>8</v>
      </c>
      <c r="X145" s="20">
        <f t="shared" si="106"/>
        <v>0.10185</v>
      </c>
      <c r="Y145" s="20">
        <f t="shared" si="101"/>
        <v>-1.61E-2</v>
      </c>
      <c r="Z145" s="20">
        <f t="shared" si="102"/>
        <v>-2.6900000000000007E-2</v>
      </c>
      <c r="AA145" s="20">
        <f t="shared" si="103"/>
        <v>7.6E-3</v>
      </c>
      <c r="AB145" s="20">
        <f t="shared" si="104"/>
        <v>2.0799999999999999E-2</v>
      </c>
    </row>
    <row r="146" spans="1:28" x14ac:dyDescent="0.25">
      <c r="A146" s="21" t="s">
        <v>360</v>
      </c>
      <c r="B146" s="21" t="s">
        <v>9</v>
      </c>
      <c r="C146" s="25">
        <f>[1]GBPJPY!$B19</f>
        <v>9.4299999999999995E-2</v>
      </c>
      <c r="D146" s="25">
        <f>[1]GBPJPY!$F19</f>
        <v>-2.18E-2</v>
      </c>
      <c r="E146" s="25">
        <f>[1]GBPJPY!$E19</f>
        <v>-3.9199999999999999E-2</v>
      </c>
      <c r="F146" s="25">
        <f>[1]GBPJPY!$D19</f>
        <v>2.5000000000000001E-3</v>
      </c>
      <c r="G146" s="25">
        <f>[1]GBPJPY!$C19</f>
        <v>1.06E-2</v>
      </c>
      <c r="H146" s="8"/>
      <c r="I146" s="21" t="s">
        <v>9</v>
      </c>
      <c r="J146" s="28">
        <f>'[2]G7 Cross'!$C138</f>
        <v>0.83</v>
      </c>
      <c r="K146" s="28">
        <v>0.8</v>
      </c>
      <c r="L146" s="28">
        <v>1.6</v>
      </c>
      <c r="M146" s="28">
        <v>0.5</v>
      </c>
      <c r="N146" s="28">
        <v>1</v>
      </c>
      <c r="O146" s="16"/>
      <c r="P146" s="21" t="s">
        <v>9</v>
      </c>
      <c r="Q146" s="20">
        <f t="shared" si="105"/>
        <v>8.8149999999999992E-2</v>
      </c>
      <c r="R146" s="20">
        <f t="shared" si="97"/>
        <v>-2.58E-2</v>
      </c>
      <c r="S146" s="20">
        <f t="shared" si="98"/>
        <v>-4.7199999999999999E-2</v>
      </c>
      <c r="T146" s="20">
        <f t="shared" si="99"/>
        <v>0</v>
      </c>
      <c r="U146" s="20">
        <f t="shared" si="100"/>
        <v>5.5999999999999999E-3</v>
      </c>
      <c r="V146" s="22"/>
      <c r="W146" s="21" t="s">
        <v>9</v>
      </c>
      <c r="X146" s="20">
        <f t="shared" si="106"/>
        <v>9.6449999999999994E-2</v>
      </c>
      <c r="Y146" s="20">
        <f t="shared" si="101"/>
        <v>-1.78E-2</v>
      </c>
      <c r="Z146" s="20">
        <f t="shared" si="102"/>
        <v>-3.1199999999999999E-2</v>
      </c>
      <c r="AA146" s="20">
        <f t="shared" si="103"/>
        <v>5.0000000000000001E-3</v>
      </c>
      <c r="AB146" s="20">
        <f t="shared" si="104"/>
        <v>1.5599999999999999E-2</v>
      </c>
    </row>
    <row r="147" spans="1:28" x14ac:dyDescent="0.25">
      <c r="A147" s="21" t="s">
        <v>360</v>
      </c>
      <c r="B147" s="21" t="s">
        <v>10</v>
      </c>
      <c r="C147" s="25">
        <f>[1]GBPJPY!$B20</f>
        <v>9.1499999999999998E-2</v>
      </c>
      <c r="D147" s="25">
        <f>[1]GBPJPY!$F20</f>
        <v>-2.0400000000000001E-2</v>
      </c>
      <c r="E147" s="25">
        <f>[1]GBPJPY!$E20</f>
        <v>-3.7400000000000003E-2</v>
      </c>
      <c r="F147" s="25">
        <f>[1]GBPJPY!$D20</f>
        <v>2.5000000000000001E-3</v>
      </c>
      <c r="G147" s="25">
        <f>[1]GBPJPY!$C20</f>
        <v>1.06E-2</v>
      </c>
      <c r="H147" s="8"/>
      <c r="I147" s="21" t="s">
        <v>10</v>
      </c>
      <c r="J147" s="28">
        <f>'[2]G7 Cross'!$C139</f>
        <v>0.82</v>
      </c>
      <c r="K147" s="28">
        <v>0.8</v>
      </c>
      <c r="L147" s="28">
        <v>1.6</v>
      </c>
      <c r="M147" s="28">
        <v>0.5</v>
      </c>
      <c r="N147" s="28">
        <v>1</v>
      </c>
      <c r="O147" s="16"/>
      <c r="P147" s="21" t="s">
        <v>10</v>
      </c>
      <c r="Q147" s="20">
        <f t="shared" si="105"/>
        <v>8.5400000000000004E-2</v>
      </c>
      <c r="R147" s="20">
        <f t="shared" si="97"/>
        <v>-2.4400000000000002E-2</v>
      </c>
      <c r="S147" s="20">
        <f t="shared" si="98"/>
        <v>-4.5400000000000003E-2</v>
      </c>
      <c r="T147" s="20">
        <f t="shared" si="99"/>
        <v>0</v>
      </c>
      <c r="U147" s="20">
        <f t="shared" si="100"/>
        <v>5.5999999999999999E-3</v>
      </c>
      <c r="V147" s="22"/>
      <c r="W147" s="21" t="s">
        <v>10</v>
      </c>
      <c r="X147" s="20">
        <f t="shared" si="106"/>
        <v>9.3599999999999989E-2</v>
      </c>
      <c r="Y147" s="20">
        <f t="shared" si="101"/>
        <v>-1.6400000000000001E-2</v>
      </c>
      <c r="Z147" s="20">
        <f t="shared" si="102"/>
        <v>-2.9400000000000003E-2</v>
      </c>
      <c r="AA147" s="20">
        <f t="shared" si="103"/>
        <v>5.0000000000000001E-3</v>
      </c>
      <c r="AB147" s="20">
        <f t="shared" si="104"/>
        <v>1.5599999999999999E-2</v>
      </c>
    </row>
    <row r="148" spans="1:28" x14ac:dyDescent="0.25">
      <c r="A148" s="21" t="s">
        <v>360</v>
      </c>
      <c r="B148" s="21" t="s">
        <v>11</v>
      </c>
      <c r="C148" s="25">
        <f>[1]GBPJPY!$B21</f>
        <v>8.929999999999999E-2</v>
      </c>
      <c r="D148" s="25">
        <f>[1]GBPJPY!$F21</f>
        <v>-1.7299999999999999E-2</v>
      </c>
      <c r="E148" s="25">
        <f>[1]GBPJPY!$E21</f>
        <v>-3.3300000000000003E-2</v>
      </c>
      <c r="F148" s="25">
        <f>[1]GBPJPY!$D21</f>
        <v>2.5999999999999999E-3</v>
      </c>
      <c r="G148" s="25">
        <f>[1]GBPJPY!$C21</f>
        <v>1.15E-2</v>
      </c>
      <c r="H148" s="8"/>
      <c r="I148" s="21" t="s">
        <v>11</v>
      </c>
      <c r="J148" s="28">
        <f>'[2]G7 Cross'!$C140</f>
        <v>0.71</v>
      </c>
      <c r="K148" s="28">
        <v>0.8</v>
      </c>
      <c r="L148" s="28">
        <v>1.6</v>
      </c>
      <c r="M148" s="28">
        <v>0.5</v>
      </c>
      <c r="N148" s="28">
        <v>1</v>
      </c>
      <c r="O148" s="16"/>
      <c r="P148" s="21" t="s">
        <v>11</v>
      </c>
      <c r="Q148" s="20">
        <f t="shared" si="105"/>
        <v>8.3749999999999991E-2</v>
      </c>
      <c r="R148" s="20">
        <f t="shared" si="97"/>
        <v>-2.1299999999999999E-2</v>
      </c>
      <c r="S148" s="20">
        <f t="shared" si="98"/>
        <v>-4.1300000000000003E-2</v>
      </c>
      <c r="T148" s="20">
        <f t="shared" si="99"/>
        <v>9.9999999999999829E-5</v>
      </c>
      <c r="U148" s="20">
        <f t="shared" si="100"/>
        <v>6.4999999999999997E-3</v>
      </c>
      <c r="V148" s="22"/>
      <c r="W148" s="21" t="s">
        <v>11</v>
      </c>
      <c r="X148" s="20">
        <f t="shared" si="106"/>
        <v>9.0849999999999986E-2</v>
      </c>
      <c r="Y148" s="20">
        <f t="shared" si="101"/>
        <v>-1.3299999999999999E-2</v>
      </c>
      <c r="Z148" s="20">
        <f t="shared" si="102"/>
        <v>-2.5300000000000003E-2</v>
      </c>
      <c r="AA148" s="20">
        <f t="shared" si="103"/>
        <v>5.1000000000000004E-3</v>
      </c>
      <c r="AB148" s="20">
        <f t="shared" si="104"/>
        <v>1.6500000000000001E-2</v>
      </c>
    </row>
    <row r="149" spans="1:28" x14ac:dyDescent="0.25">
      <c r="A149" s="21" t="s">
        <v>360</v>
      </c>
      <c r="B149" s="21" t="s">
        <v>12</v>
      </c>
      <c r="C149" s="25">
        <f>[1]GBPJPY!$B22</f>
        <v>8.929999999999999E-2</v>
      </c>
      <c r="D149" s="25">
        <f>[1]GBPJPY!$F22</f>
        <v>-1.5300000000000001E-2</v>
      </c>
      <c r="E149" s="25">
        <f>[1]GBPJPY!$E22</f>
        <v>-3.1E-2</v>
      </c>
      <c r="F149" s="25">
        <f>[1]GBPJPY!$D22</f>
        <v>2.8000000000000004E-3</v>
      </c>
      <c r="G149" s="25">
        <f>[1]GBPJPY!$C22</f>
        <v>1.2699999999999999E-2</v>
      </c>
      <c r="H149" s="8"/>
      <c r="I149" s="21" t="s">
        <v>12</v>
      </c>
      <c r="J149" s="28">
        <f>'[2]G7 Cross'!$C141</f>
        <v>0.68</v>
      </c>
      <c r="K149" s="28">
        <v>0.8</v>
      </c>
      <c r="L149" s="28">
        <v>1.6</v>
      </c>
      <c r="M149" s="28">
        <v>0.5</v>
      </c>
      <c r="N149" s="28">
        <v>1</v>
      </c>
      <c r="O149" s="16"/>
      <c r="P149" s="21" t="s">
        <v>12</v>
      </c>
      <c r="Q149" s="20">
        <f t="shared" si="105"/>
        <v>8.3899999999999988E-2</v>
      </c>
      <c r="R149" s="20">
        <f t="shared" si="97"/>
        <v>-1.9300000000000001E-2</v>
      </c>
      <c r="S149" s="20">
        <f t="shared" si="98"/>
        <v>-3.9E-2</v>
      </c>
      <c r="T149" s="20">
        <f t="shared" si="99"/>
        <v>3.0000000000000035E-4</v>
      </c>
      <c r="U149" s="20">
        <f t="shared" si="100"/>
        <v>7.6999999999999994E-3</v>
      </c>
      <c r="V149" s="22"/>
      <c r="W149" s="21" t="s">
        <v>12</v>
      </c>
      <c r="X149" s="20">
        <f t="shared" si="106"/>
        <v>9.0699999999999989E-2</v>
      </c>
      <c r="Y149" s="20">
        <f t="shared" si="101"/>
        <v>-1.1300000000000001E-2</v>
      </c>
      <c r="Z149" s="20">
        <f t="shared" si="102"/>
        <v>-2.3E-2</v>
      </c>
      <c r="AA149" s="20">
        <f t="shared" si="103"/>
        <v>5.3000000000000009E-3</v>
      </c>
      <c r="AB149" s="20">
        <f t="shared" si="104"/>
        <v>1.77E-2</v>
      </c>
    </row>
    <row r="150" spans="1:28" x14ac:dyDescent="0.25">
      <c r="A150" s="21" t="s">
        <v>360</v>
      </c>
      <c r="B150" s="21" t="s">
        <v>13</v>
      </c>
      <c r="C150" s="25">
        <f>[1]GBPJPY!$B23</f>
        <v>8.9800000000000005E-2</v>
      </c>
      <c r="D150" s="25">
        <f>[1]GBPJPY!$F23</f>
        <v>-1.32E-2</v>
      </c>
      <c r="E150" s="25">
        <f>[1]GBPJPY!$E23</f>
        <v>-2.7799999999999998E-2</v>
      </c>
      <c r="F150" s="25">
        <f>[1]GBPJPY!$D23</f>
        <v>3.0999999999999999E-3</v>
      </c>
      <c r="G150" s="25">
        <f>[1]GBPJPY!$C23</f>
        <v>1.3999999999999999E-2</v>
      </c>
      <c r="H150" s="8"/>
      <c r="I150" s="21" t="s">
        <v>13</v>
      </c>
      <c r="J150" s="28">
        <f>'[2]G7 Cross'!$C142</f>
        <v>0.69</v>
      </c>
      <c r="K150" s="28">
        <v>0.8</v>
      </c>
      <c r="L150" s="28">
        <v>1.6</v>
      </c>
      <c r="M150" s="28">
        <v>0.5</v>
      </c>
      <c r="N150" s="28">
        <v>1</v>
      </c>
      <c r="O150" s="16"/>
      <c r="P150" s="21" t="s">
        <v>13</v>
      </c>
      <c r="Q150" s="20">
        <f t="shared" si="105"/>
        <v>8.4350000000000008E-2</v>
      </c>
      <c r="R150" s="20">
        <f t="shared" si="97"/>
        <v>-1.72E-2</v>
      </c>
      <c r="S150" s="20">
        <f t="shared" si="98"/>
        <v>-3.5799999999999998E-2</v>
      </c>
      <c r="T150" s="20">
        <f t="shared" si="99"/>
        <v>5.9999999999999984E-4</v>
      </c>
      <c r="U150" s="20">
        <f t="shared" si="100"/>
        <v>8.9999999999999976E-3</v>
      </c>
      <c r="V150" s="22"/>
      <c r="W150" s="21" t="s">
        <v>13</v>
      </c>
      <c r="X150" s="20">
        <f t="shared" si="106"/>
        <v>9.1249999999999998E-2</v>
      </c>
      <c r="Y150" s="20">
        <f t="shared" si="101"/>
        <v>-9.1999999999999998E-3</v>
      </c>
      <c r="Z150" s="20">
        <f t="shared" si="102"/>
        <v>-1.9799999999999998E-2</v>
      </c>
      <c r="AA150" s="20">
        <f t="shared" si="103"/>
        <v>5.5999999999999999E-3</v>
      </c>
      <c r="AB150" s="20">
        <f t="shared" si="104"/>
        <v>1.9E-2</v>
      </c>
    </row>
    <row r="151" spans="1:28" x14ac:dyDescent="0.25">
      <c r="A151" s="21" t="s">
        <v>360</v>
      </c>
      <c r="B151" s="21" t="s">
        <v>14</v>
      </c>
      <c r="C151" s="25">
        <f>[1]GBPJPY!$B24</f>
        <v>9.0700000000000003E-2</v>
      </c>
      <c r="D151" s="25">
        <f>[1]GBPJPY!$F24</f>
        <v>-1.29E-2</v>
      </c>
      <c r="E151" s="25">
        <f>[1]GBPJPY!$E24</f>
        <v>-2.4399999999999998E-2</v>
      </c>
      <c r="F151" s="25">
        <f>[1]GBPJPY!$D24</f>
        <v>3.8E-3</v>
      </c>
      <c r="G151" s="25">
        <f>[1]GBPJPY!$C24</f>
        <v>1.6E-2</v>
      </c>
      <c r="H151" s="16"/>
      <c r="I151" s="21" t="s">
        <v>14</v>
      </c>
      <c r="J151" s="28">
        <f>'[2]G7 Cross'!$C143</f>
        <v>1.01</v>
      </c>
      <c r="K151" s="28">
        <v>1.2</v>
      </c>
      <c r="L151" s="28">
        <v>2.4</v>
      </c>
      <c r="M151" s="28">
        <v>0.8</v>
      </c>
      <c r="N151" s="28">
        <v>1.6</v>
      </c>
      <c r="O151" s="16"/>
      <c r="P151" s="21" t="s">
        <v>14</v>
      </c>
      <c r="Q151" s="20">
        <f t="shared" si="105"/>
        <v>8.3650000000000002E-2</v>
      </c>
      <c r="R151" s="20">
        <f t="shared" si="97"/>
        <v>-1.89E-2</v>
      </c>
      <c r="S151" s="20">
        <f t="shared" si="98"/>
        <v>-3.6400000000000002E-2</v>
      </c>
      <c r="T151" s="20">
        <f t="shared" si="99"/>
        <v>-2.0000000000000009E-4</v>
      </c>
      <c r="U151" s="20">
        <f t="shared" si="100"/>
        <v>8.0000000000000002E-3</v>
      </c>
      <c r="V151" s="22"/>
      <c r="W151" s="21" t="s">
        <v>14</v>
      </c>
      <c r="X151" s="20">
        <f t="shared" si="106"/>
        <v>9.375E-2</v>
      </c>
      <c r="Y151" s="20">
        <f t="shared" si="101"/>
        <v>-6.8999999999999999E-3</v>
      </c>
      <c r="Z151" s="20">
        <f t="shared" si="102"/>
        <v>-1.2399999999999998E-2</v>
      </c>
      <c r="AA151" s="20">
        <f t="shared" si="103"/>
        <v>7.7999999999999996E-3</v>
      </c>
      <c r="AB151" s="20">
        <f t="shared" si="104"/>
        <v>2.4E-2</v>
      </c>
    </row>
    <row r="152" spans="1:28" x14ac:dyDescent="0.25">
      <c r="A152" s="21" t="s">
        <v>360</v>
      </c>
      <c r="B152" s="21" t="s">
        <v>876</v>
      </c>
      <c r="C152" s="25">
        <f>[1]GBPJPY!$B25</f>
        <v>9.2200000000000004E-2</v>
      </c>
      <c r="D152" s="25">
        <f>[1]GBPJPY!$F25</f>
        <v>-1.52E-2</v>
      </c>
      <c r="E152" s="25">
        <f>[1]GBPJPY!$E25</f>
        <v>-2.86E-2</v>
      </c>
      <c r="F152" s="25">
        <f>[1]GBPJPY!$D25</f>
        <v>4.0999999999999995E-3</v>
      </c>
      <c r="G152" s="25">
        <f>[1]GBPJPY!$C25</f>
        <v>1.7899999999999999E-2</v>
      </c>
      <c r="H152" s="16"/>
      <c r="I152" s="21" t="s">
        <v>876</v>
      </c>
      <c r="J152" s="28">
        <f>'[2]G7 Cross'!$C144</f>
        <v>1.03</v>
      </c>
      <c r="K152" s="28">
        <v>1.2</v>
      </c>
      <c r="L152" s="28">
        <v>2.4</v>
      </c>
      <c r="M152" s="28">
        <v>0.8</v>
      </c>
      <c r="N152" s="28">
        <v>1.6</v>
      </c>
      <c r="O152" s="16"/>
      <c r="P152" s="21" t="s">
        <v>876</v>
      </c>
      <c r="Q152" s="20">
        <f t="shared" si="105"/>
        <v>8.5050000000000001E-2</v>
      </c>
      <c r="R152" s="20">
        <f t="shared" si="97"/>
        <v>-2.12E-2</v>
      </c>
      <c r="S152" s="20">
        <f t="shared" si="98"/>
        <v>-4.0599999999999997E-2</v>
      </c>
      <c r="T152" s="20">
        <f t="shared" si="99"/>
        <v>9.9999999999999395E-5</v>
      </c>
      <c r="U152" s="20">
        <f t="shared" si="100"/>
        <v>9.8999999999999991E-3</v>
      </c>
      <c r="V152" s="22"/>
      <c r="W152" s="21" t="s">
        <v>876</v>
      </c>
      <c r="X152" s="20">
        <f t="shared" si="106"/>
        <v>9.5350000000000004E-2</v>
      </c>
      <c r="Y152" s="20">
        <f t="shared" si="101"/>
        <v>-9.1999999999999998E-3</v>
      </c>
      <c r="Z152" s="20">
        <f t="shared" si="102"/>
        <v>-1.66E-2</v>
      </c>
      <c r="AA152" s="20">
        <f t="shared" si="103"/>
        <v>8.0999999999999996E-3</v>
      </c>
      <c r="AB152" s="20">
        <f t="shared" si="104"/>
        <v>2.5899999999999999E-2</v>
      </c>
    </row>
    <row r="153" spans="1:28" x14ac:dyDescent="0.25">
      <c r="A153" s="16"/>
      <c r="B153" s="16"/>
      <c r="C153" s="26"/>
      <c r="D153" s="26"/>
      <c r="E153" s="26"/>
      <c r="F153" s="26"/>
      <c r="G153" s="26"/>
      <c r="H153" s="16"/>
      <c r="I153" s="16"/>
      <c r="J153" s="16"/>
      <c r="K153" s="16"/>
      <c r="L153" s="16"/>
      <c r="M153" s="16"/>
      <c r="N153" s="16"/>
      <c r="O153" s="16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4" spans="1:28" x14ac:dyDescent="0.25">
      <c r="A154" s="16"/>
      <c r="B154" s="16"/>
      <c r="C154" s="26"/>
      <c r="D154" s="26"/>
      <c r="E154" s="26"/>
      <c r="F154" s="26"/>
      <c r="G154" s="26"/>
      <c r="H154" s="16"/>
      <c r="I154" s="16"/>
      <c r="J154" s="16"/>
      <c r="K154" s="16"/>
      <c r="L154" s="16"/>
      <c r="M154" s="16"/>
      <c r="N154" s="16"/>
      <c r="O154" s="16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</row>
    <row r="155" spans="1:28" x14ac:dyDescent="0.25">
      <c r="A155" s="7" t="s">
        <v>70</v>
      </c>
      <c r="B155" s="7" t="s">
        <v>327</v>
      </c>
      <c r="C155" s="24" t="s">
        <v>311</v>
      </c>
      <c r="D155" s="24" t="s">
        <v>312</v>
      </c>
      <c r="E155" s="24" t="s">
        <v>313</v>
      </c>
      <c r="F155" s="24" t="s">
        <v>314</v>
      </c>
      <c r="G155" s="24" t="s">
        <v>315</v>
      </c>
      <c r="H155" s="8"/>
      <c r="I155" s="7" t="s">
        <v>328</v>
      </c>
      <c r="J155" s="7" t="s">
        <v>311</v>
      </c>
      <c r="K155" s="7" t="s">
        <v>312</v>
      </c>
      <c r="L155" s="7" t="s">
        <v>313</v>
      </c>
      <c r="M155" s="7" t="s">
        <v>314</v>
      </c>
      <c r="N155" s="7" t="s">
        <v>315</v>
      </c>
      <c r="O155" s="16"/>
      <c r="P155" s="7" t="s">
        <v>349</v>
      </c>
      <c r="Q155" s="7" t="s">
        <v>311</v>
      </c>
      <c r="R155" s="7" t="s">
        <v>312</v>
      </c>
      <c r="S155" s="7" t="s">
        <v>313</v>
      </c>
      <c r="T155" s="7" t="s">
        <v>314</v>
      </c>
      <c r="U155" s="7" t="s">
        <v>315</v>
      </c>
      <c r="V155" s="22"/>
      <c r="W155" s="7" t="s">
        <v>318</v>
      </c>
      <c r="X155" s="7" t="s">
        <v>311</v>
      </c>
      <c r="Y155" s="7" t="s">
        <v>312</v>
      </c>
      <c r="Z155" s="7" t="s">
        <v>313</v>
      </c>
      <c r="AA155" s="7" t="s">
        <v>314</v>
      </c>
      <c r="AB155" s="7" t="s">
        <v>315</v>
      </c>
    </row>
    <row r="156" spans="1:28" x14ac:dyDescent="0.25">
      <c r="A156" s="21" t="s">
        <v>945</v>
      </c>
      <c r="B156" s="21" t="s">
        <v>5</v>
      </c>
      <c r="C156" s="25">
        <f>[1]GBPNZD!$B15</f>
        <v>7.1199999999999999E-2</v>
      </c>
      <c r="D156" s="25">
        <f>[1]GBPNZD!$F15</f>
        <v>-4.0000000000000002E-4</v>
      </c>
      <c r="E156" s="25">
        <f>[1]GBPNZD!$E15</f>
        <v>-8.0000000000000004E-4</v>
      </c>
      <c r="F156" s="25">
        <f>[1]GBPNZD!$D15</f>
        <v>1.8E-3</v>
      </c>
      <c r="G156" s="25">
        <f>[1]GBPNZD!$C15</f>
        <v>6.4000000000000003E-3</v>
      </c>
      <c r="H156" s="8"/>
      <c r="I156" s="21" t="s">
        <v>5</v>
      </c>
      <c r="J156" s="28">
        <f>'[2]G7 Cross'!$C146</f>
        <v>3.48</v>
      </c>
      <c r="K156" s="28">
        <v>4</v>
      </c>
      <c r="L156" s="28">
        <v>8</v>
      </c>
      <c r="M156" s="28">
        <v>3</v>
      </c>
      <c r="N156" s="28">
        <v>6</v>
      </c>
      <c r="O156" s="16"/>
      <c r="P156" s="21" t="s">
        <v>5</v>
      </c>
      <c r="Q156" s="20">
        <f>(C156-J156/200)-0.002</f>
        <v>5.1799999999999999E-2</v>
      </c>
      <c r="R156" s="20">
        <f t="shared" ref="R156:R166" si="107">D156-K156/200</f>
        <v>-2.0400000000000001E-2</v>
      </c>
      <c r="S156" s="20">
        <f t="shared" ref="S156:S166" si="108">E156-L156/200</f>
        <v>-4.0800000000000003E-2</v>
      </c>
      <c r="T156" s="20">
        <f t="shared" ref="T156:T166" si="109">F156-M156/200</f>
        <v>-1.32E-2</v>
      </c>
      <c r="U156" s="20">
        <f t="shared" ref="U156:U166" si="110">G156-N156/200</f>
        <v>-2.3599999999999999E-2</v>
      </c>
      <c r="V156" s="22"/>
      <c r="W156" s="21" t="s">
        <v>5</v>
      </c>
      <c r="X156" s="20">
        <f>(C156+J156/200)-0.002</f>
        <v>8.6599999999999996E-2</v>
      </c>
      <c r="Y156" s="20">
        <f t="shared" ref="Y156:Y166" si="111">D156+K156/200</f>
        <v>1.9599999999999999E-2</v>
      </c>
      <c r="Z156" s="20">
        <f t="shared" ref="Z156:Z166" si="112">E156+L156/200</f>
        <v>3.9199999999999999E-2</v>
      </c>
      <c r="AA156" s="20">
        <f t="shared" ref="AA156:AA166" si="113">F156+M156/200</f>
        <v>1.6799999999999999E-2</v>
      </c>
      <c r="AB156" s="20">
        <f t="shared" ref="AB156:AB166" si="114">G156+N156/200</f>
        <v>3.6400000000000002E-2</v>
      </c>
    </row>
    <row r="157" spans="1:28" x14ac:dyDescent="0.25">
      <c r="A157" s="21" t="s">
        <v>945</v>
      </c>
      <c r="B157" s="21" t="s">
        <v>6</v>
      </c>
      <c r="C157" s="25">
        <f>[1]GBPNZD!$B16</f>
        <v>5.5500000000000001E-2</v>
      </c>
      <c r="D157" s="25">
        <f>[1]GBPNZD!$F16</f>
        <v>-8.0000000000000004E-4</v>
      </c>
      <c r="E157" s="25">
        <f>[1]GBPNZD!$E16</f>
        <v>-1.6000000000000001E-3</v>
      </c>
      <c r="F157" s="25">
        <f>[1]GBPNZD!$D16</f>
        <v>1.4000000000000002E-3</v>
      </c>
      <c r="G157" s="25">
        <f>[1]GBPNZD!$C16</f>
        <v>5.0000000000000001E-3</v>
      </c>
      <c r="H157" s="8"/>
      <c r="I157" s="21" t="s">
        <v>6</v>
      </c>
      <c r="J157" s="28">
        <f>'[2]G7 Cross'!$C147</f>
        <v>1.89</v>
      </c>
      <c r="K157" s="28">
        <v>2</v>
      </c>
      <c r="L157" s="28">
        <v>4</v>
      </c>
      <c r="M157" s="28">
        <v>1.5</v>
      </c>
      <c r="N157" s="28">
        <v>3</v>
      </c>
      <c r="O157" s="16"/>
      <c r="P157" s="21" t="s">
        <v>6</v>
      </c>
      <c r="Q157" s="20">
        <f t="shared" ref="Q157:Q166" si="115">(C157-J157/200)-0.002</f>
        <v>4.4049999999999999E-2</v>
      </c>
      <c r="R157" s="20">
        <f t="shared" si="107"/>
        <v>-1.0800000000000001E-2</v>
      </c>
      <c r="S157" s="20">
        <f t="shared" si="108"/>
        <v>-2.1600000000000001E-2</v>
      </c>
      <c r="T157" s="20">
        <f t="shared" si="109"/>
        <v>-6.0999999999999995E-3</v>
      </c>
      <c r="U157" s="20">
        <f t="shared" si="110"/>
        <v>-9.9999999999999985E-3</v>
      </c>
      <c r="V157" s="22"/>
      <c r="W157" s="21" t="s">
        <v>6</v>
      </c>
      <c r="X157" s="20">
        <f t="shared" ref="X157:X166" si="116">(C157+J157/200)-0.002</f>
        <v>6.2950000000000006E-2</v>
      </c>
      <c r="Y157" s="20">
        <f t="shared" si="111"/>
        <v>9.1999999999999998E-3</v>
      </c>
      <c r="Z157" s="20">
        <f t="shared" si="112"/>
        <v>1.84E-2</v>
      </c>
      <c r="AA157" s="20">
        <f t="shared" si="113"/>
        <v>8.8999999999999999E-3</v>
      </c>
      <c r="AB157" s="20">
        <f t="shared" si="114"/>
        <v>0.02</v>
      </c>
    </row>
    <row r="158" spans="1:28" x14ac:dyDescent="0.25">
      <c r="A158" s="21" t="s">
        <v>945</v>
      </c>
      <c r="B158" s="21" t="s">
        <v>7</v>
      </c>
      <c r="C158" s="25">
        <f>[1]GBPNZD!$B17</f>
        <v>5.6500000000000002E-2</v>
      </c>
      <c r="D158" s="25">
        <f>[1]GBPNZD!$F17</f>
        <v>-8.0000000000000004E-4</v>
      </c>
      <c r="E158" s="25">
        <f>[1]GBPNZD!$E17</f>
        <v>-1.6000000000000001E-3</v>
      </c>
      <c r="F158" s="25">
        <f>[1]GBPNZD!$D17</f>
        <v>1.2999999999999999E-3</v>
      </c>
      <c r="G158" s="25">
        <f>[1]GBPNZD!$C17</f>
        <v>4.8999999999999998E-3</v>
      </c>
      <c r="H158" s="8"/>
      <c r="I158" s="21" t="s">
        <v>7</v>
      </c>
      <c r="J158" s="28">
        <f>'[2]G7 Cross'!$C148</f>
        <v>1.23</v>
      </c>
      <c r="K158" s="28">
        <v>1.5</v>
      </c>
      <c r="L158" s="28">
        <v>3</v>
      </c>
      <c r="M158" s="28">
        <v>1</v>
      </c>
      <c r="N158" s="28">
        <v>2</v>
      </c>
      <c r="O158" s="16"/>
      <c r="P158" s="21" t="s">
        <v>7</v>
      </c>
      <c r="Q158" s="20">
        <f t="shared" si="115"/>
        <v>4.8349999999999997E-2</v>
      </c>
      <c r="R158" s="20">
        <f t="shared" si="107"/>
        <v>-8.3000000000000001E-3</v>
      </c>
      <c r="S158" s="20">
        <f t="shared" si="108"/>
        <v>-1.66E-2</v>
      </c>
      <c r="T158" s="20">
        <f t="shared" si="109"/>
        <v>-3.7000000000000002E-3</v>
      </c>
      <c r="U158" s="20">
        <f t="shared" si="110"/>
        <v>-5.1000000000000004E-3</v>
      </c>
      <c r="V158" s="22"/>
      <c r="W158" s="21" t="s">
        <v>7</v>
      </c>
      <c r="X158" s="20">
        <f t="shared" si="116"/>
        <v>6.0649999999999996E-2</v>
      </c>
      <c r="Y158" s="20">
        <f t="shared" si="111"/>
        <v>6.6999999999999994E-3</v>
      </c>
      <c r="Z158" s="20">
        <f t="shared" si="112"/>
        <v>1.3399999999999999E-2</v>
      </c>
      <c r="AA158" s="20">
        <f t="shared" si="113"/>
        <v>6.3E-3</v>
      </c>
      <c r="AB158" s="20">
        <f t="shared" si="114"/>
        <v>1.49E-2</v>
      </c>
    </row>
    <row r="159" spans="1:28" x14ac:dyDescent="0.25">
      <c r="A159" s="21" t="s">
        <v>945</v>
      </c>
      <c r="B159" s="21" t="s">
        <v>8</v>
      </c>
      <c r="C159" s="25">
        <f>[1]GBPNZD!$B18</f>
        <v>5.62E-2</v>
      </c>
      <c r="D159" s="25">
        <f>[1]GBPNZD!$F18</f>
        <v>-8.0000000000000004E-4</v>
      </c>
      <c r="E159" s="25">
        <f>[1]GBPNZD!$E18</f>
        <v>-1.5E-3</v>
      </c>
      <c r="F159" s="25">
        <f>[1]GBPNZD!$D18</f>
        <v>1.1999999999999999E-3</v>
      </c>
      <c r="G159" s="25">
        <f>[1]GBPNZD!$C18</f>
        <v>4.3E-3</v>
      </c>
      <c r="H159" s="8"/>
      <c r="I159" s="21" t="s">
        <v>8</v>
      </c>
      <c r="J159" s="28">
        <f>'[2]G7 Cross'!$C149</f>
        <v>0.56999999999999995</v>
      </c>
      <c r="K159" s="28">
        <v>1.5</v>
      </c>
      <c r="L159" s="28">
        <v>3</v>
      </c>
      <c r="M159" s="28">
        <v>1</v>
      </c>
      <c r="N159" s="28">
        <v>2</v>
      </c>
      <c r="O159" s="16"/>
      <c r="P159" s="21" t="s">
        <v>8</v>
      </c>
      <c r="Q159" s="20">
        <f t="shared" si="115"/>
        <v>5.135E-2</v>
      </c>
      <c r="R159" s="20">
        <f t="shared" si="107"/>
        <v>-8.3000000000000001E-3</v>
      </c>
      <c r="S159" s="20">
        <f t="shared" si="108"/>
        <v>-1.6500000000000001E-2</v>
      </c>
      <c r="T159" s="20">
        <f t="shared" si="109"/>
        <v>-3.8000000000000004E-3</v>
      </c>
      <c r="U159" s="20">
        <f t="shared" si="110"/>
        <v>-5.7000000000000002E-3</v>
      </c>
      <c r="V159" s="22"/>
      <c r="W159" s="21" t="s">
        <v>8</v>
      </c>
      <c r="X159" s="20">
        <f t="shared" si="116"/>
        <v>5.7049999999999997E-2</v>
      </c>
      <c r="Y159" s="20">
        <f t="shared" si="111"/>
        <v>6.6999999999999994E-3</v>
      </c>
      <c r="Z159" s="20">
        <f t="shared" si="112"/>
        <v>1.35E-2</v>
      </c>
      <c r="AA159" s="20">
        <f t="shared" si="113"/>
        <v>6.1999999999999998E-3</v>
      </c>
      <c r="AB159" s="20">
        <f t="shared" si="114"/>
        <v>1.43E-2</v>
      </c>
    </row>
    <row r="160" spans="1:28" x14ac:dyDescent="0.25">
      <c r="A160" s="21" t="s">
        <v>945</v>
      </c>
      <c r="B160" s="21" t="s">
        <v>9</v>
      </c>
      <c r="C160" s="25">
        <f>[1]GBPNZD!$B19</f>
        <v>6.1399999999999996E-2</v>
      </c>
      <c r="D160" s="25">
        <f>[1]GBPNZD!$F19</f>
        <v>-8.9999999999999998E-4</v>
      </c>
      <c r="E160" s="25">
        <f>[1]GBPNZD!$E19</f>
        <v>-1.7000000000000001E-3</v>
      </c>
      <c r="F160" s="25">
        <f>[1]GBPNZD!$D19</f>
        <v>1.4000000000000002E-3</v>
      </c>
      <c r="G160" s="25">
        <f>[1]GBPNZD!$C19</f>
        <v>5.0000000000000001E-3</v>
      </c>
      <c r="H160" s="8"/>
      <c r="I160" s="21" t="s">
        <v>9</v>
      </c>
      <c r="J160" s="28">
        <f>'[2]G7 Cross'!$C150</f>
        <v>0.52</v>
      </c>
      <c r="K160" s="28">
        <v>0.8</v>
      </c>
      <c r="L160" s="28">
        <v>1.6</v>
      </c>
      <c r="M160" s="28">
        <v>0.5</v>
      </c>
      <c r="N160" s="28">
        <v>1</v>
      </c>
      <c r="O160" s="16"/>
      <c r="P160" s="21" t="s">
        <v>9</v>
      </c>
      <c r="Q160" s="20">
        <f t="shared" si="115"/>
        <v>5.6799999999999996E-2</v>
      </c>
      <c r="R160" s="20">
        <f t="shared" si="107"/>
        <v>-4.8999999999999998E-3</v>
      </c>
      <c r="S160" s="20">
        <f t="shared" si="108"/>
        <v>-9.7000000000000003E-3</v>
      </c>
      <c r="T160" s="20">
        <f t="shared" si="109"/>
        <v>-1.0999999999999998E-3</v>
      </c>
      <c r="U160" s="20">
        <f t="shared" si="110"/>
        <v>0</v>
      </c>
      <c r="V160" s="22"/>
      <c r="W160" s="21" t="s">
        <v>9</v>
      </c>
      <c r="X160" s="20">
        <f t="shared" si="116"/>
        <v>6.2E-2</v>
      </c>
      <c r="Y160" s="20">
        <f t="shared" si="111"/>
        <v>3.1000000000000003E-3</v>
      </c>
      <c r="Z160" s="20">
        <f t="shared" si="112"/>
        <v>6.3E-3</v>
      </c>
      <c r="AA160" s="20">
        <f t="shared" si="113"/>
        <v>3.9000000000000003E-3</v>
      </c>
      <c r="AB160" s="20">
        <f t="shared" si="114"/>
        <v>0.01</v>
      </c>
    </row>
    <row r="161" spans="1:28" x14ac:dyDescent="0.25">
      <c r="A161" s="21" t="s">
        <v>945</v>
      </c>
      <c r="B161" s="21" t="s">
        <v>10</v>
      </c>
      <c r="C161" s="25">
        <f>[1]GBPNZD!$B20</f>
        <v>6.1600000000000002E-2</v>
      </c>
      <c r="D161" s="25">
        <f>[1]GBPNZD!$F20</f>
        <v>-1E-3</v>
      </c>
      <c r="E161" s="25">
        <f>[1]GBPNZD!$E20</f>
        <v>-1.8E-3</v>
      </c>
      <c r="F161" s="25">
        <f>[1]GBPNZD!$D20</f>
        <v>1.4000000000000002E-3</v>
      </c>
      <c r="G161" s="25">
        <f>[1]GBPNZD!$C20</f>
        <v>5.3E-3</v>
      </c>
      <c r="H161" s="8"/>
      <c r="I161" s="21" t="s">
        <v>10</v>
      </c>
      <c r="J161" s="28">
        <f>'[2]G7 Cross'!$C151</f>
        <v>0.51</v>
      </c>
      <c r="K161" s="28">
        <v>0.8</v>
      </c>
      <c r="L161" s="28">
        <v>1.6</v>
      </c>
      <c r="M161" s="28">
        <v>0.5</v>
      </c>
      <c r="N161" s="28">
        <v>1</v>
      </c>
      <c r="O161" s="16"/>
      <c r="P161" s="21" t="s">
        <v>10</v>
      </c>
      <c r="Q161" s="20">
        <f t="shared" si="115"/>
        <v>5.7050000000000003E-2</v>
      </c>
      <c r="R161" s="20">
        <f t="shared" si="107"/>
        <v>-5.0000000000000001E-3</v>
      </c>
      <c r="S161" s="20">
        <f t="shared" si="108"/>
        <v>-9.7999999999999997E-3</v>
      </c>
      <c r="T161" s="20">
        <f t="shared" si="109"/>
        <v>-1.0999999999999998E-3</v>
      </c>
      <c r="U161" s="20">
        <f t="shared" si="110"/>
        <v>2.9999999999999992E-4</v>
      </c>
      <c r="V161" s="22"/>
      <c r="W161" s="21" t="s">
        <v>10</v>
      </c>
      <c r="X161" s="20">
        <f t="shared" si="116"/>
        <v>6.2149999999999997E-2</v>
      </c>
      <c r="Y161" s="20">
        <f t="shared" si="111"/>
        <v>3.0000000000000001E-3</v>
      </c>
      <c r="Z161" s="20">
        <f t="shared" si="112"/>
        <v>6.2000000000000006E-3</v>
      </c>
      <c r="AA161" s="20">
        <f t="shared" si="113"/>
        <v>3.9000000000000003E-3</v>
      </c>
      <c r="AB161" s="20">
        <f t="shared" si="114"/>
        <v>1.03E-2</v>
      </c>
    </row>
    <row r="162" spans="1:28" x14ac:dyDescent="0.25">
      <c r="A162" s="21" t="s">
        <v>945</v>
      </c>
      <c r="B162" s="21" t="s">
        <v>11</v>
      </c>
      <c r="C162" s="25">
        <f>[1]GBPNZD!$B21</f>
        <v>6.3899999999999998E-2</v>
      </c>
      <c r="D162" s="25">
        <f>[1]GBPNZD!$F21</f>
        <v>-1E-3</v>
      </c>
      <c r="E162" s="25">
        <f>[1]GBPNZD!$E21</f>
        <v>-1.8E-3</v>
      </c>
      <c r="F162" s="25">
        <f>[1]GBPNZD!$D21</f>
        <v>1.7000000000000001E-3</v>
      </c>
      <c r="G162" s="25">
        <f>[1]GBPNZD!$C21</f>
        <v>6.6E-3</v>
      </c>
      <c r="H162" s="8"/>
      <c r="I162" s="21" t="s">
        <v>11</v>
      </c>
      <c r="J162" s="28">
        <f>'[2]G7 Cross'!$C152</f>
        <v>0.48</v>
      </c>
      <c r="K162" s="28">
        <v>0.8</v>
      </c>
      <c r="L162" s="28">
        <v>1.6</v>
      </c>
      <c r="M162" s="28">
        <v>0.5</v>
      </c>
      <c r="N162" s="28">
        <v>1</v>
      </c>
      <c r="O162" s="16"/>
      <c r="P162" s="21" t="s">
        <v>11</v>
      </c>
      <c r="Q162" s="20">
        <f t="shared" si="115"/>
        <v>5.9499999999999997E-2</v>
      </c>
      <c r="R162" s="20">
        <f t="shared" si="107"/>
        <v>-5.0000000000000001E-3</v>
      </c>
      <c r="S162" s="20">
        <f t="shared" si="108"/>
        <v>-9.7999999999999997E-3</v>
      </c>
      <c r="T162" s="20">
        <f t="shared" si="109"/>
        <v>-7.9999999999999993E-4</v>
      </c>
      <c r="U162" s="20">
        <f t="shared" si="110"/>
        <v>1.5999999999999999E-3</v>
      </c>
      <c r="V162" s="22"/>
      <c r="W162" s="21" t="s">
        <v>11</v>
      </c>
      <c r="X162" s="20">
        <f t="shared" si="116"/>
        <v>6.4299999999999996E-2</v>
      </c>
      <c r="Y162" s="20">
        <f t="shared" si="111"/>
        <v>3.0000000000000001E-3</v>
      </c>
      <c r="Z162" s="20">
        <f t="shared" si="112"/>
        <v>6.2000000000000006E-3</v>
      </c>
      <c r="AA162" s="20">
        <f t="shared" si="113"/>
        <v>4.2000000000000006E-3</v>
      </c>
      <c r="AB162" s="20">
        <f t="shared" si="114"/>
        <v>1.1599999999999999E-2</v>
      </c>
    </row>
    <row r="163" spans="1:28" x14ac:dyDescent="0.25">
      <c r="A163" s="21" t="s">
        <v>945</v>
      </c>
      <c r="B163" s="21" t="s">
        <v>12</v>
      </c>
      <c r="C163" s="25">
        <f>[1]GBPNZD!$B22</f>
        <v>6.6900000000000001E-2</v>
      </c>
      <c r="D163" s="25">
        <f>[1]GBPNZD!$F22</f>
        <v>-1.1000000000000001E-3</v>
      </c>
      <c r="E163" s="25">
        <f>[1]GBPNZD!$E22</f>
        <v>-1.8E-3</v>
      </c>
      <c r="F163" s="25">
        <f>[1]GBPNZD!$D22</f>
        <v>2.0999999999999999E-3</v>
      </c>
      <c r="G163" s="25">
        <f>[1]GBPNZD!$C22</f>
        <v>8.0000000000000002E-3</v>
      </c>
      <c r="H163" s="8"/>
      <c r="I163" s="21" t="s">
        <v>12</v>
      </c>
      <c r="J163" s="28">
        <f>'[2]G7 Cross'!$C153</f>
        <v>0.47</v>
      </c>
      <c r="K163" s="28">
        <v>0.8</v>
      </c>
      <c r="L163" s="28">
        <v>1.6</v>
      </c>
      <c r="M163" s="28">
        <v>0.5</v>
      </c>
      <c r="N163" s="28">
        <v>1</v>
      </c>
      <c r="O163" s="16"/>
      <c r="P163" s="21" t="s">
        <v>12</v>
      </c>
      <c r="Q163" s="20">
        <f t="shared" si="115"/>
        <v>6.2549999999999994E-2</v>
      </c>
      <c r="R163" s="20">
        <f t="shared" si="107"/>
        <v>-5.1000000000000004E-3</v>
      </c>
      <c r="S163" s="20">
        <f t="shared" si="108"/>
        <v>-9.7999999999999997E-3</v>
      </c>
      <c r="T163" s="20">
        <f t="shared" si="109"/>
        <v>-4.0000000000000018E-4</v>
      </c>
      <c r="U163" s="20">
        <f t="shared" si="110"/>
        <v>3.0000000000000001E-3</v>
      </c>
      <c r="V163" s="22"/>
      <c r="W163" s="21" t="s">
        <v>12</v>
      </c>
      <c r="X163" s="20">
        <f t="shared" si="116"/>
        <v>6.7250000000000004E-2</v>
      </c>
      <c r="Y163" s="20">
        <f t="shared" si="111"/>
        <v>2.8999999999999998E-3</v>
      </c>
      <c r="Z163" s="20">
        <f t="shared" si="112"/>
        <v>6.2000000000000006E-3</v>
      </c>
      <c r="AA163" s="20">
        <f t="shared" si="113"/>
        <v>4.5999999999999999E-3</v>
      </c>
      <c r="AB163" s="20">
        <f t="shared" si="114"/>
        <v>1.3000000000000001E-2</v>
      </c>
    </row>
    <row r="164" spans="1:28" x14ac:dyDescent="0.25">
      <c r="A164" s="21" t="s">
        <v>945</v>
      </c>
      <c r="B164" s="21" t="s">
        <v>13</v>
      </c>
      <c r="C164" s="25">
        <f>[1]GBPNZD!$B23</f>
        <v>6.9699999999999998E-2</v>
      </c>
      <c r="D164" s="25">
        <f>[1]GBPNZD!$F23</f>
        <v>-1E-3</v>
      </c>
      <c r="E164" s="25">
        <f>[1]GBPNZD!$E23</f>
        <v>-1.4000000000000002E-3</v>
      </c>
      <c r="F164" s="25">
        <f>[1]GBPNZD!$D23</f>
        <v>2.3999999999999998E-3</v>
      </c>
      <c r="G164" s="25">
        <f>[1]GBPNZD!$C23</f>
        <v>9.5999999999999992E-3</v>
      </c>
      <c r="H164" s="8"/>
      <c r="I164" s="21" t="s">
        <v>13</v>
      </c>
      <c r="J164" s="28">
        <f>'[2]G7 Cross'!$C154</f>
        <v>0.48</v>
      </c>
      <c r="K164" s="28">
        <v>0.8</v>
      </c>
      <c r="L164" s="28">
        <v>1.6</v>
      </c>
      <c r="M164" s="28">
        <v>0.5</v>
      </c>
      <c r="N164" s="28">
        <v>1</v>
      </c>
      <c r="O164" s="16"/>
      <c r="P164" s="21" t="s">
        <v>13</v>
      </c>
      <c r="Q164" s="20">
        <f t="shared" si="115"/>
        <v>6.5299999999999997E-2</v>
      </c>
      <c r="R164" s="20">
        <f t="shared" si="107"/>
        <v>-5.0000000000000001E-3</v>
      </c>
      <c r="S164" s="20">
        <f t="shared" si="108"/>
        <v>-9.4000000000000004E-3</v>
      </c>
      <c r="T164" s="20">
        <f t="shared" si="109"/>
        <v>-1.0000000000000026E-4</v>
      </c>
      <c r="U164" s="20">
        <f t="shared" si="110"/>
        <v>4.5999999999999991E-3</v>
      </c>
      <c r="V164" s="22"/>
      <c r="W164" s="21" t="s">
        <v>13</v>
      </c>
      <c r="X164" s="20">
        <f t="shared" si="116"/>
        <v>7.0099999999999996E-2</v>
      </c>
      <c r="Y164" s="20">
        <f t="shared" si="111"/>
        <v>3.0000000000000001E-3</v>
      </c>
      <c r="Z164" s="20">
        <f t="shared" si="112"/>
        <v>6.6E-3</v>
      </c>
      <c r="AA164" s="20">
        <f t="shared" si="113"/>
        <v>4.8999999999999998E-3</v>
      </c>
      <c r="AB164" s="20">
        <f t="shared" si="114"/>
        <v>1.4599999999999998E-2</v>
      </c>
    </row>
    <row r="165" spans="1:28" x14ac:dyDescent="0.25">
      <c r="A165" s="21" t="s">
        <v>945</v>
      </c>
      <c r="B165" s="21" t="s">
        <v>14</v>
      </c>
      <c r="C165" s="25">
        <f>[1]GBPNZD!$B24</f>
        <v>7.3200000000000001E-2</v>
      </c>
      <c r="D165" s="25">
        <f>[1]GBPNZD!$F24</f>
        <v>-1E-3</v>
      </c>
      <c r="E165" s="25">
        <f>[1]GBPNZD!$E24</f>
        <v>-1.1999999999999999E-3</v>
      </c>
      <c r="F165" s="25">
        <f>[1]GBPNZD!$D24</f>
        <v>2.8000000000000004E-3</v>
      </c>
      <c r="G165" s="25">
        <f>[1]GBPNZD!$C24</f>
        <v>1.03E-2</v>
      </c>
      <c r="H165" s="16"/>
      <c r="I165" s="21" t="s">
        <v>14</v>
      </c>
      <c r="J165" s="28">
        <f>'[2]G7 Cross'!$C155</f>
        <v>0.56000000000000005</v>
      </c>
      <c r="K165" s="28">
        <v>1.2</v>
      </c>
      <c r="L165" s="28">
        <v>2.4</v>
      </c>
      <c r="M165" s="28">
        <v>0.8</v>
      </c>
      <c r="N165" s="28">
        <v>1.6</v>
      </c>
      <c r="O165" s="16"/>
      <c r="P165" s="21" t="s">
        <v>14</v>
      </c>
      <c r="Q165" s="20">
        <f t="shared" si="115"/>
        <v>6.8400000000000002E-2</v>
      </c>
      <c r="R165" s="20">
        <f t="shared" si="107"/>
        <v>-7.0000000000000001E-3</v>
      </c>
      <c r="S165" s="20">
        <f t="shared" si="108"/>
        <v>-1.32E-2</v>
      </c>
      <c r="T165" s="20">
        <f t="shared" si="109"/>
        <v>-1.1999999999999997E-3</v>
      </c>
      <c r="U165" s="20">
        <f t="shared" si="110"/>
        <v>2.3E-3</v>
      </c>
      <c r="V165" s="22"/>
      <c r="W165" s="21" t="s">
        <v>14</v>
      </c>
      <c r="X165" s="20">
        <f t="shared" si="116"/>
        <v>7.3999999999999996E-2</v>
      </c>
      <c r="Y165" s="20">
        <f t="shared" si="111"/>
        <v>5.0000000000000001E-3</v>
      </c>
      <c r="Z165" s="20">
        <f t="shared" si="112"/>
        <v>1.0800000000000001E-2</v>
      </c>
      <c r="AA165" s="20">
        <f t="shared" si="113"/>
        <v>6.8000000000000005E-3</v>
      </c>
      <c r="AB165" s="20">
        <f t="shared" si="114"/>
        <v>1.83E-2</v>
      </c>
    </row>
    <row r="166" spans="1:28" x14ac:dyDescent="0.25">
      <c r="A166" s="21" t="s">
        <v>945</v>
      </c>
      <c r="B166" s="21" t="s">
        <v>876</v>
      </c>
      <c r="C166" s="25">
        <f>[1]GBPNZD!$B25</f>
        <v>7.5899999999999995E-2</v>
      </c>
      <c r="D166" s="25">
        <f>[1]GBPNZD!$F25</f>
        <v>-1E-3</v>
      </c>
      <c r="E166" s="25">
        <f>[1]GBPNZD!$E25</f>
        <v>-1E-3</v>
      </c>
      <c r="F166" s="25">
        <f>[1]GBPNZD!$D25</f>
        <v>2.8000000000000004E-3</v>
      </c>
      <c r="G166" s="25">
        <f>[1]GBPNZD!$C25</f>
        <v>1.0700000000000001E-2</v>
      </c>
      <c r="H166" s="16"/>
      <c r="I166" s="21" t="s">
        <v>876</v>
      </c>
      <c r="J166" s="28">
        <f>'[2]G7 Cross'!$C156</f>
        <v>1.1100000000000001</v>
      </c>
      <c r="K166" s="28">
        <v>1.2</v>
      </c>
      <c r="L166" s="28">
        <v>2.4</v>
      </c>
      <c r="M166" s="28">
        <v>0.8</v>
      </c>
      <c r="N166" s="28">
        <v>1.6</v>
      </c>
      <c r="O166" s="16"/>
      <c r="P166" s="21" t="s">
        <v>876</v>
      </c>
      <c r="Q166" s="20">
        <f t="shared" si="115"/>
        <v>6.8349999999999994E-2</v>
      </c>
      <c r="R166" s="20">
        <f t="shared" si="107"/>
        <v>-7.0000000000000001E-3</v>
      </c>
      <c r="S166" s="20">
        <f t="shared" si="108"/>
        <v>-1.3000000000000001E-2</v>
      </c>
      <c r="T166" s="20">
        <f t="shared" si="109"/>
        <v>-1.1999999999999997E-3</v>
      </c>
      <c r="U166" s="20">
        <f t="shared" si="110"/>
        <v>2.700000000000001E-3</v>
      </c>
      <c r="V166" s="22"/>
      <c r="W166" s="21" t="s">
        <v>876</v>
      </c>
      <c r="X166" s="20">
        <f t="shared" si="116"/>
        <v>7.9449999999999993E-2</v>
      </c>
      <c r="Y166" s="20">
        <f t="shared" si="111"/>
        <v>5.0000000000000001E-3</v>
      </c>
      <c r="Z166" s="20">
        <f t="shared" si="112"/>
        <v>1.0999999999999999E-2</v>
      </c>
      <c r="AA166" s="20">
        <f t="shared" si="113"/>
        <v>6.8000000000000005E-3</v>
      </c>
      <c r="AB166" s="20">
        <f t="shared" si="114"/>
        <v>1.8700000000000001E-2</v>
      </c>
    </row>
    <row r="167" spans="1:28" x14ac:dyDescent="0.25">
      <c r="A167" s="16"/>
      <c r="B167" s="16"/>
      <c r="C167" s="26"/>
      <c r="D167" s="26"/>
      <c r="E167" s="26"/>
      <c r="F167" s="26"/>
      <c r="G167" s="26"/>
      <c r="H167" s="16"/>
      <c r="I167" s="16"/>
      <c r="J167" s="16"/>
      <c r="K167" s="16"/>
      <c r="L167" s="16"/>
      <c r="M167" s="16"/>
      <c r="N167" s="16"/>
      <c r="O167" s="16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 spans="1:28" x14ac:dyDescent="0.25">
      <c r="A168" s="16"/>
      <c r="B168" s="16"/>
      <c r="C168" s="26"/>
      <c r="D168" s="26"/>
      <c r="E168" s="26"/>
      <c r="F168" s="26"/>
      <c r="G168" s="26"/>
      <c r="H168" s="16"/>
      <c r="I168" s="16"/>
      <c r="J168" s="16"/>
      <c r="K168" s="16"/>
      <c r="L168" s="16"/>
      <c r="M168" s="16"/>
      <c r="N168" s="16"/>
      <c r="O168" s="16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</row>
    <row r="169" spans="1:28" x14ac:dyDescent="0.25">
      <c r="A169" s="7" t="s">
        <v>70</v>
      </c>
      <c r="B169" s="7" t="s">
        <v>327</v>
      </c>
      <c r="C169" s="24" t="s">
        <v>311</v>
      </c>
      <c r="D169" s="24" t="s">
        <v>312</v>
      </c>
      <c r="E169" s="24" t="s">
        <v>313</v>
      </c>
      <c r="F169" s="24" t="s">
        <v>314</v>
      </c>
      <c r="G169" s="24" t="s">
        <v>315</v>
      </c>
      <c r="H169" s="8"/>
      <c r="I169" s="7" t="s">
        <v>328</v>
      </c>
      <c r="J169" s="7" t="s">
        <v>311</v>
      </c>
      <c r="K169" s="7" t="s">
        <v>312</v>
      </c>
      <c r="L169" s="7" t="s">
        <v>313</v>
      </c>
      <c r="M169" s="7" t="s">
        <v>314</v>
      </c>
      <c r="N169" s="7" t="s">
        <v>315</v>
      </c>
      <c r="O169" s="16"/>
      <c r="P169" s="7" t="s">
        <v>349</v>
      </c>
      <c r="Q169" s="7" t="s">
        <v>311</v>
      </c>
      <c r="R169" s="7" t="s">
        <v>312</v>
      </c>
      <c r="S169" s="7" t="s">
        <v>313</v>
      </c>
      <c r="T169" s="7" t="s">
        <v>314</v>
      </c>
      <c r="U169" s="7" t="s">
        <v>315</v>
      </c>
      <c r="V169" s="22"/>
      <c r="W169" s="7" t="s">
        <v>318</v>
      </c>
      <c r="X169" s="7" t="s">
        <v>311</v>
      </c>
      <c r="Y169" s="7" t="s">
        <v>312</v>
      </c>
      <c r="Z169" s="7" t="s">
        <v>313</v>
      </c>
      <c r="AA169" s="7" t="s">
        <v>314</v>
      </c>
      <c r="AB169" s="7" t="s">
        <v>315</v>
      </c>
    </row>
    <row r="170" spans="1:28" x14ac:dyDescent="0.25">
      <c r="A170" s="21" t="s">
        <v>946</v>
      </c>
      <c r="B170" s="21" t="s">
        <v>5</v>
      </c>
      <c r="C170" s="25">
        <f>[1]NZDCAD!$B15</f>
        <v>8.0199999999999994E-2</v>
      </c>
      <c r="D170" s="25">
        <f>[1]NZDCAD!$F15</f>
        <v>-3.4999999999999996E-3</v>
      </c>
      <c r="E170" s="25">
        <f>[1]NZDCAD!$E15</f>
        <v>-6.7000000000000002E-3</v>
      </c>
      <c r="F170" s="25">
        <f>[1]NZDCAD!$D15</f>
        <v>1.5E-3</v>
      </c>
      <c r="G170" s="25">
        <f>[1]NZDCAD!$C15</f>
        <v>5.5000000000000005E-3</v>
      </c>
      <c r="H170" s="8"/>
      <c r="I170" s="21" t="s">
        <v>5</v>
      </c>
      <c r="J170" s="28">
        <f>'[2]G7 Cross'!$C158</f>
        <v>6.15</v>
      </c>
      <c r="K170" s="28">
        <v>3.2</v>
      </c>
      <c r="L170" s="28">
        <v>6.4</v>
      </c>
      <c r="M170" s="28">
        <v>2.2000000000000002</v>
      </c>
      <c r="N170" s="28">
        <v>4.4000000000000004</v>
      </c>
      <c r="O170" s="16"/>
      <c r="P170" s="21" t="s">
        <v>5</v>
      </c>
      <c r="Q170" s="20">
        <f>(C170-J170/200)-0.002</f>
        <v>4.7449999999999992E-2</v>
      </c>
      <c r="R170" s="20">
        <f t="shared" ref="R170:R180" si="117">D170-K170/200</f>
        <v>-1.95E-2</v>
      </c>
      <c r="S170" s="20">
        <f t="shared" ref="S170:S180" si="118">E170-L170/200</f>
        <v>-3.8699999999999998E-2</v>
      </c>
      <c r="T170" s="20">
        <f t="shared" ref="T170:T180" si="119">F170-M170/200</f>
        <v>-9.5000000000000015E-3</v>
      </c>
      <c r="U170" s="20">
        <f t="shared" ref="U170:U180" si="120">G170-N170/200</f>
        <v>-1.6500000000000001E-2</v>
      </c>
      <c r="V170" s="22"/>
      <c r="W170" s="21" t="s">
        <v>5</v>
      </c>
      <c r="X170" s="20">
        <f>(C170+J170/200)-0.002</f>
        <v>0.10894999999999999</v>
      </c>
      <c r="Y170" s="20">
        <f t="shared" ref="Y170:Y180" si="121">D170+K170/200</f>
        <v>1.2500000000000001E-2</v>
      </c>
      <c r="Z170" s="20">
        <f t="shared" ref="Z170:Z180" si="122">E170+L170/200</f>
        <v>2.53E-2</v>
      </c>
      <c r="AA170" s="20">
        <f t="shared" ref="AA170:AA180" si="123">F170+M170/200</f>
        <v>1.2500000000000001E-2</v>
      </c>
      <c r="AB170" s="20">
        <f t="shared" ref="AB170:AB180" si="124">G170+N170/200</f>
        <v>2.7500000000000004E-2</v>
      </c>
    </row>
    <row r="171" spans="1:28" x14ac:dyDescent="0.25">
      <c r="A171" s="21" t="s">
        <v>946</v>
      </c>
      <c r="B171" s="21" t="s">
        <v>6</v>
      </c>
      <c r="C171" s="25">
        <f>[1]NZDCAD!$B16</f>
        <v>6.25E-2</v>
      </c>
      <c r="D171" s="25">
        <f>[1]NZDCAD!$F16</f>
        <v>-2.7000000000000001E-3</v>
      </c>
      <c r="E171" s="25">
        <f>[1]NZDCAD!$E16</f>
        <v>-5.1999999999999998E-3</v>
      </c>
      <c r="F171" s="25">
        <f>[1]NZDCAD!$D16</f>
        <v>1.1999999999999999E-3</v>
      </c>
      <c r="G171" s="25">
        <f>[1]NZDCAD!$C16</f>
        <v>4.3E-3</v>
      </c>
      <c r="H171" s="8"/>
      <c r="I171" s="21" t="s">
        <v>6</v>
      </c>
      <c r="J171" s="28">
        <f>'[2]G7 Cross'!$C159</f>
        <v>1.72</v>
      </c>
      <c r="K171" s="28">
        <v>1</v>
      </c>
      <c r="L171" s="28">
        <v>2</v>
      </c>
      <c r="M171" s="28">
        <v>0.7</v>
      </c>
      <c r="N171" s="28">
        <v>1.4</v>
      </c>
      <c r="O171" s="16"/>
      <c r="P171" s="21" t="s">
        <v>6</v>
      </c>
      <c r="Q171" s="20">
        <f t="shared" ref="Q171:Q180" si="125">(C171-J171/200)-0.002</f>
        <v>5.1900000000000002E-2</v>
      </c>
      <c r="R171" s="20">
        <f t="shared" si="117"/>
        <v>-7.7000000000000002E-3</v>
      </c>
      <c r="S171" s="20">
        <f t="shared" si="118"/>
        <v>-1.52E-2</v>
      </c>
      <c r="T171" s="20">
        <f t="shared" si="119"/>
        <v>-2.3E-3</v>
      </c>
      <c r="U171" s="20">
        <f t="shared" si="120"/>
        <v>-2.6999999999999993E-3</v>
      </c>
      <c r="V171" s="22"/>
      <c r="W171" s="21" t="s">
        <v>6</v>
      </c>
      <c r="X171" s="20">
        <f t="shared" ref="X171:X180" si="126">(C171+J171/200)-0.002</f>
        <v>6.9099999999999995E-2</v>
      </c>
      <c r="Y171" s="20">
        <f t="shared" si="121"/>
        <v>2.3E-3</v>
      </c>
      <c r="Z171" s="20">
        <f t="shared" si="122"/>
        <v>4.8000000000000004E-3</v>
      </c>
      <c r="AA171" s="20">
        <f t="shared" si="123"/>
        <v>4.6999999999999993E-3</v>
      </c>
      <c r="AB171" s="20">
        <f t="shared" si="124"/>
        <v>1.1299999999999999E-2</v>
      </c>
    </row>
    <row r="172" spans="1:28" x14ac:dyDescent="0.25">
      <c r="A172" s="21" t="s">
        <v>946</v>
      </c>
      <c r="B172" s="21" t="s">
        <v>7</v>
      </c>
      <c r="C172" s="25">
        <f>[1]NZDCAD!$B17</f>
        <v>5.9200000000000003E-2</v>
      </c>
      <c r="D172" s="25">
        <f>[1]NZDCAD!$F17</f>
        <v>-2.7000000000000001E-3</v>
      </c>
      <c r="E172" s="25">
        <f>[1]NZDCAD!$E17</f>
        <v>-5.1000000000000004E-3</v>
      </c>
      <c r="F172" s="25">
        <f>[1]NZDCAD!$D17</f>
        <v>1.1000000000000001E-3</v>
      </c>
      <c r="G172" s="25">
        <f>[1]NZDCAD!$C17</f>
        <v>4.0999999999999995E-3</v>
      </c>
      <c r="H172" s="8"/>
      <c r="I172" s="21" t="s">
        <v>7</v>
      </c>
      <c r="J172" s="28">
        <f>'[2]G7 Cross'!$C160</f>
        <v>1.05</v>
      </c>
      <c r="K172" s="28">
        <v>0.7</v>
      </c>
      <c r="L172" s="28">
        <v>1.4</v>
      </c>
      <c r="M172" s="28">
        <v>0.5</v>
      </c>
      <c r="N172" s="28">
        <v>1</v>
      </c>
      <c r="O172" s="16"/>
      <c r="P172" s="21" t="s">
        <v>7</v>
      </c>
      <c r="Q172" s="20">
        <f t="shared" si="125"/>
        <v>5.1950000000000003E-2</v>
      </c>
      <c r="R172" s="20">
        <f t="shared" si="117"/>
        <v>-6.1999999999999998E-3</v>
      </c>
      <c r="S172" s="20">
        <f t="shared" si="118"/>
        <v>-1.21E-2</v>
      </c>
      <c r="T172" s="20">
        <f t="shared" si="119"/>
        <v>-1.4E-3</v>
      </c>
      <c r="U172" s="20">
        <f t="shared" si="120"/>
        <v>-9.0000000000000063E-4</v>
      </c>
      <c r="V172" s="22"/>
      <c r="W172" s="21" t="s">
        <v>7</v>
      </c>
      <c r="X172" s="20">
        <f t="shared" si="126"/>
        <v>6.2450000000000006E-2</v>
      </c>
      <c r="Y172" s="20">
        <f t="shared" si="121"/>
        <v>7.999999999999995E-4</v>
      </c>
      <c r="Z172" s="20">
        <f t="shared" si="122"/>
        <v>1.8999999999999989E-3</v>
      </c>
      <c r="AA172" s="20">
        <f t="shared" si="123"/>
        <v>3.5999999999999999E-3</v>
      </c>
      <c r="AB172" s="20">
        <f t="shared" si="124"/>
        <v>9.1000000000000004E-3</v>
      </c>
    </row>
    <row r="173" spans="1:28" x14ac:dyDescent="0.25">
      <c r="A173" s="21" t="s">
        <v>946</v>
      </c>
      <c r="B173" s="21" t="s">
        <v>8</v>
      </c>
      <c r="C173" s="25">
        <f>[1]NZDCAD!$B18</f>
        <v>5.9699999999999996E-2</v>
      </c>
      <c r="D173" s="25">
        <f>[1]NZDCAD!$F18</f>
        <v>-3.0000000000000001E-3</v>
      </c>
      <c r="E173" s="25">
        <f>[1]NZDCAD!$E18</f>
        <v>-5.7999999999999996E-3</v>
      </c>
      <c r="F173" s="25">
        <f>[1]NZDCAD!$D18</f>
        <v>1.1999999999999999E-3</v>
      </c>
      <c r="G173" s="25">
        <f>[1]NZDCAD!$C18</f>
        <v>4.4000000000000003E-3</v>
      </c>
      <c r="H173" s="8"/>
      <c r="I173" s="21" t="s">
        <v>8</v>
      </c>
      <c r="J173" s="28">
        <f>'[2]G7 Cross'!$C161</f>
        <v>0.65</v>
      </c>
      <c r="K173" s="28">
        <v>0.5</v>
      </c>
      <c r="L173" s="28">
        <v>1</v>
      </c>
      <c r="M173" s="28">
        <v>0.35</v>
      </c>
      <c r="N173" s="28">
        <v>0.7</v>
      </c>
      <c r="O173" s="16"/>
      <c r="P173" s="21" t="s">
        <v>8</v>
      </c>
      <c r="Q173" s="20">
        <f t="shared" si="125"/>
        <v>5.4449999999999991E-2</v>
      </c>
      <c r="R173" s="20">
        <f t="shared" si="117"/>
        <v>-5.4999999999999997E-3</v>
      </c>
      <c r="S173" s="20">
        <f t="shared" si="118"/>
        <v>-1.0800000000000001E-2</v>
      </c>
      <c r="T173" s="20">
        <f t="shared" si="119"/>
        <v>-5.4999999999999992E-4</v>
      </c>
      <c r="U173" s="20">
        <f t="shared" si="120"/>
        <v>9.0000000000000063E-4</v>
      </c>
      <c r="V173" s="22"/>
      <c r="W173" s="21" t="s">
        <v>8</v>
      </c>
      <c r="X173" s="20">
        <f t="shared" si="126"/>
        <v>6.094999999999999E-2</v>
      </c>
      <c r="Y173" s="20">
        <f t="shared" si="121"/>
        <v>-5.0000000000000001E-4</v>
      </c>
      <c r="Z173" s="20">
        <f t="shared" si="122"/>
        <v>-7.999999999999995E-4</v>
      </c>
      <c r="AA173" s="20">
        <f t="shared" si="123"/>
        <v>2.9499999999999995E-3</v>
      </c>
      <c r="AB173" s="20">
        <f t="shared" si="124"/>
        <v>7.9000000000000008E-3</v>
      </c>
    </row>
    <row r="174" spans="1:28" x14ac:dyDescent="0.25">
      <c r="A174" s="21" t="s">
        <v>946</v>
      </c>
      <c r="B174" s="21" t="s">
        <v>9</v>
      </c>
      <c r="C174" s="25">
        <f>[1]NZDCAD!$B19</f>
        <v>6.2699999999999992E-2</v>
      </c>
      <c r="D174" s="25">
        <f>[1]NZDCAD!$F19</f>
        <v>-3.4999999999999996E-3</v>
      </c>
      <c r="E174" s="25">
        <f>[1]NZDCAD!$E19</f>
        <v>-6.7000000000000002E-3</v>
      </c>
      <c r="F174" s="25">
        <f>[1]NZDCAD!$D19</f>
        <v>1.4000000000000002E-3</v>
      </c>
      <c r="G174" s="25">
        <f>[1]NZDCAD!$C19</f>
        <v>5.3E-3</v>
      </c>
      <c r="H174" s="8"/>
      <c r="I174" s="21" t="s">
        <v>9</v>
      </c>
      <c r="J174" s="28">
        <f>'[2]G7 Cross'!$C162</f>
        <v>0.59</v>
      </c>
      <c r="K174" s="28">
        <v>0.5</v>
      </c>
      <c r="L174" s="28">
        <v>1</v>
      </c>
      <c r="M174" s="28">
        <v>0.35</v>
      </c>
      <c r="N174" s="28">
        <v>0.7</v>
      </c>
      <c r="O174" s="16"/>
      <c r="P174" s="21" t="s">
        <v>9</v>
      </c>
      <c r="Q174" s="20">
        <f t="shared" si="125"/>
        <v>5.7749999999999989E-2</v>
      </c>
      <c r="R174" s="20">
        <f t="shared" si="117"/>
        <v>-6.0000000000000001E-3</v>
      </c>
      <c r="S174" s="20">
        <f t="shared" si="118"/>
        <v>-1.17E-2</v>
      </c>
      <c r="T174" s="20">
        <f t="shared" si="119"/>
        <v>-3.4999999999999962E-4</v>
      </c>
      <c r="U174" s="20">
        <f t="shared" si="120"/>
        <v>1.8000000000000004E-3</v>
      </c>
      <c r="V174" s="22"/>
      <c r="W174" s="21" t="s">
        <v>9</v>
      </c>
      <c r="X174" s="20">
        <f t="shared" si="126"/>
        <v>6.3649999999999984E-2</v>
      </c>
      <c r="Y174" s="20">
        <f t="shared" si="121"/>
        <v>-9.9999999999999959E-4</v>
      </c>
      <c r="Z174" s="20">
        <f t="shared" si="122"/>
        <v>-1.7000000000000001E-3</v>
      </c>
      <c r="AA174" s="20">
        <f t="shared" si="123"/>
        <v>3.15E-3</v>
      </c>
      <c r="AB174" s="20">
        <f t="shared" si="124"/>
        <v>8.7999999999999988E-3</v>
      </c>
    </row>
    <row r="175" spans="1:28" x14ac:dyDescent="0.25">
      <c r="A175" s="21" t="s">
        <v>946</v>
      </c>
      <c r="B175" s="21" t="s">
        <v>10</v>
      </c>
      <c r="C175" s="25">
        <f>[1]NZDCAD!$B20</f>
        <v>6.3E-2</v>
      </c>
      <c r="D175" s="25">
        <f>[1]NZDCAD!$F20</f>
        <v>-3.8E-3</v>
      </c>
      <c r="E175" s="25">
        <f>[1]NZDCAD!$E20</f>
        <v>-7.3000000000000001E-3</v>
      </c>
      <c r="F175" s="25">
        <f>[1]NZDCAD!$D20</f>
        <v>1.6000000000000001E-3</v>
      </c>
      <c r="G175" s="25">
        <f>[1]NZDCAD!$C20</f>
        <v>6.0000000000000001E-3</v>
      </c>
      <c r="H175" s="8"/>
      <c r="I175" s="21" t="s">
        <v>10</v>
      </c>
      <c r="J175" s="28">
        <f>'[2]G7 Cross'!$C163</f>
        <v>0.59</v>
      </c>
      <c r="K175" s="28">
        <v>0.5</v>
      </c>
      <c r="L175" s="28">
        <v>1</v>
      </c>
      <c r="M175" s="28">
        <v>0.35</v>
      </c>
      <c r="N175" s="28">
        <v>0.7</v>
      </c>
      <c r="O175" s="16"/>
      <c r="P175" s="21" t="s">
        <v>10</v>
      </c>
      <c r="Q175" s="20">
        <f t="shared" si="125"/>
        <v>5.8049999999999997E-2</v>
      </c>
      <c r="R175" s="20">
        <f t="shared" si="117"/>
        <v>-6.3E-3</v>
      </c>
      <c r="S175" s="20">
        <f t="shared" si="118"/>
        <v>-1.23E-2</v>
      </c>
      <c r="T175" s="20">
        <f t="shared" si="119"/>
        <v>-1.4999999999999974E-4</v>
      </c>
      <c r="U175" s="20">
        <f t="shared" si="120"/>
        <v>2.5000000000000005E-3</v>
      </c>
      <c r="V175" s="22"/>
      <c r="W175" s="21" t="s">
        <v>10</v>
      </c>
      <c r="X175" s="20">
        <f t="shared" si="126"/>
        <v>6.3949999999999993E-2</v>
      </c>
      <c r="Y175" s="20">
        <f t="shared" si="121"/>
        <v>-1.2999999999999999E-3</v>
      </c>
      <c r="Z175" s="20">
        <f t="shared" si="122"/>
        <v>-2.3E-3</v>
      </c>
      <c r="AA175" s="20">
        <f t="shared" si="123"/>
        <v>3.3499999999999997E-3</v>
      </c>
      <c r="AB175" s="20">
        <f t="shared" si="124"/>
        <v>9.4999999999999998E-3</v>
      </c>
    </row>
    <row r="176" spans="1:28" x14ac:dyDescent="0.25">
      <c r="A176" s="21" t="s">
        <v>946</v>
      </c>
      <c r="B176" s="21" t="s">
        <v>11</v>
      </c>
      <c r="C176" s="25">
        <f>[1]NZDCAD!$B21</f>
        <v>6.3200000000000006E-2</v>
      </c>
      <c r="D176" s="25">
        <f>[1]NZDCAD!$F21</f>
        <v>-4.3E-3</v>
      </c>
      <c r="E176" s="25">
        <f>[1]NZDCAD!$E21</f>
        <v>-8.3000000000000001E-3</v>
      </c>
      <c r="F176" s="25">
        <f>[1]NZDCAD!$D21</f>
        <v>1.7000000000000001E-3</v>
      </c>
      <c r="G176" s="25">
        <f>[1]NZDCAD!$C21</f>
        <v>6.7000000000000002E-3</v>
      </c>
      <c r="H176" s="8"/>
      <c r="I176" s="21" t="s">
        <v>11</v>
      </c>
      <c r="J176" s="28">
        <f>'[2]G7 Cross'!$C164</f>
        <v>0.75</v>
      </c>
      <c r="K176" s="28">
        <v>0.5</v>
      </c>
      <c r="L176" s="28">
        <v>1</v>
      </c>
      <c r="M176" s="28">
        <v>0.35</v>
      </c>
      <c r="N176" s="28">
        <v>0.7</v>
      </c>
      <c r="O176" s="16"/>
      <c r="P176" s="21" t="s">
        <v>11</v>
      </c>
      <c r="Q176" s="20">
        <f t="shared" si="125"/>
        <v>5.7450000000000001E-2</v>
      </c>
      <c r="R176" s="20">
        <f t="shared" si="117"/>
        <v>-6.8000000000000005E-3</v>
      </c>
      <c r="S176" s="20">
        <f t="shared" si="118"/>
        <v>-1.3299999999999999E-2</v>
      </c>
      <c r="T176" s="20">
        <f t="shared" si="119"/>
        <v>-4.9999999999999697E-5</v>
      </c>
      <c r="U176" s="20">
        <f t="shared" si="120"/>
        <v>3.2000000000000006E-3</v>
      </c>
      <c r="V176" s="22"/>
      <c r="W176" s="21" t="s">
        <v>11</v>
      </c>
      <c r="X176" s="20">
        <f t="shared" si="126"/>
        <v>6.4950000000000008E-2</v>
      </c>
      <c r="Y176" s="20">
        <f t="shared" si="121"/>
        <v>-1.8E-3</v>
      </c>
      <c r="Z176" s="20">
        <f t="shared" si="122"/>
        <v>-3.3E-3</v>
      </c>
      <c r="AA176" s="20">
        <f t="shared" si="123"/>
        <v>3.4499999999999999E-3</v>
      </c>
      <c r="AB176" s="20">
        <f t="shared" si="124"/>
        <v>1.0200000000000001E-2</v>
      </c>
    </row>
    <row r="177" spans="1:28" x14ac:dyDescent="0.25">
      <c r="A177" s="21" t="s">
        <v>946</v>
      </c>
      <c r="B177" s="21" t="s">
        <v>12</v>
      </c>
      <c r="C177" s="25">
        <f>[1]NZDCAD!$B22</f>
        <v>6.4199999999999993E-2</v>
      </c>
      <c r="D177" s="25">
        <f>[1]NZDCAD!$F22</f>
        <v>-4.7999999999999996E-3</v>
      </c>
      <c r="E177" s="25">
        <f>[1]NZDCAD!$E22</f>
        <v>-9.4999999999999998E-3</v>
      </c>
      <c r="F177" s="25">
        <f>[1]NZDCAD!$D22</f>
        <v>1.9E-3</v>
      </c>
      <c r="G177" s="25">
        <f>[1]NZDCAD!$C22</f>
        <v>7.6E-3</v>
      </c>
      <c r="H177" s="8"/>
      <c r="I177" s="21" t="s">
        <v>12</v>
      </c>
      <c r="J177" s="28">
        <f>'[2]G7 Cross'!$C165</f>
        <v>0.8</v>
      </c>
      <c r="K177" s="28">
        <v>0.5</v>
      </c>
      <c r="L177" s="28">
        <v>1</v>
      </c>
      <c r="M177" s="28">
        <v>0.35</v>
      </c>
      <c r="N177" s="28">
        <v>0.7</v>
      </c>
      <c r="O177" s="16"/>
      <c r="P177" s="21" t="s">
        <v>12</v>
      </c>
      <c r="Q177" s="20">
        <f t="shared" si="125"/>
        <v>5.8199999999999988E-2</v>
      </c>
      <c r="R177" s="20">
        <f t="shared" si="117"/>
        <v>-7.2999999999999992E-3</v>
      </c>
      <c r="S177" s="20">
        <f t="shared" si="118"/>
        <v>-1.4499999999999999E-2</v>
      </c>
      <c r="T177" s="20">
        <f t="shared" si="119"/>
        <v>1.5000000000000018E-4</v>
      </c>
      <c r="U177" s="20">
        <f t="shared" si="120"/>
        <v>4.1000000000000003E-3</v>
      </c>
      <c r="V177" s="22"/>
      <c r="W177" s="21" t="s">
        <v>12</v>
      </c>
      <c r="X177" s="20">
        <f t="shared" si="126"/>
        <v>6.6199999999999995E-2</v>
      </c>
      <c r="Y177" s="20">
        <f t="shared" si="121"/>
        <v>-2.2999999999999995E-3</v>
      </c>
      <c r="Z177" s="20">
        <f t="shared" si="122"/>
        <v>-4.4999999999999997E-3</v>
      </c>
      <c r="AA177" s="20">
        <f t="shared" si="123"/>
        <v>3.6499999999999996E-3</v>
      </c>
      <c r="AB177" s="20">
        <f t="shared" si="124"/>
        <v>1.1099999999999999E-2</v>
      </c>
    </row>
    <row r="178" spans="1:28" x14ac:dyDescent="0.25">
      <c r="A178" s="21" t="s">
        <v>946</v>
      </c>
      <c r="B178" s="21" t="s">
        <v>13</v>
      </c>
      <c r="C178" s="25">
        <f>[1]NZDCAD!$B23</f>
        <v>6.5299999999999997E-2</v>
      </c>
      <c r="D178" s="25">
        <f>[1]NZDCAD!$F23</f>
        <v>-5.5000000000000005E-3</v>
      </c>
      <c r="E178" s="25">
        <f>[1]NZDCAD!$E23</f>
        <v>-1.0700000000000001E-2</v>
      </c>
      <c r="F178" s="25">
        <f>[1]NZDCAD!$D23</f>
        <v>2.0999999999999999E-3</v>
      </c>
      <c r="G178" s="25">
        <f>[1]NZDCAD!$C23</f>
        <v>8.6E-3</v>
      </c>
      <c r="H178" s="8"/>
      <c r="I178" s="21" t="s">
        <v>13</v>
      </c>
      <c r="J178" s="28">
        <f>'[2]G7 Cross'!$C166</f>
        <v>0.71</v>
      </c>
      <c r="K178" s="28">
        <v>0.5</v>
      </c>
      <c r="L178" s="28">
        <v>1</v>
      </c>
      <c r="M178" s="28">
        <v>0.35</v>
      </c>
      <c r="N178" s="28">
        <v>0.7</v>
      </c>
      <c r="O178" s="16"/>
      <c r="P178" s="21" t="s">
        <v>13</v>
      </c>
      <c r="Q178" s="20">
        <f t="shared" si="125"/>
        <v>5.9749999999999998E-2</v>
      </c>
      <c r="R178" s="20">
        <f t="shared" si="117"/>
        <v>-8.0000000000000002E-3</v>
      </c>
      <c r="S178" s="20">
        <f t="shared" si="118"/>
        <v>-1.5700000000000002E-2</v>
      </c>
      <c r="T178" s="20">
        <f t="shared" si="119"/>
        <v>3.5000000000000005E-4</v>
      </c>
      <c r="U178" s="20">
        <f t="shared" si="120"/>
        <v>5.1000000000000004E-3</v>
      </c>
      <c r="V178" s="22"/>
      <c r="W178" s="21" t="s">
        <v>13</v>
      </c>
      <c r="X178" s="20">
        <f t="shared" si="126"/>
        <v>6.6849999999999993E-2</v>
      </c>
      <c r="Y178" s="20">
        <f t="shared" si="121"/>
        <v>-3.0000000000000005E-3</v>
      </c>
      <c r="Z178" s="20">
        <f t="shared" si="122"/>
        <v>-5.7000000000000011E-3</v>
      </c>
      <c r="AA178" s="20">
        <f t="shared" si="123"/>
        <v>3.8499999999999997E-3</v>
      </c>
      <c r="AB178" s="20">
        <f t="shared" si="124"/>
        <v>1.21E-2</v>
      </c>
    </row>
    <row r="179" spans="1:28" x14ac:dyDescent="0.25">
      <c r="A179" s="21" t="s">
        <v>946</v>
      </c>
      <c r="B179" s="21" t="s">
        <v>14</v>
      </c>
      <c r="C179" s="25">
        <f>[1]NZDCAD!$B24</f>
        <v>6.6900000000000001E-2</v>
      </c>
      <c r="D179" s="25">
        <f>[1]NZDCAD!$F24</f>
        <v>-6.6E-3</v>
      </c>
      <c r="E179" s="25">
        <f>[1]NZDCAD!$E24</f>
        <v>-1.24E-2</v>
      </c>
      <c r="F179" s="25">
        <f>[1]NZDCAD!$D24</f>
        <v>2.2000000000000001E-3</v>
      </c>
      <c r="G179" s="25">
        <f>[1]NZDCAD!$C24</f>
        <v>8.8999999999999999E-3</v>
      </c>
      <c r="H179" s="16"/>
      <c r="I179" s="21" t="s">
        <v>14</v>
      </c>
      <c r="J179" s="28">
        <f>'[2]G7 Cross'!$C167</f>
        <v>0.74</v>
      </c>
      <c r="K179" s="28">
        <v>0.5</v>
      </c>
      <c r="L179" s="28">
        <v>1</v>
      </c>
      <c r="M179" s="28">
        <v>0.35</v>
      </c>
      <c r="N179" s="28">
        <v>0.7</v>
      </c>
      <c r="O179" s="16"/>
      <c r="P179" s="21" t="s">
        <v>14</v>
      </c>
      <c r="Q179" s="20">
        <f t="shared" si="125"/>
        <v>6.1200000000000004E-2</v>
      </c>
      <c r="R179" s="20">
        <f t="shared" si="117"/>
        <v>-9.1000000000000004E-3</v>
      </c>
      <c r="S179" s="20">
        <f t="shared" si="118"/>
        <v>-1.7399999999999999E-2</v>
      </c>
      <c r="T179" s="20">
        <f t="shared" si="119"/>
        <v>4.5000000000000031E-4</v>
      </c>
      <c r="U179" s="20">
        <f t="shared" si="120"/>
        <v>5.4000000000000003E-3</v>
      </c>
      <c r="V179" s="22"/>
      <c r="W179" s="21" t="s">
        <v>14</v>
      </c>
      <c r="X179" s="20">
        <f t="shared" si="126"/>
        <v>6.8599999999999994E-2</v>
      </c>
      <c r="Y179" s="20">
        <f t="shared" si="121"/>
        <v>-4.0999999999999995E-3</v>
      </c>
      <c r="Z179" s="20">
        <f t="shared" si="122"/>
        <v>-7.3999999999999995E-3</v>
      </c>
      <c r="AA179" s="20">
        <f t="shared" si="123"/>
        <v>3.9500000000000004E-3</v>
      </c>
      <c r="AB179" s="20">
        <f t="shared" si="124"/>
        <v>1.24E-2</v>
      </c>
    </row>
    <row r="180" spans="1:28" x14ac:dyDescent="0.25">
      <c r="A180" s="21" t="s">
        <v>946</v>
      </c>
      <c r="B180" s="21" t="s">
        <v>876</v>
      </c>
      <c r="C180" s="25">
        <f>[1]NZDCAD!$B25</f>
        <v>6.83E-2</v>
      </c>
      <c r="D180" s="25">
        <f>[1]NZDCAD!$F25</f>
        <v>-6.8999999999999999E-3</v>
      </c>
      <c r="E180" s="25">
        <f>[1]NZDCAD!$E25</f>
        <v>-1.29E-2</v>
      </c>
      <c r="F180" s="25">
        <f>[1]NZDCAD!$D25</f>
        <v>2.2000000000000001E-3</v>
      </c>
      <c r="G180" s="25">
        <f>[1]NZDCAD!$C25</f>
        <v>8.8999999999999999E-3</v>
      </c>
      <c r="H180" s="16"/>
      <c r="I180" s="21" t="s">
        <v>876</v>
      </c>
      <c r="J180" s="28">
        <f>'[2]G7 Cross'!$C168</f>
        <v>1.35</v>
      </c>
      <c r="K180" s="28">
        <v>0.5</v>
      </c>
      <c r="L180" s="28">
        <v>1</v>
      </c>
      <c r="M180" s="28">
        <v>0.35</v>
      </c>
      <c r="N180" s="28">
        <v>0.7</v>
      </c>
      <c r="O180" s="16"/>
      <c r="P180" s="21" t="s">
        <v>876</v>
      </c>
      <c r="Q180" s="20">
        <f t="shared" si="125"/>
        <v>5.9549999999999999E-2</v>
      </c>
      <c r="R180" s="20">
        <f t="shared" si="117"/>
        <v>-9.4000000000000004E-3</v>
      </c>
      <c r="S180" s="20">
        <f t="shared" si="118"/>
        <v>-1.7899999999999999E-2</v>
      </c>
      <c r="T180" s="20">
        <f t="shared" si="119"/>
        <v>4.5000000000000031E-4</v>
      </c>
      <c r="U180" s="20">
        <f t="shared" si="120"/>
        <v>5.4000000000000003E-3</v>
      </c>
      <c r="V180" s="22"/>
      <c r="W180" s="21" t="s">
        <v>876</v>
      </c>
      <c r="X180" s="20">
        <f t="shared" si="126"/>
        <v>7.3050000000000004E-2</v>
      </c>
      <c r="Y180" s="20">
        <f t="shared" si="121"/>
        <v>-4.3999999999999994E-3</v>
      </c>
      <c r="Z180" s="20">
        <f t="shared" si="122"/>
        <v>-7.9000000000000008E-3</v>
      </c>
      <c r="AA180" s="20">
        <f t="shared" si="123"/>
        <v>3.9500000000000004E-3</v>
      </c>
      <c r="AB180" s="20">
        <f t="shared" si="124"/>
        <v>1.24E-2</v>
      </c>
    </row>
    <row r="181" spans="1:28" x14ac:dyDescent="0.25">
      <c r="A181" s="21"/>
      <c r="B181" s="21"/>
      <c r="C181" s="25"/>
      <c r="D181" s="25"/>
      <c r="E181" s="25"/>
      <c r="F181" s="25"/>
      <c r="G181" s="25"/>
      <c r="H181" s="16"/>
      <c r="I181" s="21"/>
      <c r="J181" s="28"/>
      <c r="K181" s="28"/>
      <c r="L181" s="28"/>
      <c r="M181" s="28"/>
      <c r="N181" s="28"/>
      <c r="O181" s="16"/>
      <c r="P181" s="21"/>
      <c r="Q181" s="20"/>
      <c r="R181" s="20"/>
      <c r="S181" s="20"/>
      <c r="T181" s="20"/>
      <c r="U181" s="20"/>
      <c r="V181" s="22"/>
      <c r="W181" s="21"/>
      <c r="X181" s="20"/>
      <c r="Y181" s="20"/>
      <c r="Z181" s="20"/>
      <c r="AA181" s="20"/>
      <c r="AB181" s="20"/>
    </row>
    <row r="183" spans="1:28" x14ac:dyDescent="0.25">
      <c r="A183" s="7" t="s">
        <v>70</v>
      </c>
      <c r="B183" s="7" t="s">
        <v>327</v>
      </c>
      <c r="C183" s="24" t="s">
        <v>311</v>
      </c>
      <c r="D183" s="24" t="s">
        <v>312</v>
      </c>
      <c r="E183" s="24" t="s">
        <v>313</v>
      </c>
      <c r="F183" s="24" t="s">
        <v>314</v>
      </c>
      <c r="G183" s="24" t="s">
        <v>315</v>
      </c>
      <c r="H183" s="8"/>
      <c r="I183" s="7" t="s">
        <v>328</v>
      </c>
      <c r="J183" s="7" t="s">
        <v>311</v>
      </c>
      <c r="K183" s="7" t="s">
        <v>312</v>
      </c>
      <c r="L183" s="7" t="s">
        <v>313</v>
      </c>
      <c r="M183" s="7" t="s">
        <v>314</v>
      </c>
      <c r="N183" s="7" t="s">
        <v>315</v>
      </c>
      <c r="O183" s="16"/>
      <c r="P183" s="7" t="s">
        <v>349</v>
      </c>
      <c r="Q183" s="7" t="s">
        <v>311</v>
      </c>
      <c r="R183" s="7" t="s">
        <v>312</v>
      </c>
      <c r="S183" s="7" t="s">
        <v>313</v>
      </c>
      <c r="T183" s="7" t="s">
        <v>314</v>
      </c>
      <c r="U183" s="7" t="s">
        <v>315</v>
      </c>
      <c r="V183" s="22"/>
      <c r="W183" s="7" t="s">
        <v>318</v>
      </c>
      <c r="X183" s="7" t="s">
        <v>311</v>
      </c>
      <c r="Y183" s="7" t="s">
        <v>312</v>
      </c>
      <c r="Z183" s="7" t="s">
        <v>313</v>
      </c>
      <c r="AA183" s="7" t="s">
        <v>314</v>
      </c>
      <c r="AB183" s="7" t="s">
        <v>315</v>
      </c>
    </row>
    <row r="184" spans="1:28" x14ac:dyDescent="0.25">
      <c r="A184" s="21" t="s">
        <v>358</v>
      </c>
      <c r="B184" s="21" t="s">
        <v>5</v>
      </c>
      <c r="C184" s="25">
        <f>[1]NZDJPY!$B15</f>
        <v>0.15289999999999998</v>
      </c>
      <c r="D184" s="25">
        <f>[1]NZDJPY!$F15</f>
        <v>-3.1E-2</v>
      </c>
      <c r="E184" s="25">
        <f>[1]NZDJPY!$E15</f>
        <v>-5.6100000000000004E-2</v>
      </c>
      <c r="F184" s="25">
        <f>[1]NZDJPY!$D15</f>
        <v>4.1999999999999997E-3</v>
      </c>
      <c r="G184" s="25">
        <f>[1]NZDJPY!$C15</f>
        <v>1.52E-2</v>
      </c>
      <c r="H184" s="8"/>
      <c r="I184" s="21" t="s">
        <v>5</v>
      </c>
      <c r="J184" s="28">
        <f>'[2]G7 Cross'!$C170</f>
        <v>8.35</v>
      </c>
      <c r="K184" s="28">
        <v>3.2</v>
      </c>
      <c r="L184" s="28">
        <v>6.4</v>
      </c>
      <c r="M184" s="28">
        <v>2.2000000000000002</v>
      </c>
      <c r="N184" s="28">
        <v>4.4000000000000004</v>
      </c>
      <c r="O184" s="16"/>
      <c r="P184" s="21" t="s">
        <v>5</v>
      </c>
      <c r="Q184" s="20">
        <f>(C184-J184/200)-0.002</f>
        <v>0.10914999999999998</v>
      </c>
      <c r="R184" s="20">
        <f t="shared" ref="R184:R194" si="127">D184-K184/200</f>
        <v>-4.7E-2</v>
      </c>
      <c r="S184" s="20">
        <f t="shared" ref="S184:S194" si="128">E184-L184/200</f>
        <v>-8.8100000000000012E-2</v>
      </c>
      <c r="T184" s="20">
        <f t="shared" ref="T184:T194" si="129">F184-M184/200</f>
        <v>-6.8000000000000014E-3</v>
      </c>
      <c r="U184" s="20">
        <f t="shared" ref="U184:U194" si="130">G184-N184/200</f>
        <v>-6.8000000000000022E-3</v>
      </c>
      <c r="V184" s="22"/>
      <c r="W184" s="21" t="s">
        <v>5</v>
      </c>
      <c r="X184" s="20">
        <f>(C184+J184/200)-0.002</f>
        <v>0.19264999999999999</v>
      </c>
      <c r="Y184" s="20">
        <f t="shared" ref="Y184:Y194" si="131">D184+K184/200</f>
        <v>-1.4999999999999999E-2</v>
      </c>
      <c r="Z184" s="20">
        <f t="shared" ref="Z184:Z194" si="132">E184+L184/200</f>
        <v>-2.4100000000000003E-2</v>
      </c>
      <c r="AA184" s="20">
        <f t="shared" ref="AA184:AA194" si="133">F184+M184/200</f>
        <v>1.5200000000000002E-2</v>
      </c>
      <c r="AB184" s="20">
        <f t="shared" ref="AB184:AB194" si="134">G184+N184/200</f>
        <v>3.7200000000000004E-2</v>
      </c>
    </row>
    <row r="185" spans="1:28" x14ac:dyDescent="0.25">
      <c r="A185" s="21" t="s">
        <v>358</v>
      </c>
      <c r="B185" s="21" t="s">
        <v>6</v>
      </c>
      <c r="C185" s="25">
        <f>[1]NZDJPY!$B16</f>
        <v>0.1134</v>
      </c>
      <c r="D185" s="25">
        <f>[1]NZDJPY!$F16</f>
        <v>-2.29E-2</v>
      </c>
      <c r="E185" s="25">
        <f>[1]NZDJPY!$E16</f>
        <v>-4.1399999999999999E-2</v>
      </c>
      <c r="F185" s="25">
        <f>[1]NZDJPY!$D16</f>
        <v>3.4999999999999996E-3</v>
      </c>
      <c r="G185" s="25">
        <f>[1]NZDJPY!$C16</f>
        <v>1.11E-2</v>
      </c>
      <c r="H185" s="8"/>
      <c r="I185" s="21" t="s">
        <v>6</v>
      </c>
      <c r="J185" s="28">
        <f>'[2]G7 Cross'!$C171</f>
        <v>3.01</v>
      </c>
      <c r="K185" s="28">
        <v>1</v>
      </c>
      <c r="L185" s="28">
        <v>2</v>
      </c>
      <c r="M185" s="28">
        <v>0.7</v>
      </c>
      <c r="N185" s="28">
        <v>1.4</v>
      </c>
      <c r="O185" s="16"/>
      <c r="P185" s="21" t="s">
        <v>6</v>
      </c>
      <c r="Q185" s="20">
        <f t="shared" ref="Q185:Q194" si="135">(C185-J185/200)-0.002</f>
        <v>9.6350000000000005E-2</v>
      </c>
      <c r="R185" s="20">
        <f t="shared" si="127"/>
        <v>-2.7900000000000001E-2</v>
      </c>
      <c r="S185" s="20">
        <f t="shared" si="128"/>
        <v>-5.1400000000000001E-2</v>
      </c>
      <c r="T185" s="20">
        <f t="shared" si="129"/>
        <v>0</v>
      </c>
      <c r="U185" s="20">
        <f t="shared" si="130"/>
        <v>4.1000000000000012E-3</v>
      </c>
      <c r="V185" s="22"/>
      <c r="W185" s="21" t="s">
        <v>6</v>
      </c>
      <c r="X185" s="20">
        <f t="shared" ref="X185:X194" si="136">(C185+J185/200)-0.002</f>
        <v>0.12645000000000001</v>
      </c>
      <c r="Y185" s="20">
        <f t="shared" si="131"/>
        <v>-1.7899999999999999E-2</v>
      </c>
      <c r="Z185" s="20">
        <f t="shared" si="132"/>
        <v>-3.1399999999999997E-2</v>
      </c>
      <c r="AA185" s="20">
        <f t="shared" si="133"/>
        <v>6.9999999999999993E-3</v>
      </c>
      <c r="AB185" s="20">
        <f t="shared" si="134"/>
        <v>1.8099999999999998E-2</v>
      </c>
    </row>
    <row r="186" spans="1:28" x14ac:dyDescent="0.25">
      <c r="A186" s="21" t="s">
        <v>358</v>
      </c>
      <c r="B186" s="21" t="s">
        <v>7</v>
      </c>
      <c r="C186" s="25">
        <f>[1]NZDJPY!$B17</f>
        <v>0.11269999999999999</v>
      </c>
      <c r="D186" s="25">
        <f>[1]NZDJPY!$F17</f>
        <v>-2.3199999999999998E-2</v>
      </c>
      <c r="E186" s="25">
        <f>[1]NZDJPY!$E17</f>
        <v>-4.2099999999999999E-2</v>
      </c>
      <c r="F186" s="25">
        <f>[1]NZDJPY!$D17</f>
        <v>3.4999999999999996E-3</v>
      </c>
      <c r="G186" s="25">
        <f>[1]NZDJPY!$C17</f>
        <v>1.1399999999999999E-2</v>
      </c>
      <c r="H186" s="8"/>
      <c r="I186" s="21" t="s">
        <v>7</v>
      </c>
      <c r="J186" s="28">
        <f>'[2]G7 Cross'!$C172</f>
        <v>1.71</v>
      </c>
      <c r="K186" s="28">
        <v>0.7</v>
      </c>
      <c r="L186" s="28">
        <v>1.4</v>
      </c>
      <c r="M186" s="28">
        <v>0.5</v>
      </c>
      <c r="N186" s="28">
        <v>1</v>
      </c>
      <c r="O186" s="16"/>
      <c r="P186" s="21" t="s">
        <v>7</v>
      </c>
      <c r="Q186" s="20">
        <f t="shared" si="135"/>
        <v>0.10214999999999999</v>
      </c>
      <c r="R186" s="20">
        <f t="shared" si="127"/>
        <v>-2.6699999999999998E-2</v>
      </c>
      <c r="S186" s="20">
        <f t="shared" si="128"/>
        <v>-4.9099999999999998E-2</v>
      </c>
      <c r="T186" s="20">
        <f t="shared" si="129"/>
        <v>9.9999999999999959E-4</v>
      </c>
      <c r="U186" s="20">
        <f t="shared" si="130"/>
        <v>6.3999999999999986E-3</v>
      </c>
      <c r="V186" s="22"/>
      <c r="W186" s="21" t="s">
        <v>7</v>
      </c>
      <c r="X186" s="20">
        <f t="shared" si="136"/>
        <v>0.11924999999999999</v>
      </c>
      <c r="Y186" s="20">
        <f t="shared" si="131"/>
        <v>-1.9699999999999999E-2</v>
      </c>
      <c r="Z186" s="20">
        <f t="shared" si="132"/>
        <v>-3.5099999999999999E-2</v>
      </c>
      <c r="AA186" s="20">
        <f t="shared" si="133"/>
        <v>6.0000000000000001E-3</v>
      </c>
      <c r="AB186" s="20">
        <f t="shared" si="134"/>
        <v>1.6399999999999998E-2</v>
      </c>
    </row>
    <row r="187" spans="1:28" x14ac:dyDescent="0.25">
      <c r="A187" s="21" t="s">
        <v>358</v>
      </c>
      <c r="B187" s="21" t="s">
        <v>8</v>
      </c>
      <c r="C187" s="25">
        <f>[1]NZDJPY!$B18</f>
        <v>0.1048</v>
      </c>
      <c r="D187" s="25">
        <f>[1]NZDJPY!$F18</f>
        <v>-2.2400000000000003E-2</v>
      </c>
      <c r="E187" s="25">
        <f>[1]NZDJPY!$E18</f>
        <v>-4.0800000000000003E-2</v>
      </c>
      <c r="F187" s="25">
        <f>[1]NZDJPY!$D18</f>
        <v>3.3E-3</v>
      </c>
      <c r="G187" s="25">
        <f>[1]NZDJPY!$C18</f>
        <v>1.1399999999999999E-2</v>
      </c>
      <c r="H187" s="8"/>
      <c r="I187" s="21" t="s">
        <v>8</v>
      </c>
      <c r="J187" s="28">
        <f>'[2]G7 Cross'!$C173</f>
        <v>0.9</v>
      </c>
      <c r="K187" s="28">
        <v>0.5</v>
      </c>
      <c r="L187" s="28">
        <v>1</v>
      </c>
      <c r="M187" s="28">
        <v>0.35</v>
      </c>
      <c r="N187" s="28">
        <v>0.7</v>
      </c>
      <c r="O187" s="16"/>
      <c r="P187" s="21" t="s">
        <v>8</v>
      </c>
      <c r="Q187" s="20">
        <f t="shared" si="135"/>
        <v>9.8299999999999998E-2</v>
      </c>
      <c r="R187" s="20">
        <f t="shared" si="127"/>
        <v>-2.4900000000000002E-2</v>
      </c>
      <c r="S187" s="20">
        <f t="shared" si="128"/>
        <v>-4.58E-2</v>
      </c>
      <c r="T187" s="20">
        <f t="shared" si="129"/>
        <v>1.5500000000000002E-3</v>
      </c>
      <c r="U187" s="20">
        <f t="shared" si="130"/>
        <v>7.899999999999999E-3</v>
      </c>
      <c r="V187" s="22"/>
      <c r="W187" s="21" t="s">
        <v>8</v>
      </c>
      <c r="X187" s="20">
        <f t="shared" si="136"/>
        <v>0.10730000000000001</v>
      </c>
      <c r="Y187" s="20">
        <f t="shared" si="131"/>
        <v>-1.9900000000000004E-2</v>
      </c>
      <c r="Z187" s="20">
        <f t="shared" si="132"/>
        <v>-3.5800000000000005E-2</v>
      </c>
      <c r="AA187" s="20">
        <f t="shared" si="133"/>
        <v>5.0499999999999998E-3</v>
      </c>
      <c r="AB187" s="20">
        <f t="shared" si="134"/>
        <v>1.4899999999999998E-2</v>
      </c>
    </row>
    <row r="188" spans="1:28" x14ac:dyDescent="0.25">
      <c r="A188" s="21" t="s">
        <v>358</v>
      </c>
      <c r="B188" s="21" t="s">
        <v>9</v>
      </c>
      <c r="C188" s="25">
        <f>[1]NZDJPY!$B19</f>
        <v>0.10279999999999999</v>
      </c>
      <c r="D188" s="25">
        <f>[1]NZDJPY!$F19</f>
        <v>-2.2099999999999998E-2</v>
      </c>
      <c r="E188" s="25">
        <f>[1]NZDJPY!$E19</f>
        <v>-4.0800000000000003E-2</v>
      </c>
      <c r="F188" s="25">
        <f>[1]NZDJPY!$D19</f>
        <v>3.4999999999999996E-3</v>
      </c>
      <c r="G188" s="25">
        <f>[1]NZDJPY!$C19</f>
        <v>1.21E-2</v>
      </c>
      <c r="H188" s="8"/>
      <c r="I188" s="21" t="s">
        <v>9</v>
      </c>
      <c r="J188" s="28">
        <f>'[2]G7 Cross'!$C174</f>
        <v>0.84</v>
      </c>
      <c r="K188" s="28">
        <v>0.5</v>
      </c>
      <c r="L188" s="28">
        <v>1</v>
      </c>
      <c r="M188" s="28">
        <v>0.35</v>
      </c>
      <c r="N188" s="28">
        <v>0.7</v>
      </c>
      <c r="O188" s="16"/>
      <c r="P188" s="21" t="s">
        <v>9</v>
      </c>
      <c r="Q188" s="20">
        <f t="shared" si="135"/>
        <v>9.6599999999999991E-2</v>
      </c>
      <c r="R188" s="20">
        <f t="shared" si="127"/>
        <v>-2.4599999999999997E-2</v>
      </c>
      <c r="S188" s="20">
        <f t="shared" si="128"/>
        <v>-4.58E-2</v>
      </c>
      <c r="T188" s="20">
        <f t="shared" si="129"/>
        <v>1.7499999999999998E-3</v>
      </c>
      <c r="U188" s="20">
        <f t="shared" si="130"/>
        <v>8.6E-3</v>
      </c>
      <c r="V188" s="22"/>
      <c r="W188" s="21" t="s">
        <v>9</v>
      </c>
      <c r="X188" s="20">
        <f t="shared" si="136"/>
        <v>0.10499999999999998</v>
      </c>
      <c r="Y188" s="20">
        <f t="shared" si="131"/>
        <v>-1.9599999999999999E-2</v>
      </c>
      <c r="Z188" s="20">
        <f t="shared" si="132"/>
        <v>-3.5800000000000005E-2</v>
      </c>
      <c r="AA188" s="20">
        <f t="shared" si="133"/>
        <v>5.2499999999999995E-3</v>
      </c>
      <c r="AB188" s="20">
        <f t="shared" si="134"/>
        <v>1.5599999999999999E-2</v>
      </c>
    </row>
    <row r="189" spans="1:28" x14ac:dyDescent="0.25">
      <c r="A189" s="21" t="s">
        <v>358</v>
      </c>
      <c r="B189" s="21" t="s">
        <v>10</v>
      </c>
      <c r="C189" s="25">
        <f>[1]NZDJPY!$B20</f>
        <v>0.10099999999999999</v>
      </c>
      <c r="D189" s="25">
        <f>[1]NZDJPY!$F20</f>
        <v>-2.1700000000000001E-2</v>
      </c>
      <c r="E189" s="25">
        <f>[1]NZDJPY!$E20</f>
        <v>-4.0800000000000003E-2</v>
      </c>
      <c r="F189" s="25">
        <f>[1]NZDJPY!$D20</f>
        <v>3.7000000000000002E-3</v>
      </c>
      <c r="G189" s="25">
        <f>[1]NZDJPY!$C20</f>
        <v>1.2699999999999999E-2</v>
      </c>
      <c r="H189" s="8"/>
      <c r="I189" s="21" t="s">
        <v>10</v>
      </c>
      <c r="J189" s="28">
        <f>'[2]G7 Cross'!$C175</f>
        <v>0.84</v>
      </c>
      <c r="K189" s="28">
        <v>0.5</v>
      </c>
      <c r="L189" s="28">
        <v>1</v>
      </c>
      <c r="M189" s="28">
        <v>0.35</v>
      </c>
      <c r="N189" s="28">
        <v>0.7</v>
      </c>
      <c r="O189" s="16"/>
      <c r="P189" s="21" t="s">
        <v>10</v>
      </c>
      <c r="Q189" s="20">
        <f t="shared" si="135"/>
        <v>9.4799999999999995E-2</v>
      </c>
      <c r="R189" s="20">
        <f t="shared" si="127"/>
        <v>-2.4199999999999999E-2</v>
      </c>
      <c r="S189" s="20">
        <f t="shared" si="128"/>
        <v>-4.58E-2</v>
      </c>
      <c r="T189" s="20">
        <f t="shared" si="129"/>
        <v>1.9500000000000003E-3</v>
      </c>
      <c r="U189" s="20">
        <f t="shared" si="130"/>
        <v>9.1999999999999998E-3</v>
      </c>
      <c r="V189" s="22"/>
      <c r="W189" s="21" t="s">
        <v>10</v>
      </c>
      <c r="X189" s="20">
        <f t="shared" si="136"/>
        <v>0.10319999999999999</v>
      </c>
      <c r="Y189" s="20">
        <f t="shared" si="131"/>
        <v>-1.9200000000000002E-2</v>
      </c>
      <c r="Z189" s="20">
        <f t="shared" si="132"/>
        <v>-3.5800000000000005E-2</v>
      </c>
      <c r="AA189" s="20">
        <f t="shared" si="133"/>
        <v>5.45E-3</v>
      </c>
      <c r="AB189" s="20">
        <f t="shared" si="134"/>
        <v>1.6199999999999999E-2</v>
      </c>
    </row>
    <row r="190" spans="1:28" x14ac:dyDescent="0.25">
      <c r="A190" s="21" t="s">
        <v>358</v>
      </c>
      <c r="B190" s="21" t="s">
        <v>11</v>
      </c>
      <c r="C190" s="25">
        <f>[1]NZDJPY!$B21</f>
        <v>9.9199999999999997E-2</v>
      </c>
      <c r="D190" s="25">
        <f>[1]NZDJPY!$F21</f>
        <v>-1.9199999999999998E-2</v>
      </c>
      <c r="E190" s="25">
        <f>[1]NZDJPY!$E21</f>
        <v>-3.7699999999999997E-2</v>
      </c>
      <c r="F190" s="25">
        <f>[1]NZDJPY!$D21</f>
        <v>4.0999999999999995E-3</v>
      </c>
      <c r="G190" s="25">
        <f>[1]NZDJPY!$C21</f>
        <v>1.3999999999999999E-2</v>
      </c>
      <c r="H190" s="8"/>
      <c r="I190" s="21" t="s">
        <v>11</v>
      </c>
      <c r="J190" s="28">
        <f>'[2]G7 Cross'!$C176</f>
        <v>0.76</v>
      </c>
      <c r="K190" s="28">
        <v>0.5</v>
      </c>
      <c r="L190" s="28">
        <v>1</v>
      </c>
      <c r="M190" s="28">
        <v>0.35</v>
      </c>
      <c r="N190" s="28">
        <v>0.7</v>
      </c>
      <c r="O190" s="16"/>
      <c r="P190" s="21" t="s">
        <v>11</v>
      </c>
      <c r="Q190" s="20">
        <f t="shared" si="135"/>
        <v>9.3399999999999997E-2</v>
      </c>
      <c r="R190" s="20">
        <f t="shared" si="127"/>
        <v>-2.1699999999999997E-2</v>
      </c>
      <c r="S190" s="20">
        <f t="shared" si="128"/>
        <v>-4.2699999999999995E-2</v>
      </c>
      <c r="T190" s="20">
        <f t="shared" si="129"/>
        <v>2.3499999999999997E-3</v>
      </c>
      <c r="U190" s="20">
        <f t="shared" si="130"/>
        <v>1.0499999999999999E-2</v>
      </c>
      <c r="V190" s="22"/>
      <c r="W190" s="21" t="s">
        <v>11</v>
      </c>
      <c r="X190" s="20">
        <f t="shared" si="136"/>
        <v>0.10099999999999999</v>
      </c>
      <c r="Y190" s="20">
        <f t="shared" si="131"/>
        <v>-1.67E-2</v>
      </c>
      <c r="Z190" s="20">
        <f t="shared" si="132"/>
        <v>-3.27E-2</v>
      </c>
      <c r="AA190" s="20">
        <f t="shared" si="133"/>
        <v>5.8499999999999993E-3</v>
      </c>
      <c r="AB190" s="20">
        <f t="shared" si="134"/>
        <v>1.7499999999999998E-2</v>
      </c>
    </row>
    <row r="191" spans="1:28" x14ac:dyDescent="0.25">
      <c r="A191" s="21" t="s">
        <v>358</v>
      </c>
      <c r="B191" s="21" t="s">
        <v>12</v>
      </c>
      <c r="C191" s="25">
        <f>[1]NZDJPY!$B22</f>
        <v>0.1</v>
      </c>
      <c r="D191" s="25">
        <f>[1]NZDJPY!$F22</f>
        <v>-1.8600000000000002E-2</v>
      </c>
      <c r="E191" s="25">
        <f>[1]NZDJPY!$E22</f>
        <v>-3.7900000000000003E-2</v>
      </c>
      <c r="F191" s="25">
        <f>[1]NZDJPY!$D22</f>
        <v>4.1999999999999997E-3</v>
      </c>
      <c r="G191" s="25">
        <f>[1]NZDJPY!$C22</f>
        <v>1.52E-2</v>
      </c>
      <c r="H191" s="8"/>
      <c r="I191" s="21" t="s">
        <v>12</v>
      </c>
      <c r="J191" s="28">
        <f>'[2]G7 Cross'!$C177</f>
        <v>0.71</v>
      </c>
      <c r="K191" s="28">
        <v>0.5</v>
      </c>
      <c r="L191" s="28">
        <v>1</v>
      </c>
      <c r="M191" s="28">
        <v>0.35</v>
      </c>
      <c r="N191" s="28">
        <v>0.7</v>
      </c>
      <c r="O191" s="16"/>
      <c r="P191" s="21" t="s">
        <v>12</v>
      </c>
      <c r="Q191" s="20">
        <f t="shared" si="135"/>
        <v>9.4450000000000006E-2</v>
      </c>
      <c r="R191" s="20">
        <f t="shared" si="127"/>
        <v>-2.1100000000000001E-2</v>
      </c>
      <c r="S191" s="20">
        <f t="shared" si="128"/>
        <v>-4.2900000000000001E-2</v>
      </c>
      <c r="T191" s="20">
        <f t="shared" si="129"/>
        <v>2.4499999999999999E-3</v>
      </c>
      <c r="U191" s="20">
        <f t="shared" si="130"/>
        <v>1.17E-2</v>
      </c>
      <c r="V191" s="22"/>
      <c r="W191" s="21" t="s">
        <v>12</v>
      </c>
      <c r="X191" s="20">
        <f t="shared" si="136"/>
        <v>0.10155</v>
      </c>
      <c r="Y191" s="20">
        <f t="shared" si="131"/>
        <v>-1.6100000000000003E-2</v>
      </c>
      <c r="Z191" s="20">
        <f t="shared" si="132"/>
        <v>-3.2900000000000006E-2</v>
      </c>
      <c r="AA191" s="20">
        <f t="shared" si="133"/>
        <v>5.9499999999999996E-3</v>
      </c>
      <c r="AB191" s="20">
        <f t="shared" si="134"/>
        <v>1.8700000000000001E-2</v>
      </c>
    </row>
    <row r="192" spans="1:28" x14ac:dyDescent="0.25">
      <c r="A192" s="21" t="s">
        <v>358</v>
      </c>
      <c r="B192" s="21" t="s">
        <v>13</v>
      </c>
      <c r="C192" s="25">
        <f>[1]NZDJPY!$B23</f>
        <v>0.1013</v>
      </c>
      <c r="D192" s="25">
        <f>[1]NZDJPY!$F23</f>
        <v>-1.8000000000000002E-2</v>
      </c>
      <c r="E192" s="25">
        <f>[1]NZDJPY!$E23</f>
        <v>-3.7699999999999997E-2</v>
      </c>
      <c r="F192" s="25">
        <f>[1]NZDJPY!$D23</f>
        <v>4.4000000000000003E-3</v>
      </c>
      <c r="G192" s="25">
        <f>[1]NZDJPY!$C23</f>
        <v>1.6500000000000001E-2</v>
      </c>
      <c r="H192" s="8"/>
      <c r="I192" s="21" t="s">
        <v>13</v>
      </c>
      <c r="J192" s="28">
        <f>'[2]G7 Cross'!$C178</f>
        <v>0.7</v>
      </c>
      <c r="K192" s="28">
        <v>0.5</v>
      </c>
      <c r="L192" s="28">
        <v>1</v>
      </c>
      <c r="M192" s="28">
        <v>0.35</v>
      </c>
      <c r="N192" s="28">
        <v>0.7</v>
      </c>
      <c r="O192" s="16"/>
      <c r="P192" s="21" t="s">
        <v>13</v>
      </c>
      <c r="Q192" s="20">
        <f t="shared" si="135"/>
        <v>9.5799999999999996E-2</v>
      </c>
      <c r="R192" s="20">
        <f t="shared" si="127"/>
        <v>-2.0500000000000001E-2</v>
      </c>
      <c r="S192" s="20">
        <f t="shared" si="128"/>
        <v>-4.2699999999999995E-2</v>
      </c>
      <c r="T192" s="20">
        <f t="shared" si="129"/>
        <v>2.6500000000000004E-3</v>
      </c>
      <c r="U192" s="20">
        <f t="shared" si="130"/>
        <v>1.3000000000000001E-2</v>
      </c>
      <c r="V192" s="22"/>
      <c r="W192" s="21" t="s">
        <v>13</v>
      </c>
      <c r="X192" s="20">
        <f t="shared" si="136"/>
        <v>0.1028</v>
      </c>
      <c r="Y192" s="20">
        <f t="shared" si="131"/>
        <v>-1.5500000000000002E-2</v>
      </c>
      <c r="Z192" s="20">
        <f t="shared" si="132"/>
        <v>-3.27E-2</v>
      </c>
      <c r="AA192" s="20">
        <f t="shared" si="133"/>
        <v>6.1500000000000001E-3</v>
      </c>
      <c r="AB192" s="20">
        <f t="shared" si="134"/>
        <v>0.02</v>
      </c>
    </row>
    <row r="193" spans="1:28" x14ac:dyDescent="0.25">
      <c r="A193" s="21" t="s">
        <v>358</v>
      </c>
      <c r="B193" s="21" t="s">
        <v>14</v>
      </c>
      <c r="C193" s="25">
        <f>[1]NZDJPY!$B24</f>
        <v>0.1012</v>
      </c>
      <c r="D193" s="25">
        <f>[1]NZDJPY!$F24</f>
        <v>-1.9299999999999998E-2</v>
      </c>
      <c r="E193" s="25">
        <f>[1]NZDJPY!$E24</f>
        <v>-3.7499999999999999E-2</v>
      </c>
      <c r="F193" s="25">
        <f>[1]NZDJPY!$D24</f>
        <v>5.5000000000000005E-3</v>
      </c>
      <c r="G193" s="25">
        <f>[1]NZDJPY!$C24</f>
        <v>1.9299999999999998E-2</v>
      </c>
      <c r="H193" s="16"/>
      <c r="I193" s="21" t="s">
        <v>14</v>
      </c>
      <c r="J193" s="28">
        <f>'[2]G7 Cross'!$C179</f>
        <v>0.78</v>
      </c>
      <c r="K193" s="28">
        <v>0.5</v>
      </c>
      <c r="L193" s="28">
        <v>1</v>
      </c>
      <c r="M193" s="28">
        <v>0.35</v>
      </c>
      <c r="N193" s="28">
        <v>0.7</v>
      </c>
      <c r="O193" s="16"/>
      <c r="P193" s="21" t="s">
        <v>14</v>
      </c>
      <c r="Q193" s="20">
        <f t="shared" si="135"/>
        <v>9.5299999999999996E-2</v>
      </c>
      <c r="R193" s="20">
        <f t="shared" si="127"/>
        <v>-2.1799999999999996E-2</v>
      </c>
      <c r="S193" s="20">
        <f t="shared" si="128"/>
        <v>-4.2499999999999996E-2</v>
      </c>
      <c r="T193" s="20">
        <f t="shared" si="129"/>
        <v>3.7500000000000007E-3</v>
      </c>
      <c r="U193" s="20">
        <f t="shared" si="130"/>
        <v>1.5799999999999998E-2</v>
      </c>
      <c r="V193" s="22"/>
      <c r="W193" s="21" t="s">
        <v>14</v>
      </c>
      <c r="X193" s="20">
        <f t="shared" si="136"/>
        <v>0.1031</v>
      </c>
      <c r="Y193" s="20">
        <f t="shared" si="131"/>
        <v>-1.6799999999999999E-2</v>
      </c>
      <c r="Z193" s="20">
        <f t="shared" si="132"/>
        <v>-3.2500000000000001E-2</v>
      </c>
      <c r="AA193" s="20">
        <f t="shared" si="133"/>
        <v>7.2500000000000004E-3</v>
      </c>
      <c r="AB193" s="20">
        <f t="shared" si="134"/>
        <v>2.2799999999999997E-2</v>
      </c>
    </row>
    <row r="194" spans="1:28" x14ac:dyDescent="0.25">
      <c r="A194" s="21" t="s">
        <v>358</v>
      </c>
      <c r="B194" s="21" t="s">
        <v>876</v>
      </c>
      <c r="C194" s="25">
        <f>[1]NZDJPY!$B25</f>
        <v>0.1018</v>
      </c>
      <c r="D194" s="25">
        <f>[1]NZDJPY!$F25</f>
        <v>-1.9799999999999998E-2</v>
      </c>
      <c r="E194" s="25">
        <f>[1]NZDJPY!$E25</f>
        <v>-3.8399999999999997E-2</v>
      </c>
      <c r="F194" s="25">
        <f>[1]NZDJPY!$D25</f>
        <v>5.6999999999999993E-3</v>
      </c>
      <c r="G194" s="25">
        <f>[1]NZDJPY!$C25</f>
        <v>2.0499999999999997E-2</v>
      </c>
      <c r="H194" s="16"/>
      <c r="I194" s="21" t="s">
        <v>876</v>
      </c>
      <c r="J194" s="28">
        <f>'[2]G7 Cross'!$C180</f>
        <v>0.93</v>
      </c>
      <c r="K194" s="28">
        <v>0.5</v>
      </c>
      <c r="L194" s="28">
        <v>1</v>
      </c>
      <c r="M194" s="28">
        <v>0.35</v>
      </c>
      <c r="N194" s="28">
        <v>0.7</v>
      </c>
      <c r="O194" s="16"/>
      <c r="P194" s="21" t="s">
        <v>876</v>
      </c>
      <c r="Q194" s="20">
        <f t="shared" si="135"/>
        <v>9.5149999999999998E-2</v>
      </c>
      <c r="R194" s="20">
        <f t="shared" si="127"/>
        <v>-2.2299999999999997E-2</v>
      </c>
      <c r="S194" s="20">
        <f t="shared" si="128"/>
        <v>-4.3399999999999994E-2</v>
      </c>
      <c r="T194" s="20">
        <f t="shared" si="129"/>
        <v>3.9499999999999995E-3</v>
      </c>
      <c r="U194" s="20">
        <f t="shared" si="130"/>
        <v>1.6999999999999998E-2</v>
      </c>
      <c r="V194" s="22"/>
      <c r="W194" s="21" t="s">
        <v>876</v>
      </c>
      <c r="X194" s="20">
        <f t="shared" si="136"/>
        <v>0.10445</v>
      </c>
      <c r="Y194" s="20">
        <f t="shared" si="131"/>
        <v>-1.7299999999999999E-2</v>
      </c>
      <c r="Z194" s="20">
        <f t="shared" si="132"/>
        <v>-3.3399999999999999E-2</v>
      </c>
      <c r="AA194" s="20">
        <f t="shared" si="133"/>
        <v>7.4499999999999992E-3</v>
      </c>
      <c r="AB194" s="20">
        <f t="shared" si="134"/>
        <v>2.3999999999999997E-2</v>
      </c>
    </row>
    <row r="197" spans="1:28" hidden="1" x14ac:dyDescent="0.25">
      <c r="A197" s="7" t="s">
        <v>70</v>
      </c>
      <c r="B197" s="7" t="s">
        <v>327</v>
      </c>
      <c r="C197" s="24" t="s">
        <v>311</v>
      </c>
      <c r="D197" s="24" t="s">
        <v>312</v>
      </c>
      <c r="E197" s="24" t="s">
        <v>313</v>
      </c>
      <c r="F197" s="24" t="s">
        <v>314</v>
      </c>
      <c r="G197" s="24" t="s">
        <v>315</v>
      </c>
      <c r="H197" s="8"/>
      <c r="I197" s="7" t="s">
        <v>328</v>
      </c>
      <c r="J197" s="7" t="s">
        <v>311</v>
      </c>
      <c r="K197" s="7" t="s">
        <v>312</v>
      </c>
      <c r="L197" s="7" t="s">
        <v>313</v>
      </c>
      <c r="M197" s="7" t="s">
        <v>314</v>
      </c>
      <c r="N197" s="7" t="s">
        <v>315</v>
      </c>
      <c r="O197" s="16"/>
      <c r="P197" s="7" t="s">
        <v>69</v>
      </c>
      <c r="Q197" s="7" t="s">
        <v>311</v>
      </c>
      <c r="R197" s="7" t="s">
        <v>312</v>
      </c>
      <c r="S197" s="7" t="s">
        <v>313</v>
      </c>
      <c r="T197" s="7" t="s">
        <v>314</v>
      </c>
      <c r="U197" s="7" t="s">
        <v>315</v>
      </c>
      <c r="V197" s="22"/>
      <c r="W197" s="7" t="s">
        <v>318</v>
      </c>
      <c r="X197" s="7" t="s">
        <v>311</v>
      </c>
      <c r="Y197" s="7" t="s">
        <v>312</v>
      </c>
      <c r="Z197" s="7" t="s">
        <v>313</v>
      </c>
      <c r="AA197" s="7" t="s">
        <v>314</v>
      </c>
      <c r="AB197" s="7" t="s">
        <v>315</v>
      </c>
    </row>
    <row r="198" spans="1:28" hidden="1" x14ac:dyDescent="0.25">
      <c r="A198" s="30" t="s">
        <v>937</v>
      </c>
      <c r="B198" s="21" t="s">
        <v>5</v>
      </c>
      <c r="C198" s="25" t="e">
        <f>#REF!</f>
        <v>#REF!</v>
      </c>
      <c r="D198" s="25" t="e">
        <f>#REF!</f>
        <v>#REF!</v>
      </c>
      <c r="E198" s="25" t="e">
        <f>#REF!</f>
        <v>#REF!</v>
      </c>
      <c r="F198" s="25" t="e">
        <f>#REF!</f>
        <v>#REF!</v>
      </c>
      <c r="G198" s="25" t="e">
        <f>#REF!</f>
        <v>#REF!</v>
      </c>
      <c r="H198" s="8"/>
      <c r="I198" s="21" t="s">
        <v>5</v>
      </c>
      <c r="J198" s="28">
        <f>'[3]G7 Cross'!E170</f>
        <v>6.19</v>
      </c>
      <c r="K198" s="28">
        <v>1.2</v>
      </c>
      <c r="L198" s="28">
        <v>2.4</v>
      </c>
      <c r="M198" s="28">
        <v>0.8</v>
      </c>
      <c r="N198" s="28">
        <v>1.6</v>
      </c>
      <c r="O198" s="16"/>
      <c r="P198" s="21" t="s">
        <v>5</v>
      </c>
      <c r="Q198" s="20" t="e">
        <f>C198-J198/200</f>
        <v>#REF!</v>
      </c>
      <c r="R198" s="20" t="e">
        <f t="shared" ref="R198:R208" si="137">D198-K198/200</f>
        <v>#REF!</v>
      </c>
      <c r="S198" s="20" t="e">
        <f t="shared" ref="S198:S208" si="138">E198-L198/200</f>
        <v>#REF!</v>
      </c>
      <c r="T198" s="20" t="e">
        <f t="shared" ref="T198:T208" si="139">F198-M198/200</f>
        <v>#REF!</v>
      </c>
      <c r="U198" s="20" t="e">
        <f t="shared" ref="U198:U208" si="140">G198-N198/200</f>
        <v>#REF!</v>
      </c>
      <c r="V198" s="22"/>
      <c r="W198" s="21" t="s">
        <v>5</v>
      </c>
      <c r="X198" s="20" t="e">
        <f t="shared" ref="X198:X208" si="141">C198+J198/200</f>
        <v>#REF!</v>
      </c>
      <c r="Y198" s="20" t="e">
        <f t="shared" ref="Y198:Y208" si="142">D198+K198/200</f>
        <v>#REF!</v>
      </c>
      <c r="Z198" s="20" t="e">
        <f t="shared" ref="Z198:Z208" si="143">E198+L198/200</f>
        <v>#REF!</v>
      </c>
      <c r="AA198" s="20" t="e">
        <f t="shared" ref="AA198:AA208" si="144">F198+M198/200</f>
        <v>#REF!</v>
      </c>
      <c r="AB198" s="20" t="e">
        <f t="shared" ref="AB198:AB208" si="145">G198+N198/200</f>
        <v>#REF!</v>
      </c>
    </row>
    <row r="199" spans="1:28" hidden="1" x14ac:dyDescent="0.25">
      <c r="A199" s="30" t="s">
        <v>937</v>
      </c>
      <c r="B199" s="21" t="s">
        <v>6</v>
      </c>
      <c r="C199" s="25" t="e">
        <f>#REF!</f>
        <v>#REF!</v>
      </c>
      <c r="D199" s="25" t="e">
        <f>#REF!</f>
        <v>#REF!</v>
      </c>
      <c r="E199" s="25" t="e">
        <f>#REF!</f>
        <v>#REF!</v>
      </c>
      <c r="F199" s="25" t="e">
        <f>#REF!</f>
        <v>#REF!</v>
      </c>
      <c r="G199" s="25" t="e">
        <f>#REF!</f>
        <v>#REF!</v>
      </c>
      <c r="H199" s="8"/>
      <c r="I199" s="21" t="s">
        <v>6</v>
      </c>
      <c r="J199" s="28">
        <f>'[3]G7 Cross'!E171</f>
        <v>3.09</v>
      </c>
      <c r="K199" s="28">
        <v>0.5</v>
      </c>
      <c r="L199" s="28">
        <v>1</v>
      </c>
      <c r="M199" s="28">
        <v>0.4</v>
      </c>
      <c r="N199" s="28">
        <v>0.8</v>
      </c>
      <c r="O199" s="16"/>
      <c r="P199" s="21" t="s">
        <v>6</v>
      </c>
      <c r="Q199" s="20" t="e">
        <f t="shared" ref="Q199:Q208" si="146">C199-J199/200</f>
        <v>#REF!</v>
      </c>
      <c r="R199" s="20" t="e">
        <f t="shared" si="137"/>
        <v>#REF!</v>
      </c>
      <c r="S199" s="20" t="e">
        <f t="shared" si="138"/>
        <v>#REF!</v>
      </c>
      <c r="T199" s="20" t="e">
        <f t="shared" si="139"/>
        <v>#REF!</v>
      </c>
      <c r="U199" s="20" t="e">
        <f t="shared" si="140"/>
        <v>#REF!</v>
      </c>
      <c r="V199" s="22"/>
      <c r="W199" s="21" t="s">
        <v>6</v>
      </c>
      <c r="X199" s="20" t="e">
        <f t="shared" si="141"/>
        <v>#REF!</v>
      </c>
      <c r="Y199" s="20" t="e">
        <f t="shared" si="142"/>
        <v>#REF!</v>
      </c>
      <c r="Z199" s="20" t="e">
        <f t="shared" si="143"/>
        <v>#REF!</v>
      </c>
      <c r="AA199" s="20" t="e">
        <f t="shared" si="144"/>
        <v>#REF!</v>
      </c>
      <c r="AB199" s="20" t="e">
        <f t="shared" si="145"/>
        <v>#REF!</v>
      </c>
    </row>
    <row r="200" spans="1:28" hidden="1" x14ac:dyDescent="0.25">
      <c r="A200" s="30" t="s">
        <v>937</v>
      </c>
      <c r="B200" s="21" t="s">
        <v>7</v>
      </c>
      <c r="C200" s="25" t="e">
        <f>#REF!</f>
        <v>#REF!</v>
      </c>
      <c r="D200" s="25" t="e">
        <f>#REF!</f>
        <v>#REF!</v>
      </c>
      <c r="E200" s="25" t="e">
        <f>#REF!</f>
        <v>#REF!</v>
      </c>
      <c r="F200" s="25" t="e">
        <f>#REF!</f>
        <v>#REF!</v>
      </c>
      <c r="G200" s="25" t="e">
        <f>#REF!</f>
        <v>#REF!</v>
      </c>
      <c r="H200" s="8"/>
      <c r="I200" s="21" t="s">
        <v>7</v>
      </c>
      <c r="J200" s="28">
        <f>'[3]G7 Cross'!E172</f>
        <v>2.17</v>
      </c>
      <c r="K200" s="28">
        <v>0.4</v>
      </c>
      <c r="L200" s="28">
        <v>0.8</v>
      </c>
      <c r="M200" s="28">
        <v>0.3</v>
      </c>
      <c r="N200" s="28">
        <v>0.6</v>
      </c>
      <c r="O200" s="16"/>
      <c r="P200" s="21" t="s">
        <v>7</v>
      </c>
      <c r="Q200" s="20" t="e">
        <f t="shared" si="146"/>
        <v>#REF!</v>
      </c>
      <c r="R200" s="20" t="e">
        <f t="shared" si="137"/>
        <v>#REF!</v>
      </c>
      <c r="S200" s="20" t="e">
        <f t="shared" si="138"/>
        <v>#REF!</v>
      </c>
      <c r="T200" s="20" t="e">
        <f t="shared" si="139"/>
        <v>#REF!</v>
      </c>
      <c r="U200" s="20" t="e">
        <f t="shared" si="140"/>
        <v>#REF!</v>
      </c>
      <c r="V200" s="22"/>
      <c r="W200" s="21" t="s">
        <v>7</v>
      </c>
      <c r="X200" s="20" t="e">
        <f t="shared" si="141"/>
        <v>#REF!</v>
      </c>
      <c r="Y200" s="20" t="e">
        <f t="shared" si="142"/>
        <v>#REF!</v>
      </c>
      <c r="Z200" s="20" t="e">
        <f t="shared" si="143"/>
        <v>#REF!</v>
      </c>
      <c r="AA200" s="20" t="e">
        <f t="shared" si="144"/>
        <v>#REF!</v>
      </c>
      <c r="AB200" s="20" t="e">
        <f t="shared" si="145"/>
        <v>#REF!</v>
      </c>
    </row>
    <row r="201" spans="1:28" hidden="1" x14ac:dyDescent="0.25">
      <c r="A201" s="30" t="s">
        <v>937</v>
      </c>
      <c r="B201" s="21" t="s">
        <v>8</v>
      </c>
      <c r="C201" s="25" t="e">
        <f>#REF!</f>
        <v>#REF!</v>
      </c>
      <c r="D201" s="25" t="e">
        <f>#REF!</f>
        <v>#REF!</v>
      </c>
      <c r="E201" s="25" t="e">
        <f>#REF!</f>
        <v>#REF!</v>
      </c>
      <c r="F201" s="25" t="e">
        <f>#REF!</f>
        <v>#REF!</v>
      </c>
      <c r="G201" s="25" t="e">
        <f>#REF!</f>
        <v>#REF!</v>
      </c>
      <c r="H201" s="8"/>
      <c r="I201" s="21" t="s">
        <v>8</v>
      </c>
      <c r="J201" s="28">
        <f>'[3]G7 Cross'!E173</f>
        <v>1.1599999999999999</v>
      </c>
      <c r="K201" s="28">
        <v>0.3</v>
      </c>
      <c r="L201" s="28">
        <v>0.6</v>
      </c>
      <c r="M201" s="28">
        <v>0.2</v>
      </c>
      <c r="N201" s="28">
        <v>0.4</v>
      </c>
      <c r="O201" s="16"/>
      <c r="P201" s="21" t="s">
        <v>8</v>
      </c>
      <c r="Q201" s="20" t="e">
        <f t="shared" si="146"/>
        <v>#REF!</v>
      </c>
      <c r="R201" s="20" t="e">
        <f t="shared" si="137"/>
        <v>#REF!</v>
      </c>
      <c r="S201" s="20" t="e">
        <f t="shared" si="138"/>
        <v>#REF!</v>
      </c>
      <c r="T201" s="20" t="e">
        <f t="shared" si="139"/>
        <v>#REF!</v>
      </c>
      <c r="U201" s="20" t="e">
        <f t="shared" si="140"/>
        <v>#REF!</v>
      </c>
      <c r="V201" s="22"/>
      <c r="W201" s="21" t="s">
        <v>8</v>
      </c>
      <c r="X201" s="20" t="e">
        <f t="shared" si="141"/>
        <v>#REF!</v>
      </c>
      <c r="Y201" s="20" t="e">
        <f t="shared" si="142"/>
        <v>#REF!</v>
      </c>
      <c r="Z201" s="20" t="e">
        <f t="shared" si="143"/>
        <v>#REF!</v>
      </c>
      <c r="AA201" s="20" t="e">
        <f t="shared" si="144"/>
        <v>#REF!</v>
      </c>
      <c r="AB201" s="20" t="e">
        <f t="shared" si="145"/>
        <v>#REF!</v>
      </c>
    </row>
    <row r="202" spans="1:28" hidden="1" x14ac:dyDescent="0.25">
      <c r="A202" s="30" t="s">
        <v>937</v>
      </c>
      <c r="B202" s="21" t="s">
        <v>9</v>
      </c>
      <c r="C202" s="25" t="e">
        <f>#REF!</f>
        <v>#REF!</v>
      </c>
      <c r="D202" s="25" t="e">
        <f>#REF!</f>
        <v>#REF!</v>
      </c>
      <c r="E202" s="25" t="e">
        <f>#REF!</f>
        <v>#REF!</v>
      </c>
      <c r="F202" s="25" t="e">
        <f>#REF!</f>
        <v>#REF!</v>
      </c>
      <c r="G202" s="25" t="e">
        <f>#REF!</f>
        <v>#REF!</v>
      </c>
      <c r="H202" s="8"/>
      <c r="I202" s="21" t="s">
        <v>9</v>
      </c>
      <c r="J202" s="28">
        <f>'[3]G7 Cross'!E174</f>
        <v>0.93</v>
      </c>
      <c r="K202" s="28">
        <v>0.3</v>
      </c>
      <c r="L202" s="28">
        <v>0.6</v>
      </c>
      <c r="M202" s="28">
        <v>0.2</v>
      </c>
      <c r="N202" s="28">
        <v>0.4</v>
      </c>
      <c r="O202" s="16"/>
      <c r="P202" s="21" t="s">
        <v>9</v>
      </c>
      <c r="Q202" s="20" t="e">
        <f t="shared" si="146"/>
        <v>#REF!</v>
      </c>
      <c r="R202" s="20" t="e">
        <f t="shared" si="137"/>
        <v>#REF!</v>
      </c>
      <c r="S202" s="20" t="e">
        <f t="shared" si="138"/>
        <v>#REF!</v>
      </c>
      <c r="T202" s="20" t="e">
        <f t="shared" si="139"/>
        <v>#REF!</v>
      </c>
      <c r="U202" s="20" t="e">
        <f t="shared" si="140"/>
        <v>#REF!</v>
      </c>
      <c r="V202" s="22"/>
      <c r="W202" s="21" t="s">
        <v>9</v>
      </c>
      <c r="X202" s="20" t="e">
        <f t="shared" si="141"/>
        <v>#REF!</v>
      </c>
      <c r="Y202" s="20" t="e">
        <f t="shared" si="142"/>
        <v>#REF!</v>
      </c>
      <c r="Z202" s="20" t="e">
        <f t="shared" si="143"/>
        <v>#REF!</v>
      </c>
      <c r="AA202" s="20" t="e">
        <f t="shared" si="144"/>
        <v>#REF!</v>
      </c>
      <c r="AB202" s="20" t="e">
        <f t="shared" si="145"/>
        <v>#REF!</v>
      </c>
    </row>
    <row r="203" spans="1:28" hidden="1" x14ac:dyDescent="0.25">
      <c r="A203" s="30" t="s">
        <v>937</v>
      </c>
      <c r="B203" s="21" t="s">
        <v>10</v>
      </c>
      <c r="C203" s="25" t="e">
        <f>#REF!</f>
        <v>#REF!</v>
      </c>
      <c r="D203" s="25" t="e">
        <f>#REF!</f>
        <v>#REF!</v>
      </c>
      <c r="E203" s="25" t="e">
        <f>#REF!</f>
        <v>#REF!</v>
      </c>
      <c r="F203" s="25" t="e">
        <f>#REF!</f>
        <v>#REF!</v>
      </c>
      <c r="G203" s="25" t="e">
        <f>#REF!</f>
        <v>#REF!</v>
      </c>
      <c r="H203" s="8"/>
      <c r="I203" s="21" t="s">
        <v>10</v>
      </c>
      <c r="J203" s="28">
        <f>'[3]G7 Cross'!E175</f>
        <v>0.9</v>
      </c>
      <c r="K203" s="28">
        <v>0.3</v>
      </c>
      <c r="L203" s="28">
        <v>0.6</v>
      </c>
      <c r="M203" s="28">
        <v>0.2</v>
      </c>
      <c r="N203" s="28">
        <v>0.4</v>
      </c>
      <c r="O203" s="16"/>
      <c r="P203" s="21" t="s">
        <v>10</v>
      </c>
      <c r="Q203" s="20" t="e">
        <f t="shared" si="146"/>
        <v>#REF!</v>
      </c>
      <c r="R203" s="20" t="e">
        <f t="shared" si="137"/>
        <v>#REF!</v>
      </c>
      <c r="S203" s="20" t="e">
        <f t="shared" si="138"/>
        <v>#REF!</v>
      </c>
      <c r="T203" s="20" t="e">
        <f t="shared" si="139"/>
        <v>#REF!</v>
      </c>
      <c r="U203" s="20" t="e">
        <f t="shared" si="140"/>
        <v>#REF!</v>
      </c>
      <c r="V203" s="22"/>
      <c r="W203" s="21" t="s">
        <v>10</v>
      </c>
      <c r="X203" s="20" t="e">
        <f t="shared" si="141"/>
        <v>#REF!</v>
      </c>
      <c r="Y203" s="20" t="e">
        <f t="shared" si="142"/>
        <v>#REF!</v>
      </c>
      <c r="Z203" s="20" t="e">
        <f t="shared" si="143"/>
        <v>#REF!</v>
      </c>
      <c r="AA203" s="20" t="e">
        <f t="shared" si="144"/>
        <v>#REF!</v>
      </c>
      <c r="AB203" s="20" t="e">
        <f t="shared" si="145"/>
        <v>#REF!</v>
      </c>
    </row>
    <row r="204" spans="1:28" hidden="1" x14ac:dyDescent="0.25">
      <c r="A204" s="30" t="s">
        <v>937</v>
      </c>
      <c r="B204" s="21" t="s">
        <v>11</v>
      </c>
      <c r="C204" s="25" t="e">
        <f>#REF!</f>
        <v>#REF!</v>
      </c>
      <c r="D204" s="25" t="e">
        <f>#REF!</f>
        <v>#REF!</v>
      </c>
      <c r="E204" s="25" t="e">
        <f>#REF!</f>
        <v>#REF!</v>
      </c>
      <c r="F204" s="25" t="e">
        <f>#REF!</f>
        <v>#REF!</v>
      </c>
      <c r="G204" s="25" t="e">
        <f>#REF!</f>
        <v>#REF!</v>
      </c>
      <c r="H204" s="8"/>
      <c r="I204" s="21" t="s">
        <v>11</v>
      </c>
      <c r="J204" s="28">
        <f>'[3]G7 Cross'!E176</f>
        <v>0.81</v>
      </c>
      <c r="K204" s="28">
        <v>0.3</v>
      </c>
      <c r="L204" s="28">
        <v>0.6</v>
      </c>
      <c r="M204" s="28">
        <v>0.2</v>
      </c>
      <c r="N204" s="28">
        <v>0.4</v>
      </c>
      <c r="O204" s="16"/>
      <c r="P204" s="21" t="s">
        <v>11</v>
      </c>
      <c r="Q204" s="20" t="e">
        <f t="shared" si="146"/>
        <v>#REF!</v>
      </c>
      <c r="R204" s="20" t="e">
        <f t="shared" si="137"/>
        <v>#REF!</v>
      </c>
      <c r="S204" s="20" t="e">
        <f t="shared" si="138"/>
        <v>#REF!</v>
      </c>
      <c r="T204" s="20" t="e">
        <f t="shared" si="139"/>
        <v>#REF!</v>
      </c>
      <c r="U204" s="20" t="e">
        <f t="shared" si="140"/>
        <v>#REF!</v>
      </c>
      <c r="V204" s="22"/>
      <c r="W204" s="21" t="s">
        <v>11</v>
      </c>
      <c r="X204" s="20" t="e">
        <f t="shared" si="141"/>
        <v>#REF!</v>
      </c>
      <c r="Y204" s="20" t="e">
        <f t="shared" si="142"/>
        <v>#REF!</v>
      </c>
      <c r="Z204" s="20" t="e">
        <f t="shared" si="143"/>
        <v>#REF!</v>
      </c>
      <c r="AA204" s="20" t="e">
        <f t="shared" si="144"/>
        <v>#REF!</v>
      </c>
      <c r="AB204" s="20" t="e">
        <f t="shared" si="145"/>
        <v>#REF!</v>
      </c>
    </row>
    <row r="205" spans="1:28" hidden="1" x14ac:dyDescent="0.25">
      <c r="A205" s="30" t="s">
        <v>937</v>
      </c>
      <c r="B205" s="21" t="s">
        <v>12</v>
      </c>
      <c r="C205" s="25" t="e">
        <f>#REF!</f>
        <v>#REF!</v>
      </c>
      <c r="D205" s="25" t="e">
        <f>#REF!</f>
        <v>#REF!</v>
      </c>
      <c r="E205" s="25" t="e">
        <f>#REF!</f>
        <v>#REF!</v>
      </c>
      <c r="F205" s="25" t="e">
        <f>#REF!</f>
        <v>#REF!</v>
      </c>
      <c r="G205" s="25" t="e">
        <f>#REF!</f>
        <v>#REF!</v>
      </c>
      <c r="H205" s="8"/>
      <c r="I205" s="21" t="s">
        <v>12</v>
      </c>
      <c r="J205" s="28">
        <f>'[3]G7 Cross'!E177</f>
        <v>0.81</v>
      </c>
      <c r="K205" s="28">
        <v>0.3</v>
      </c>
      <c r="L205" s="28">
        <v>0.6</v>
      </c>
      <c r="M205" s="28">
        <v>0.2</v>
      </c>
      <c r="N205" s="28">
        <v>0.4</v>
      </c>
      <c r="O205" s="16"/>
      <c r="P205" s="21" t="s">
        <v>12</v>
      </c>
      <c r="Q205" s="20" t="e">
        <f t="shared" si="146"/>
        <v>#REF!</v>
      </c>
      <c r="R205" s="20" t="e">
        <f t="shared" si="137"/>
        <v>#REF!</v>
      </c>
      <c r="S205" s="20" t="e">
        <f t="shared" si="138"/>
        <v>#REF!</v>
      </c>
      <c r="T205" s="20" t="e">
        <f t="shared" si="139"/>
        <v>#REF!</v>
      </c>
      <c r="U205" s="20" t="e">
        <f t="shared" si="140"/>
        <v>#REF!</v>
      </c>
      <c r="V205" s="22"/>
      <c r="W205" s="21" t="s">
        <v>12</v>
      </c>
      <c r="X205" s="20" t="e">
        <f t="shared" si="141"/>
        <v>#REF!</v>
      </c>
      <c r="Y205" s="20" t="e">
        <f t="shared" si="142"/>
        <v>#REF!</v>
      </c>
      <c r="Z205" s="20" t="e">
        <f t="shared" si="143"/>
        <v>#REF!</v>
      </c>
      <c r="AA205" s="20" t="e">
        <f t="shared" si="144"/>
        <v>#REF!</v>
      </c>
      <c r="AB205" s="20" t="e">
        <f t="shared" si="145"/>
        <v>#REF!</v>
      </c>
    </row>
    <row r="206" spans="1:28" hidden="1" x14ac:dyDescent="0.25">
      <c r="A206" s="30" t="s">
        <v>937</v>
      </c>
      <c r="B206" s="21" t="s">
        <v>13</v>
      </c>
      <c r="C206" s="25" t="e">
        <f>#REF!</f>
        <v>#REF!</v>
      </c>
      <c r="D206" s="25" t="e">
        <f>#REF!</f>
        <v>#REF!</v>
      </c>
      <c r="E206" s="25" t="e">
        <f>#REF!</f>
        <v>#REF!</v>
      </c>
      <c r="F206" s="25" t="e">
        <f>#REF!</f>
        <v>#REF!</v>
      </c>
      <c r="G206" s="25" t="e">
        <f>#REF!</f>
        <v>#REF!</v>
      </c>
      <c r="H206" s="8"/>
      <c r="I206" s="21" t="s">
        <v>13</v>
      </c>
      <c r="J206" s="28">
        <f>'[3]G7 Cross'!E178</f>
        <v>0.83000000000000007</v>
      </c>
      <c r="K206" s="28">
        <v>0.3</v>
      </c>
      <c r="L206" s="28">
        <v>0.6</v>
      </c>
      <c r="M206" s="28">
        <v>0.2</v>
      </c>
      <c r="N206" s="28">
        <v>0.4</v>
      </c>
      <c r="O206" s="16"/>
      <c r="P206" s="21" t="s">
        <v>13</v>
      </c>
      <c r="Q206" s="20" t="e">
        <f t="shared" si="146"/>
        <v>#REF!</v>
      </c>
      <c r="R206" s="20" t="e">
        <f t="shared" si="137"/>
        <v>#REF!</v>
      </c>
      <c r="S206" s="20" t="e">
        <f t="shared" si="138"/>
        <v>#REF!</v>
      </c>
      <c r="T206" s="20" t="e">
        <f t="shared" si="139"/>
        <v>#REF!</v>
      </c>
      <c r="U206" s="20" t="e">
        <f t="shared" si="140"/>
        <v>#REF!</v>
      </c>
      <c r="V206" s="22"/>
      <c r="W206" s="21" t="s">
        <v>13</v>
      </c>
      <c r="X206" s="20" t="e">
        <f t="shared" si="141"/>
        <v>#REF!</v>
      </c>
      <c r="Y206" s="20" t="e">
        <f t="shared" si="142"/>
        <v>#REF!</v>
      </c>
      <c r="Z206" s="20" t="e">
        <f t="shared" si="143"/>
        <v>#REF!</v>
      </c>
      <c r="AA206" s="20" t="e">
        <f t="shared" si="144"/>
        <v>#REF!</v>
      </c>
      <c r="AB206" s="20" t="e">
        <f t="shared" si="145"/>
        <v>#REF!</v>
      </c>
    </row>
    <row r="207" spans="1:28" hidden="1" x14ac:dyDescent="0.25">
      <c r="A207" s="30" t="s">
        <v>937</v>
      </c>
      <c r="B207" s="21" t="s">
        <v>14</v>
      </c>
      <c r="C207" s="25" t="e">
        <f>#REF!</f>
        <v>#REF!</v>
      </c>
      <c r="D207" s="25" t="e">
        <f>#REF!</f>
        <v>#REF!</v>
      </c>
      <c r="E207" s="25" t="e">
        <f>#REF!</f>
        <v>#REF!</v>
      </c>
      <c r="F207" s="25" t="e">
        <f>#REF!</f>
        <v>#REF!</v>
      </c>
      <c r="G207" s="25" t="e">
        <f>#REF!</f>
        <v>#REF!</v>
      </c>
      <c r="H207" s="16"/>
      <c r="I207" s="21" t="s">
        <v>14</v>
      </c>
      <c r="J207" s="28">
        <f>'[3]G7 Cross'!E179</f>
        <v>1.05</v>
      </c>
      <c r="K207" s="28">
        <v>0.3</v>
      </c>
      <c r="L207" s="28">
        <v>0.6</v>
      </c>
      <c r="M207" s="28">
        <v>0.2</v>
      </c>
      <c r="N207" s="28">
        <v>0.4</v>
      </c>
      <c r="O207" s="16"/>
      <c r="P207" s="21" t="s">
        <v>14</v>
      </c>
      <c r="Q207" s="20" t="e">
        <f t="shared" si="146"/>
        <v>#REF!</v>
      </c>
      <c r="R207" s="20" t="e">
        <f t="shared" si="137"/>
        <v>#REF!</v>
      </c>
      <c r="S207" s="20" t="e">
        <f t="shared" si="138"/>
        <v>#REF!</v>
      </c>
      <c r="T207" s="20" t="e">
        <f t="shared" si="139"/>
        <v>#REF!</v>
      </c>
      <c r="U207" s="20" t="e">
        <f t="shared" si="140"/>
        <v>#REF!</v>
      </c>
      <c r="V207" s="22"/>
      <c r="W207" s="21" t="s">
        <v>14</v>
      </c>
      <c r="X207" s="20" t="e">
        <f t="shared" si="141"/>
        <v>#REF!</v>
      </c>
      <c r="Y207" s="20" t="e">
        <f t="shared" si="142"/>
        <v>#REF!</v>
      </c>
      <c r="Z207" s="20" t="e">
        <f t="shared" si="143"/>
        <v>#REF!</v>
      </c>
      <c r="AA207" s="20" t="e">
        <f t="shared" si="144"/>
        <v>#REF!</v>
      </c>
      <c r="AB207" s="20" t="e">
        <f t="shared" si="145"/>
        <v>#REF!</v>
      </c>
    </row>
    <row r="208" spans="1:28" hidden="1" x14ac:dyDescent="0.25">
      <c r="A208" s="30" t="s">
        <v>937</v>
      </c>
      <c r="B208" s="21" t="s">
        <v>876</v>
      </c>
      <c r="C208" s="25" t="e">
        <f>#REF!</f>
        <v>#REF!</v>
      </c>
      <c r="D208" s="25" t="e">
        <f>#REF!</f>
        <v>#REF!</v>
      </c>
      <c r="E208" s="25" t="e">
        <f>#REF!</f>
        <v>#REF!</v>
      </c>
      <c r="F208" s="25" t="e">
        <f>#REF!</f>
        <v>#REF!</v>
      </c>
      <c r="G208" s="25" t="e">
        <f>#REF!</f>
        <v>#REF!</v>
      </c>
      <c r="H208" s="16"/>
      <c r="I208" s="21" t="s">
        <v>876</v>
      </c>
      <c r="J208" s="28">
        <f>'[3]G7 Cross'!E180</f>
        <v>1.31</v>
      </c>
      <c r="K208" s="28">
        <v>0.3</v>
      </c>
      <c r="L208" s="28">
        <v>0.6</v>
      </c>
      <c r="M208" s="28">
        <v>0.2</v>
      </c>
      <c r="N208" s="28">
        <v>0.4</v>
      </c>
      <c r="O208" s="16"/>
      <c r="P208" s="21" t="s">
        <v>876</v>
      </c>
      <c r="Q208" s="20" t="e">
        <f t="shared" si="146"/>
        <v>#REF!</v>
      </c>
      <c r="R208" s="20" t="e">
        <f t="shared" si="137"/>
        <v>#REF!</v>
      </c>
      <c r="S208" s="20" t="e">
        <f t="shared" si="138"/>
        <v>#REF!</v>
      </c>
      <c r="T208" s="20" t="e">
        <f t="shared" si="139"/>
        <v>#REF!</v>
      </c>
      <c r="U208" s="20" t="e">
        <f t="shared" si="140"/>
        <v>#REF!</v>
      </c>
      <c r="V208" s="22"/>
      <c r="W208" s="21" t="s">
        <v>876</v>
      </c>
      <c r="X208" s="20" t="e">
        <f t="shared" si="141"/>
        <v>#REF!</v>
      </c>
      <c r="Y208" s="20" t="e">
        <f t="shared" si="142"/>
        <v>#REF!</v>
      </c>
      <c r="Z208" s="20" t="e">
        <f t="shared" si="143"/>
        <v>#REF!</v>
      </c>
      <c r="AA208" s="20" t="e">
        <f t="shared" si="144"/>
        <v>#REF!</v>
      </c>
      <c r="AB208" s="20" t="e">
        <f t="shared" si="145"/>
        <v>#REF!</v>
      </c>
    </row>
    <row r="209" spans="1:28" x14ac:dyDescent="0.25">
      <c r="A209" s="7" t="s">
        <v>70</v>
      </c>
      <c r="B209" s="7" t="s">
        <v>327</v>
      </c>
      <c r="C209" s="24" t="s">
        <v>311</v>
      </c>
      <c r="D209" s="24" t="s">
        <v>312</v>
      </c>
      <c r="E209" s="24" t="s">
        <v>313</v>
      </c>
      <c r="F209" s="24" t="s">
        <v>314</v>
      </c>
      <c r="G209" s="24" t="s">
        <v>315</v>
      </c>
      <c r="I209" s="7" t="s">
        <v>328</v>
      </c>
      <c r="J209" s="7" t="s">
        <v>311</v>
      </c>
      <c r="K209" s="7" t="s">
        <v>312</v>
      </c>
      <c r="L209" s="7" t="s">
        <v>313</v>
      </c>
      <c r="M209" s="7" t="s">
        <v>314</v>
      </c>
      <c r="N209" s="7" t="s">
        <v>315</v>
      </c>
      <c r="P209" s="7" t="s">
        <v>69</v>
      </c>
      <c r="Q209" s="7" t="s">
        <v>311</v>
      </c>
      <c r="R209" s="7" t="s">
        <v>312</v>
      </c>
      <c r="S209" s="7" t="s">
        <v>313</v>
      </c>
      <c r="T209" s="7" t="s">
        <v>314</v>
      </c>
      <c r="U209" s="7" t="s">
        <v>315</v>
      </c>
      <c r="W209" s="7" t="s">
        <v>318</v>
      </c>
      <c r="X209" s="7" t="s">
        <v>311</v>
      </c>
      <c r="Y209" s="7" t="s">
        <v>312</v>
      </c>
      <c r="Z209" s="7" t="s">
        <v>313</v>
      </c>
      <c r="AA209" s="7" t="s">
        <v>314</v>
      </c>
      <c r="AB209" s="7" t="s">
        <v>315</v>
      </c>
    </row>
    <row r="210" spans="1:28" x14ac:dyDescent="0.25">
      <c r="A210" s="21" t="s">
        <v>937</v>
      </c>
      <c r="B210" s="21" t="s">
        <v>5</v>
      </c>
      <c r="C210" s="25">
        <f>[1]CHFJPY!$B15</f>
        <v>0.13750000000000001</v>
      </c>
      <c r="D210" s="25">
        <f>[1]CHFJPY!$F15</f>
        <v>-2.7200000000000002E-2</v>
      </c>
      <c r="E210" s="25">
        <f>[1]CHFJPY!$E15</f>
        <v>-5.2699999999999997E-2</v>
      </c>
      <c r="F210" s="25">
        <f>[1]CHFJPY!$D15</f>
        <v>2.3999999999999998E-3</v>
      </c>
      <c r="G210" s="25">
        <f>[1]CHFJPY!$C15</f>
        <v>9.1999999999999998E-3</v>
      </c>
      <c r="I210" s="21" t="s">
        <v>5</v>
      </c>
      <c r="J210" s="28">
        <f>'[2]G7 Cross'!$C2</f>
        <v>8.11</v>
      </c>
      <c r="K210" s="28">
        <v>1.2</v>
      </c>
      <c r="L210" s="28">
        <v>2.4</v>
      </c>
      <c r="M210" s="28">
        <v>0.8</v>
      </c>
      <c r="N210" s="28">
        <v>1.6</v>
      </c>
      <c r="P210" s="21" t="s">
        <v>5</v>
      </c>
      <c r="Q210" s="20">
        <f>(C210-J210/200)-0.002</f>
        <v>9.4950000000000007E-2</v>
      </c>
      <c r="R210" s="20">
        <f t="shared" ref="R210:R220" si="147">D210-K210/200</f>
        <v>-3.32E-2</v>
      </c>
      <c r="S210" s="20">
        <f t="shared" ref="S210:S220" si="148">E210-L210/200</f>
        <v>-6.4699999999999994E-2</v>
      </c>
      <c r="T210" s="20">
        <f t="shared" ref="T210:T220" si="149">F210-M210/200</f>
        <v>-1.6000000000000003E-3</v>
      </c>
      <c r="U210" s="20">
        <f t="shared" ref="U210:U220" si="150">G210-N210/200</f>
        <v>1.1999999999999997E-3</v>
      </c>
      <c r="W210" s="21" t="s">
        <v>5</v>
      </c>
      <c r="X210" s="20">
        <f>(C210+J210/200)-0.002</f>
        <v>0.17605000000000001</v>
      </c>
      <c r="Y210" s="20">
        <f t="shared" ref="Y210:Y220" si="151">D210+K210/200</f>
        <v>-2.1200000000000004E-2</v>
      </c>
      <c r="Z210" s="20">
        <f t="shared" ref="Z210:Z220" si="152">E210+L210/200</f>
        <v>-4.07E-2</v>
      </c>
      <c r="AA210" s="20">
        <f t="shared" ref="AA210:AA220" si="153">F210+M210/200</f>
        <v>6.3999999999999994E-3</v>
      </c>
      <c r="AB210" s="20">
        <f t="shared" ref="AB210:AB220" si="154">G210+N210/200</f>
        <v>1.72E-2</v>
      </c>
    </row>
    <row r="211" spans="1:28" x14ac:dyDescent="0.25">
      <c r="A211" s="21" t="s">
        <v>937</v>
      </c>
      <c r="B211" s="21" t="s">
        <v>6</v>
      </c>
      <c r="C211" s="25">
        <f>[1]CHFJPY!$B16</f>
        <v>0.10279999999999999</v>
      </c>
      <c r="D211" s="25">
        <f>[1]CHFJPY!$F16</f>
        <v>-2.1000000000000001E-2</v>
      </c>
      <c r="E211" s="25">
        <f>[1]CHFJPY!$E16</f>
        <v>-4.1299999999999996E-2</v>
      </c>
      <c r="F211" s="25">
        <f>[1]CHFJPY!$D16</f>
        <v>2.7000000000000001E-3</v>
      </c>
      <c r="G211" s="25">
        <f>[1]CHFJPY!$C16</f>
        <v>1.0700000000000001E-2</v>
      </c>
      <c r="I211" s="21" t="s">
        <v>6</v>
      </c>
      <c r="J211" s="28">
        <f>'[2]G7 Cross'!$C3</f>
        <v>2.3199999999999998</v>
      </c>
      <c r="K211" s="28">
        <v>0.5</v>
      </c>
      <c r="L211" s="28">
        <v>1</v>
      </c>
      <c r="M211" s="28">
        <v>0.4</v>
      </c>
      <c r="N211" s="28">
        <v>0.8</v>
      </c>
      <c r="P211" s="21" t="s">
        <v>6</v>
      </c>
      <c r="Q211" s="20">
        <f>(C211-J211/200)-0.002</f>
        <v>8.9199999999999988E-2</v>
      </c>
      <c r="R211" s="20">
        <f t="shared" si="147"/>
        <v>-2.35E-2</v>
      </c>
      <c r="S211" s="20">
        <f t="shared" si="148"/>
        <v>-4.6299999999999994E-2</v>
      </c>
      <c r="T211" s="20">
        <f t="shared" si="149"/>
        <v>7.000000000000001E-4</v>
      </c>
      <c r="U211" s="20">
        <f t="shared" si="150"/>
        <v>6.7000000000000011E-3</v>
      </c>
      <c r="W211" s="21" t="s">
        <v>6</v>
      </c>
      <c r="X211" s="20">
        <f t="shared" ref="X211:X220" si="155">(C211+J211/200)-0.002</f>
        <v>0.11239999999999999</v>
      </c>
      <c r="Y211" s="20">
        <f t="shared" si="151"/>
        <v>-1.8500000000000003E-2</v>
      </c>
      <c r="Z211" s="20">
        <f t="shared" si="152"/>
        <v>-3.6299999999999999E-2</v>
      </c>
      <c r="AA211" s="20">
        <f t="shared" si="153"/>
        <v>4.7000000000000002E-3</v>
      </c>
      <c r="AB211" s="20">
        <f t="shared" si="154"/>
        <v>1.4700000000000001E-2</v>
      </c>
    </row>
    <row r="212" spans="1:28" x14ac:dyDescent="0.25">
      <c r="A212" s="21" t="s">
        <v>937</v>
      </c>
      <c r="B212" s="21" t="s">
        <v>7</v>
      </c>
      <c r="C212" s="25">
        <f>[1]CHFJPY!$B17</f>
        <v>0.10390000000000001</v>
      </c>
      <c r="D212" s="25">
        <f>[1]CHFJPY!$F17</f>
        <v>-2.12E-2</v>
      </c>
      <c r="E212" s="25">
        <f>[1]CHFJPY!$E17</f>
        <v>-4.0500000000000001E-2</v>
      </c>
      <c r="F212" s="25">
        <f>[1]CHFJPY!$D17</f>
        <v>2.7000000000000001E-3</v>
      </c>
      <c r="G212" s="25">
        <f>[1]CHFJPY!$C17</f>
        <v>1.0500000000000001E-2</v>
      </c>
      <c r="I212" s="21" t="s">
        <v>7</v>
      </c>
      <c r="J212" s="28">
        <f>'[2]G7 Cross'!$C4</f>
        <v>1.35</v>
      </c>
      <c r="K212" s="28">
        <v>0.4</v>
      </c>
      <c r="L212" s="28">
        <v>0.8</v>
      </c>
      <c r="M212" s="28">
        <v>0.3</v>
      </c>
      <c r="N212" s="28">
        <v>0.6</v>
      </c>
      <c r="P212" s="21" t="s">
        <v>7</v>
      </c>
      <c r="Q212" s="20">
        <f t="shared" ref="Q212:Q220" si="156">(C212-J212/200)-0.002</f>
        <v>9.5149999999999998E-2</v>
      </c>
      <c r="R212" s="20">
        <f t="shared" si="147"/>
        <v>-2.3199999999999998E-2</v>
      </c>
      <c r="S212" s="20">
        <f t="shared" si="148"/>
        <v>-4.4499999999999998E-2</v>
      </c>
      <c r="T212" s="20">
        <f t="shared" si="149"/>
        <v>1.2000000000000001E-3</v>
      </c>
      <c r="U212" s="20">
        <f t="shared" si="150"/>
        <v>7.5000000000000006E-3</v>
      </c>
      <c r="W212" s="21" t="s">
        <v>7</v>
      </c>
      <c r="X212" s="20">
        <f t="shared" si="155"/>
        <v>0.10865000000000001</v>
      </c>
      <c r="Y212" s="20">
        <f t="shared" si="151"/>
        <v>-1.9200000000000002E-2</v>
      </c>
      <c r="Z212" s="20">
        <f t="shared" si="152"/>
        <v>-3.6500000000000005E-2</v>
      </c>
      <c r="AA212" s="20">
        <f t="shared" si="153"/>
        <v>4.2000000000000006E-3</v>
      </c>
      <c r="AB212" s="20">
        <f t="shared" si="154"/>
        <v>1.3500000000000002E-2</v>
      </c>
    </row>
    <row r="213" spans="1:28" x14ac:dyDescent="0.25">
      <c r="A213" s="21" t="s">
        <v>937</v>
      </c>
      <c r="B213" s="21" t="s">
        <v>8</v>
      </c>
      <c r="C213" s="25">
        <f>[1]CHFJPY!$B18</f>
        <v>9.6799999999999997E-2</v>
      </c>
      <c r="D213" s="25">
        <f>[1]CHFJPY!$F18</f>
        <v>-2.0099999999999996E-2</v>
      </c>
      <c r="E213" s="25">
        <f>[1]CHFJPY!$E18</f>
        <v>-3.5499999999999997E-2</v>
      </c>
      <c r="F213" s="25">
        <f>[1]CHFJPY!$D18</f>
        <v>2.3999999999999998E-3</v>
      </c>
      <c r="G213" s="25">
        <f>[1]CHFJPY!$C18</f>
        <v>9.7000000000000003E-3</v>
      </c>
      <c r="I213" s="21" t="s">
        <v>8</v>
      </c>
      <c r="J213" s="28">
        <f>'[2]G7 Cross'!$C5</f>
        <v>0.67</v>
      </c>
      <c r="K213" s="28">
        <v>0.3</v>
      </c>
      <c r="L213" s="28">
        <v>0.6</v>
      </c>
      <c r="M213" s="28">
        <v>0.2</v>
      </c>
      <c r="N213" s="28">
        <v>0.4</v>
      </c>
      <c r="P213" s="21" t="s">
        <v>8</v>
      </c>
      <c r="Q213" s="20">
        <f t="shared" si="156"/>
        <v>9.144999999999999E-2</v>
      </c>
      <c r="R213" s="20">
        <f t="shared" si="147"/>
        <v>-2.1599999999999998E-2</v>
      </c>
      <c r="S213" s="20">
        <f t="shared" si="148"/>
        <v>-3.85E-2</v>
      </c>
      <c r="T213" s="20">
        <f t="shared" si="149"/>
        <v>1.3999999999999998E-3</v>
      </c>
      <c r="U213" s="20">
        <f t="shared" si="150"/>
        <v>7.7000000000000002E-3</v>
      </c>
      <c r="W213" s="21" t="s">
        <v>8</v>
      </c>
      <c r="X213" s="20">
        <f t="shared" si="155"/>
        <v>9.8150000000000001E-2</v>
      </c>
      <c r="Y213" s="20">
        <f t="shared" si="151"/>
        <v>-1.8599999999999995E-2</v>
      </c>
      <c r="Z213" s="20">
        <f t="shared" si="152"/>
        <v>-3.2499999999999994E-2</v>
      </c>
      <c r="AA213" s="20">
        <f t="shared" si="153"/>
        <v>3.3999999999999998E-3</v>
      </c>
      <c r="AB213" s="20">
        <f t="shared" si="154"/>
        <v>1.17E-2</v>
      </c>
    </row>
    <row r="214" spans="1:28" x14ac:dyDescent="0.25">
      <c r="A214" s="21" t="s">
        <v>937</v>
      </c>
      <c r="B214" s="21" t="s">
        <v>9</v>
      </c>
      <c r="C214" s="25">
        <f>[1]CHFJPY!$B19</f>
        <v>9.0800000000000006E-2</v>
      </c>
      <c r="D214" s="25">
        <f>[1]CHFJPY!$F19</f>
        <v>-1.6799999999999999E-2</v>
      </c>
      <c r="E214" s="25">
        <f>[1]CHFJPY!$E19</f>
        <v>-2.9900000000000003E-2</v>
      </c>
      <c r="F214" s="25">
        <f>[1]CHFJPY!$D19</f>
        <v>2.5000000000000001E-3</v>
      </c>
      <c r="G214" s="25">
        <f>[1]CHFJPY!$C19</f>
        <v>9.7999999999999997E-3</v>
      </c>
      <c r="I214" s="21" t="s">
        <v>9</v>
      </c>
      <c r="J214" s="28">
        <f>'[2]G7 Cross'!$C6</f>
        <v>0.63</v>
      </c>
      <c r="K214" s="28">
        <v>0.3</v>
      </c>
      <c r="L214" s="28">
        <v>0.6</v>
      </c>
      <c r="M214" s="28">
        <v>0.2</v>
      </c>
      <c r="N214" s="28">
        <v>0.4</v>
      </c>
      <c r="P214" s="21" t="s">
        <v>9</v>
      </c>
      <c r="Q214" s="20">
        <f t="shared" si="156"/>
        <v>8.5650000000000004E-2</v>
      </c>
      <c r="R214" s="20">
        <f t="shared" si="147"/>
        <v>-1.83E-2</v>
      </c>
      <c r="S214" s="20">
        <f t="shared" si="148"/>
        <v>-3.2900000000000006E-2</v>
      </c>
      <c r="T214" s="20">
        <f t="shared" si="149"/>
        <v>1.5E-3</v>
      </c>
      <c r="U214" s="20">
        <f t="shared" si="150"/>
        <v>7.7999999999999996E-3</v>
      </c>
      <c r="W214" s="21" t="s">
        <v>9</v>
      </c>
      <c r="X214" s="20">
        <f t="shared" si="155"/>
        <v>9.1950000000000004E-2</v>
      </c>
      <c r="Y214" s="20">
        <f t="shared" si="151"/>
        <v>-1.5299999999999999E-2</v>
      </c>
      <c r="Z214" s="20">
        <f t="shared" si="152"/>
        <v>-2.6900000000000004E-2</v>
      </c>
      <c r="AA214" s="20">
        <f t="shared" si="153"/>
        <v>3.5000000000000001E-3</v>
      </c>
      <c r="AB214" s="20">
        <f t="shared" si="154"/>
        <v>1.18E-2</v>
      </c>
    </row>
    <row r="215" spans="1:28" x14ac:dyDescent="0.25">
      <c r="A215" s="21" t="s">
        <v>937</v>
      </c>
      <c r="B215" s="21" t="s">
        <v>10</v>
      </c>
      <c r="C215" s="25">
        <f>[1]CHFJPY!$B20</f>
        <v>8.8399999999999992E-2</v>
      </c>
      <c r="D215" s="25">
        <f>[1]CHFJPY!$F20</f>
        <v>-1.5800000000000002E-2</v>
      </c>
      <c r="E215" s="25">
        <f>[1]CHFJPY!$E20</f>
        <v>-2.8300000000000002E-2</v>
      </c>
      <c r="F215" s="25">
        <f>[1]CHFJPY!$D20</f>
        <v>2.5999999999999999E-3</v>
      </c>
      <c r="G215" s="25">
        <f>[1]CHFJPY!$C20</f>
        <v>1.03E-2</v>
      </c>
      <c r="I215" s="21" t="s">
        <v>10</v>
      </c>
      <c r="J215" s="28">
        <f>'[2]G7 Cross'!$C7</f>
        <v>0.65</v>
      </c>
      <c r="K215" s="28">
        <v>0.3</v>
      </c>
      <c r="L215" s="28">
        <v>0.6</v>
      </c>
      <c r="M215" s="28">
        <v>0.2</v>
      </c>
      <c r="N215" s="28">
        <v>0.4</v>
      </c>
      <c r="P215" s="21" t="s">
        <v>10</v>
      </c>
      <c r="Q215" s="20">
        <f t="shared" si="156"/>
        <v>8.3149999999999988E-2</v>
      </c>
      <c r="R215" s="20">
        <f t="shared" si="147"/>
        <v>-1.7300000000000003E-2</v>
      </c>
      <c r="S215" s="20">
        <f t="shared" si="148"/>
        <v>-3.1300000000000001E-2</v>
      </c>
      <c r="T215" s="20">
        <f t="shared" si="149"/>
        <v>1.5999999999999999E-3</v>
      </c>
      <c r="U215" s="20">
        <f t="shared" si="150"/>
        <v>8.3000000000000001E-3</v>
      </c>
      <c r="W215" s="21" t="s">
        <v>10</v>
      </c>
      <c r="X215" s="20">
        <f t="shared" si="155"/>
        <v>8.9649999999999994E-2</v>
      </c>
      <c r="Y215" s="20">
        <f t="shared" si="151"/>
        <v>-1.4300000000000002E-2</v>
      </c>
      <c r="Z215" s="20">
        <f t="shared" si="152"/>
        <v>-2.5300000000000003E-2</v>
      </c>
      <c r="AA215" s="20">
        <f t="shared" si="153"/>
        <v>3.5999999999999999E-3</v>
      </c>
      <c r="AB215" s="20">
        <f t="shared" si="154"/>
        <v>1.23E-2</v>
      </c>
    </row>
    <row r="216" spans="1:28" x14ac:dyDescent="0.25">
      <c r="A216" s="21" t="s">
        <v>937</v>
      </c>
      <c r="B216" s="21" t="s">
        <v>11</v>
      </c>
      <c r="C216" s="25">
        <f>[1]CHFJPY!$B21</f>
        <v>8.539999999999999E-2</v>
      </c>
      <c r="D216" s="25">
        <f>[1]CHFJPY!$F21</f>
        <v>-1.0700000000000001E-2</v>
      </c>
      <c r="E216" s="25">
        <f>[1]CHFJPY!$E21</f>
        <v>-1.9599999999999999E-2</v>
      </c>
      <c r="F216" s="25">
        <f>[1]CHFJPY!$D21</f>
        <v>2.5000000000000001E-3</v>
      </c>
      <c r="G216" s="25">
        <f>[1]CHFJPY!$C21</f>
        <v>1.01E-2</v>
      </c>
      <c r="I216" s="21" t="s">
        <v>11</v>
      </c>
      <c r="J216" s="28">
        <f>'[2]G7 Cross'!$C8</f>
        <v>0.62</v>
      </c>
      <c r="K216" s="28">
        <v>0.3</v>
      </c>
      <c r="L216" s="28">
        <v>0.6</v>
      </c>
      <c r="M216" s="28">
        <v>0.2</v>
      </c>
      <c r="N216" s="28">
        <v>0.4</v>
      </c>
      <c r="P216" s="21" t="s">
        <v>11</v>
      </c>
      <c r="Q216" s="20">
        <f t="shared" si="156"/>
        <v>8.0299999999999983E-2</v>
      </c>
      <c r="R216" s="20">
        <f t="shared" si="147"/>
        <v>-1.2200000000000001E-2</v>
      </c>
      <c r="S216" s="20">
        <f t="shared" si="148"/>
        <v>-2.2599999999999999E-2</v>
      </c>
      <c r="T216" s="20">
        <f t="shared" si="149"/>
        <v>1.5E-3</v>
      </c>
      <c r="U216" s="20">
        <f t="shared" si="150"/>
        <v>8.0999999999999996E-3</v>
      </c>
      <c r="W216" s="21" t="s">
        <v>11</v>
      </c>
      <c r="X216" s="20">
        <f t="shared" si="155"/>
        <v>8.6499999999999994E-2</v>
      </c>
      <c r="Y216" s="20">
        <f t="shared" si="151"/>
        <v>-9.2000000000000016E-3</v>
      </c>
      <c r="Z216" s="20">
        <f t="shared" si="152"/>
        <v>-1.66E-2</v>
      </c>
      <c r="AA216" s="20">
        <f t="shared" si="153"/>
        <v>3.5000000000000001E-3</v>
      </c>
      <c r="AB216" s="20">
        <f t="shared" si="154"/>
        <v>1.21E-2</v>
      </c>
    </row>
    <row r="217" spans="1:28" x14ac:dyDescent="0.25">
      <c r="A217" s="21" t="s">
        <v>937</v>
      </c>
      <c r="B217" s="21" t="s">
        <v>12</v>
      </c>
      <c r="C217" s="25">
        <f>[1]CHFJPY!$B22</f>
        <v>8.4600000000000009E-2</v>
      </c>
      <c r="D217" s="25">
        <f>[1]CHFJPY!$F22</f>
        <v>-8.3999999999999995E-3</v>
      </c>
      <c r="E217" s="25">
        <f>[1]CHFJPY!$E22</f>
        <v>-1.5700000000000002E-2</v>
      </c>
      <c r="F217" s="25">
        <f>[1]CHFJPY!$D22</f>
        <v>2.7000000000000001E-3</v>
      </c>
      <c r="G217" s="25">
        <f>[1]CHFJPY!$C22</f>
        <v>1.0800000000000001E-2</v>
      </c>
      <c r="I217" s="21" t="s">
        <v>12</v>
      </c>
      <c r="J217" s="28">
        <f>'[2]G7 Cross'!$C9</f>
        <v>0.56999999999999995</v>
      </c>
      <c r="K217" s="28">
        <v>0.3</v>
      </c>
      <c r="L217" s="28">
        <v>0.6</v>
      </c>
      <c r="M217" s="28">
        <v>0.2</v>
      </c>
      <c r="N217" s="28">
        <v>0.4</v>
      </c>
      <c r="P217" s="21" t="s">
        <v>12</v>
      </c>
      <c r="Q217" s="20">
        <f t="shared" si="156"/>
        <v>7.9750000000000001E-2</v>
      </c>
      <c r="R217" s="20">
        <f t="shared" si="147"/>
        <v>-9.8999999999999991E-3</v>
      </c>
      <c r="S217" s="20">
        <f t="shared" si="148"/>
        <v>-1.8700000000000001E-2</v>
      </c>
      <c r="T217" s="20">
        <f t="shared" si="149"/>
        <v>1.7000000000000001E-3</v>
      </c>
      <c r="U217" s="20">
        <f t="shared" si="150"/>
        <v>8.8000000000000005E-3</v>
      </c>
      <c r="W217" s="21" t="s">
        <v>12</v>
      </c>
      <c r="X217" s="20">
        <f t="shared" si="155"/>
        <v>8.5450000000000012E-2</v>
      </c>
      <c r="Y217" s="20">
        <f t="shared" si="151"/>
        <v>-6.8999999999999999E-3</v>
      </c>
      <c r="Z217" s="20">
        <f t="shared" si="152"/>
        <v>-1.2700000000000003E-2</v>
      </c>
      <c r="AA217" s="20">
        <f t="shared" si="153"/>
        <v>3.7000000000000002E-3</v>
      </c>
      <c r="AB217" s="20">
        <f t="shared" si="154"/>
        <v>1.2800000000000001E-2</v>
      </c>
    </row>
    <row r="218" spans="1:28" x14ac:dyDescent="0.25">
      <c r="A218" s="21" t="s">
        <v>937</v>
      </c>
      <c r="B218" s="21" t="s">
        <v>13</v>
      </c>
      <c r="C218" s="25">
        <f>[1]CHFJPY!$B23</f>
        <v>8.43E-2</v>
      </c>
      <c r="D218" s="25">
        <f>[1]CHFJPY!$F23</f>
        <v>-5.8999999999999999E-3</v>
      </c>
      <c r="E218" s="25">
        <f>[1]CHFJPY!$E23</f>
        <v>-1.11E-2</v>
      </c>
      <c r="F218" s="25">
        <f>[1]CHFJPY!$D23</f>
        <v>2.8999999999999998E-3</v>
      </c>
      <c r="G218" s="25">
        <f>[1]CHFJPY!$C23</f>
        <v>1.1200000000000002E-2</v>
      </c>
      <c r="I218" s="21" t="s">
        <v>13</v>
      </c>
      <c r="J218" s="28">
        <f>'[2]G7 Cross'!$C10</f>
        <v>0.55000000000000004</v>
      </c>
      <c r="K218" s="28">
        <v>0.3</v>
      </c>
      <c r="L218" s="28">
        <v>0.6</v>
      </c>
      <c r="M218" s="28">
        <v>0.2</v>
      </c>
      <c r="N218" s="28">
        <v>0.4</v>
      </c>
      <c r="P218" s="21" t="s">
        <v>13</v>
      </c>
      <c r="Q218" s="20">
        <f t="shared" si="156"/>
        <v>7.9549999999999996E-2</v>
      </c>
      <c r="R218" s="20">
        <f t="shared" si="147"/>
        <v>-7.4000000000000003E-3</v>
      </c>
      <c r="S218" s="20">
        <f t="shared" si="148"/>
        <v>-1.4100000000000001E-2</v>
      </c>
      <c r="T218" s="20">
        <f t="shared" si="149"/>
        <v>1.8999999999999998E-3</v>
      </c>
      <c r="U218" s="20">
        <f t="shared" si="150"/>
        <v>9.2000000000000016E-3</v>
      </c>
      <c r="W218" s="21" t="s">
        <v>13</v>
      </c>
      <c r="X218" s="20">
        <f t="shared" si="155"/>
        <v>8.5050000000000001E-2</v>
      </c>
      <c r="Y218" s="20">
        <f t="shared" si="151"/>
        <v>-4.3999999999999994E-3</v>
      </c>
      <c r="Z218" s="20">
        <f t="shared" si="152"/>
        <v>-8.0999999999999996E-3</v>
      </c>
      <c r="AA218" s="20">
        <f t="shared" si="153"/>
        <v>3.8999999999999998E-3</v>
      </c>
      <c r="AB218" s="20">
        <f t="shared" si="154"/>
        <v>1.3200000000000002E-2</v>
      </c>
    </row>
    <row r="219" spans="1:28" x14ac:dyDescent="0.25">
      <c r="A219" s="21" t="s">
        <v>937</v>
      </c>
      <c r="B219" s="21" t="s">
        <v>14</v>
      </c>
      <c r="C219" s="25">
        <f>[1]CHFJPY!$B24</f>
        <v>8.4499999999999992E-2</v>
      </c>
      <c r="D219" s="25">
        <f>[1]CHFJPY!$F24</f>
        <v>-4.8999999999999998E-3</v>
      </c>
      <c r="E219" s="25">
        <f>[1]CHFJPY!$E24</f>
        <v>-8.8000000000000005E-3</v>
      </c>
      <c r="F219" s="25">
        <f>[1]CHFJPY!$D24</f>
        <v>3.0999999999999999E-3</v>
      </c>
      <c r="G219" s="25">
        <f>[1]CHFJPY!$C24</f>
        <v>1.2E-2</v>
      </c>
      <c r="I219" s="21" t="s">
        <v>14</v>
      </c>
      <c r="J219" s="28">
        <f>'[2]G7 Cross'!$C11</f>
        <v>0.71</v>
      </c>
      <c r="K219" s="28">
        <v>0.3</v>
      </c>
      <c r="L219" s="28">
        <v>0.6</v>
      </c>
      <c r="M219" s="28">
        <v>0.2</v>
      </c>
      <c r="N219" s="28">
        <v>0.4</v>
      </c>
      <c r="P219" s="21" t="s">
        <v>14</v>
      </c>
      <c r="Q219" s="20">
        <f t="shared" si="156"/>
        <v>7.8949999999999992E-2</v>
      </c>
      <c r="R219" s="20">
        <f t="shared" si="147"/>
        <v>-6.3999999999999994E-3</v>
      </c>
      <c r="S219" s="20">
        <f t="shared" si="148"/>
        <v>-1.1800000000000001E-2</v>
      </c>
      <c r="T219" s="20">
        <f t="shared" si="149"/>
        <v>2.0999999999999999E-3</v>
      </c>
      <c r="U219" s="20">
        <f t="shared" si="150"/>
        <v>0.01</v>
      </c>
      <c r="W219" s="21" t="s">
        <v>14</v>
      </c>
      <c r="X219" s="20">
        <f t="shared" si="155"/>
        <v>8.6049999999999988E-2</v>
      </c>
      <c r="Y219" s="20">
        <f t="shared" si="151"/>
        <v>-3.3999999999999998E-3</v>
      </c>
      <c r="Z219" s="20">
        <f t="shared" si="152"/>
        <v>-5.8000000000000005E-3</v>
      </c>
      <c r="AA219" s="20">
        <f t="shared" si="153"/>
        <v>4.0999999999999995E-3</v>
      </c>
      <c r="AB219" s="20">
        <f t="shared" si="154"/>
        <v>1.4E-2</v>
      </c>
    </row>
    <row r="220" spans="1:28" x14ac:dyDescent="0.25">
      <c r="A220" s="21" t="s">
        <v>937</v>
      </c>
      <c r="B220" s="21" t="s">
        <v>876</v>
      </c>
      <c r="C220" s="25">
        <f>[1]CHFJPY!$B25</f>
        <v>8.5000000000000006E-2</v>
      </c>
      <c r="D220" s="25">
        <f>[1]CHFJPY!$F25</f>
        <v>-4.5000000000000005E-3</v>
      </c>
      <c r="E220" s="25">
        <f>[1]CHFJPY!$E25</f>
        <v>-7.4000000000000003E-3</v>
      </c>
      <c r="F220" s="25">
        <f>[1]CHFJPY!$D25</f>
        <v>3.8E-3</v>
      </c>
      <c r="G220" s="25">
        <f>[1]CHFJPY!$C25</f>
        <v>1.4999999999999999E-2</v>
      </c>
      <c r="I220" s="21" t="s">
        <v>876</v>
      </c>
      <c r="J220" s="28">
        <f>'[2]G7 Cross'!$C12</f>
        <v>0.73</v>
      </c>
      <c r="K220" s="28">
        <v>0.3</v>
      </c>
      <c r="L220" s="28">
        <v>0.6</v>
      </c>
      <c r="M220" s="28">
        <v>0.2</v>
      </c>
      <c r="N220" s="28">
        <v>0.4</v>
      </c>
      <c r="P220" s="21" t="s">
        <v>876</v>
      </c>
      <c r="Q220" s="20">
        <f t="shared" si="156"/>
        <v>7.9350000000000004E-2</v>
      </c>
      <c r="R220" s="20">
        <f t="shared" si="147"/>
        <v>-6.0000000000000001E-3</v>
      </c>
      <c r="S220" s="20">
        <f t="shared" si="148"/>
        <v>-1.04E-2</v>
      </c>
      <c r="T220" s="20">
        <f t="shared" si="149"/>
        <v>2.8E-3</v>
      </c>
      <c r="U220" s="20">
        <f t="shared" si="150"/>
        <v>1.2999999999999999E-2</v>
      </c>
      <c r="W220" s="21" t="s">
        <v>876</v>
      </c>
      <c r="X220" s="20">
        <f t="shared" si="155"/>
        <v>8.6650000000000005E-2</v>
      </c>
      <c r="Y220" s="20">
        <f t="shared" si="151"/>
        <v>-3.0000000000000005E-3</v>
      </c>
      <c r="Z220" s="20">
        <f t="shared" si="152"/>
        <v>-4.4000000000000003E-3</v>
      </c>
      <c r="AA220" s="20">
        <f t="shared" si="153"/>
        <v>4.8000000000000004E-3</v>
      </c>
      <c r="AB220" s="20">
        <f t="shared" si="154"/>
        <v>1.7000000000000001E-2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1:AD223"/>
  <sheetViews>
    <sheetView zoomScale="85" zoomScaleNormal="85" workbookViewId="0">
      <selection activeCell="G5" sqref="G5"/>
    </sheetView>
  </sheetViews>
  <sheetFormatPr defaultRowHeight="15.75" x14ac:dyDescent="0.25"/>
  <cols>
    <col min="1" max="2" width="9.5703125" bestFit="1" customWidth="1"/>
    <col min="3" max="6" width="8.5703125" bestFit="1" customWidth="1"/>
    <col min="8" max="8" width="5.42578125" bestFit="1" customWidth="1"/>
    <col min="9" max="9" width="9.5703125" bestFit="1" customWidth="1"/>
    <col min="10" max="11" width="8.5703125" bestFit="1" customWidth="1"/>
    <col min="12" max="12" width="8.42578125" customWidth="1"/>
    <col min="13" max="13" width="8.42578125" bestFit="1" customWidth="1"/>
    <col min="15" max="15" width="12.42578125" bestFit="1" customWidth="1"/>
    <col min="16" max="17" width="25.42578125" bestFit="1" customWidth="1"/>
    <col min="18" max="18" width="13.42578125" bestFit="1" customWidth="1"/>
    <col min="19" max="20" width="24.5703125" bestFit="1" customWidth="1"/>
    <col min="21" max="21" width="13.42578125" bestFit="1" customWidth="1"/>
    <col min="22" max="23" width="24.5703125" bestFit="1" customWidth="1"/>
    <col min="24" max="24" width="11.5703125" bestFit="1" customWidth="1"/>
    <col min="25" max="25" width="24.5703125" bestFit="1" customWidth="1"/>
    <col min="26" max="26" width="24" bestFit="1" customWidth="1"/>
    <col min="27" max="27" width="13.42578125" bestFit="1" customWidth="1"/>
    <col min="28" max="28" width="24.5703125" bestFit="1" customWidth="1"/>
    <col min="29" max="29" width="24" bestFit="1" customWidth="1"/>
  </cols>
  <sheetData>
    <row r="1" spans="1:30" s="1" customFormat="1" x14ac:dyDescent="0.25">
      <c r="A1" s="10" t="s">
        <v>938</v>
      </c>
      <c r="B1" s="10"/>
      <c r="C1" s="10"/>
      <c r="D1" s="10"/>
      <c r="E1" s="10"/>
      <c r="F1" s="10"/>
      <c r="O1" s="3" t="s">
        <v>67</v>
      </c>
      <c r="P1" s="15" t="s">
        <v>68</v>
      </c>
      <c r="Q1" s="6"/>
      <c r="R1" s="15" t="s">
        <v>67</v>
      </c>
      <c r="S1" s="15" t="s">
        <v>68</v>
      </c>
      <c r="T1" s="15"/>
      <c r="U1" s="3" t="s">
        <v>67</v>
      </c>
      <c r="V1" s="15" t="s">
        <v>68</v>
      </c>
      <c r="W1" s="6"/>
      <c r="X1" s="15" t="s">
        <v>67</v>
      </c>
      <c r="Y1" s="15" t="s">
        <v>68</v>
      </c>
      <c r="Z1" s="15"/>
      <c r="AA1" s="3" t="s">
        <v>67</v>
      </c>
      <c r="AB1" s="15" t="s">
        <v>68</v>
      </c>
      <c r="AC1" s="6"/>
      <c r="AD1"/>
    </row>
    <row r="2" spans="1:30" s="1" customFormat="1" ht="14.25" x14ac:dyDescent="0.25">
      <c r="A2" s="12" t="s">
        <v>331</v>
      </c>
      <c r="B2" s="12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H2" s="10" t="s">
        <v>16</v>
      </c>
      <c r="I2" s="10" t="s">
        <v>0</v>
      </c>
      <c r="J2" s="10" t="s">
        <v>1</v>
      </c>
      <c r="K2" s="10" t="s">
        <v>2</v>
      </c>
      <c r="L2" s="10" t="s">
        <v>3</v>
      </c>
      <c r="M2" s="10" t="s">
        <v>4</v>
      </c>
      <c r="O2" s="3" t="s">
        <v>66</v>
      </c>
      <c r="P2" s="13" t="s">
        <v>15</v>
      </c>
      <c r="Q2" s="4" t="s">
        <v>16</v>
      </c>
      <c r="R2" s="15" t="s">
        <v>1</v>
      </c>
      <c r="S2" s="13" t="s">
        <v>15</v>
      </c>
      <c r="T2" s="13" t="s">
        <v>16</v>
      </c>
      <c r="U2" s="3" t="s">
        <v>2</v>
      </c>
      <c r="V2" s="13" t="s">
        <v>15</v>
      </c>
      <c r="W2" s="4" t="s">
        <v>16</v>
      </c>
      <c r="X2" s="15" t="s">
        <v>3</v>
      </c>
      <c r="Y2" s="13" t="s">
        <v>15</v>
      </c>
      <c r="Z2" s="13" t="s">
        <v>16</v>
      </c>
      <c r="AA2" s="3" t="s">
        <v>4</v>
      </c>
      <c r="AB2" s="13" t="s">
        <v>15</v>
      </c>
      <c r="AC2" s="4" t="s">
        <v>16</v>
      </c>
      <c r="AD2" s="2"/>
    </row>
    <row r="3" spans="1:30" s="1" customFormat="1" x14ac:dyDescent="0.2">
      <c r="A3" s="12" t="s">
        <v>5</v>
      </c>
      <c r="B3" s="11">
        <f>'G7 Cross Input'!Q2</f>
        <v>3.2849999999999997E-2</v>
      </c>
      <c r="C3" s="11">
        <f>'G7 Cross Input'!R2</f>
        <v>-1.83E-2</v>
      </c>
      <c r="D3" s="11">
        <f>'G7 Cross Input'!S2</f>
        <v>-3.6400000000000002E-2</v>
      </c>
      <c r="E3" s="11">
        <f>'G7 Cross Input'!T2</f>
        <v>-9.300000000000001E-3</v>
      </c>
      <c r="F3" s="11">
        <f>'G7 Cross Input'!U2</f>
        <v>-1.66E-2</v>
      </c>
      <c r="H3" s="10" t="s">
        <v>5</v>
      </c>
      <c r="I3" s="11">
        <f>'G7 Cross Input'!X2</f>
        <v>7.8949999999999992E-2</v>
      </c>
      <c r="J3" s="11">
        <f>'G7 Cross Input'!Y2</f>
        <v>1.1699999999999999E-2</v>
      </c>
      <c r="K3" s="11">
        <f>'G7 Cross Input'!Z2</f>
        <v>2.3599999999999999E-2</v>
      </c>
      <c r="L3" s="11">
        <f>'G7 Cross Input'!AA2</f>
        <v>1.17E-2</v>
      </c>
      <c r="M3" s="11">
        <f>'G7 Cross Input'!AB2</f>
        <v>2.5400000000000002E-2</v>
      </c>
      <c r="O3" s="3" t="s">
        <v>968</v>
      </c>
      <c r="P3" s="14" t="str">
        <f>_xll.PLContribFull(B3*100,"BID",O3,"Slot46","TICKER",3,,"Valid")</f>
        <v>3.285 (12:14:42.781168)</v>
      </c>
      <c r="Q3" s="5" t="str">
        <f>_xll.PLContribFull(I3*100,"ASK",O3,"Slot46","TICKER",3,,"Valid")</f>
        <v>7.895 (12:14:42.788167)</v>
      </c>
      <c r="R3" s="15" t="s">
        <v>979</v>
      </c>
      <c r="S3" s="14" t="str">
        <f>_xll.PLContribFull(C3*100,"BID",R3,"Slot46","TICKER",3,,"Valid")</f>
        <v>-1.830 (12:14:42.785170)</v>
      </c>
      <c r="T3" s="14" t="str">
        <f>_xll.PLContribFull(J3*100,"ASK",R3,"Slot46","TICKER",3,,"Valid")</f>
        <v>1.170 (12:14:42.784167)</v>
      </c>
      <c r="U3" s="3" t="s">
        <v>990</v>
      </c>
      <c r="V3" s="14" t="str">
        <f>_xll.PLContribFull(D3*100,"BID",U3,"Slot46","TICKER",3,,"Valid")</f>
        <v>-3.640 (12:14:42.791166)</v>
      </c>
      <c r="W3" s="5" t="str">
        <f>_xll.PLContribFull(K3*100,"ASK",U3,"Slot46","TICKER",3,,"Valid")</f>
        <v>2.360 (12:14:42.747168)</v>
      </c>
      <c r="X3" s="15" t="s">
        <v>1001</v>
      </c>
      <c r="Y3" s="14" t="str">
        <f>_xll.PLContribFull(E3*100,"BID",X3,"Slot46","TICKER",3,,"Valid")</f>
        <v>-0.930 (12:14:42.784167)</v>
      </c>
      <c r="Z3" s="14" t="str">
        <f>_xll.PLContribFull(L3*100,"ASK",X3,"Slot46","TICKER",3,,"Valid")</f>
        <v>1.170 (12:14:42.792167)</v>
      </c>
      <c r="AA3" s="3" t="s">
        <v>1012</v>
      </c>
      <c r="AB3" s="14" t="str">
        <f>_xll.PLContribFull(F3*100,"BID",AA3,"Slot46","TICKER",3,,"Valid")</f>
        <v>-1.660 (12:14:42.749167)</v>
      </c>
      <c r="AC3" s="5" t="str">
        <f>_xll.PLContribFull(M3*100,"ASK",AA3,"Slot46","TICKER",3,,"Valid")</f>
        <v>2.540 (12:14:42.788167)</v>
      </c>
      <c r="AD3" s="16"/>
    </row>
    <row r="4" spans="1:30" s="1" customFormat="1" x14ac:dyDescent="0.2">
      <c r="A4" s="12" t="s">
        <v>6</v>
      </c>
      <c r="B4" s="11">
        <f>'G7 Cross Input'!Q3</f>
        <v>3.9649999999999998E-2</v>
      </c>
      <c r="C4" s="11">
        <f>'G7 Cross Input'!R3</f>
        <v>-8.6999999999999994E-3</v>
      </c>
      <c r="D4" s="11">
        <f>'G7 Cross Input'!S3</f>
        <v>-1.7299999999999999E-2</v>
      </c>
      <c r="E4" s="11">
        <f>'G7 Cross Input'!T3</f>
        <v>-3.0000000000000001E-3</v>
      </c>
      <c r="F4" s="11">
        <f>'G7 Cross Input'!U3</f>
        <v>-4.3E-3</v>
      </c>
      <c r="H4" s="10" t="s">
        <v>6</v>
      </c>
      <c r="I4" s="11">
        <f>'G7 Cross Input'!X3</f>
        <v>5.2549999999999993E-2</v>
      </c>
      <c r="J4" s="11">
        <f>'G7 Cross Input'!Y3</f>
        <v>3.3E-3</v>
      </c>
      <c r="K4" s="11">
        <f>'G7 Cross Input'!Z3</f>
        <v>6.7000000000000002E-3</v>
      </c>
      <c r="L4" s="11">
        <f>'G7 Cross Input'!AA3</f>
        <v>5.0000000000000001E-3</v>
      </c>
      <c r="M4" s="11">
        <f>'G7 Cross Input'!AB3</f>
        <v>1.17E-2</v>
      </c>
      <c r="O4" s="3" t="s">
        <v>969</v>
      </c>
      <c r="P4" s="14" t="str">
        <f>_xll.PLContribFull(B4*100,"BID",O4,"Slot46","TICKER",3,,"Valid")</f>
        <v>3.965 (12:14:42.782167)</v>
      </c>
      <c r="Q4" s="5" t="str">
        <f>_xll.PLContribFull(I4*100,"ASK",O4,"Slot46","TICKER",3,,"Valid")</f>
        <v>5.255 (12:14:42.788167)</v>
      </c>
      <c r="R4" s="15" t="s">
        <v>980</v>
      </c>
      <c r="S4" s="14" t="str">
        <f>_xll.PLContribFull(C4*100,"BID",R4,"Slot46","TICKER",3,,"Valid")</f>
        <v>-0.870 (12:14:42.798166)</v>
      </c>
      <c r="T4" s="14" t="str">
        <f>_xll.PLContribFull(J4*100,"ASK",R4,"Slot46","TICKER",3,,"Valid")</f>
        <v>0.330 (12:14:42.796169)</v>
      </c>
      <c r="U4" s="3" t="s">
        <v>991</v>
      </c>
      <c r="V4" s="14" t="str">
        <f>_xll.PLContribFull(D4*100,"BID",U4,"Slot46","TICKER",3,,"Valid")</f>
        <v>-1.730 (12:14:42.790167)</v>
      </c>
      <c r="W4" s="5" t="str">
        <f>_xll.PLContribFull(K4*100,"ASK",U4,"Slot46","TICKER",3,,"Valid")</f>
        <v>0.670 (12:14:42.784167)</v>
      </c>
      <c r="X4" s="15" t="s">
        <v>1002</v>
      </c>
      <c r="Y4" s="14" t="str">
        <f>_xll.PLContribFull(E4*100,"BID",X4,"Slot46","TICKER",3,,"Valid")</f>
        <v>-0.300 (12:14:42.756167)</v>
      </c>
      <c r="Z4" s="14" t="str">
        <f>_xll.PLContribFull(L4*100,"ASK",X4,"Slot46","TICKER",3,,"Valid")</f>
        <v>0.500 (12:14:42.785170)</v>
      </c>
      <c r="AA4" s="3" t="s">
        <v>1013</v>
      </c>
      <c r="AB4" s="14" t="str">
        <f>_xll.PLContribFull(F4*100,"BID",AA4,"Slot46","TICKER",3,,"Valid")</f>
        <v>-0.430 (12:14:42.753167)</v>
      </c>
      <c r="AC4" s="5" t="str">
        <f>_xll.PLContribFull(M4*100,"ASK",AA4,"Slot46","TICKER",3,,"Valid")</f>
        <v>1.170 (12:14:42.790167)</v>
      </c>
      <c r="AD4" s="16"/>
    </row>
    <row r="5" spans="1:30" s="1" customFormat="1" x14ac:dyDescent="0.2">
      <c r="A5" s="12" t="s">
        <v>7</v>
      </c>
      <c r="B5" s="11">
        <f>'G7 Cross Input'!Q4</f>
        <v>4.19E-2</v>
      </c>
      <c r="C5" s="11">
        <f>'G7 Cross Input'!R4</f>
        <v>-6.8000000000000005E-3</v>
      </c>
      <c r="D5" s="11">
        <f>'G7 Cross Input'!S4</f>
        <v>-1.3500000000000002E-2</v>
      </c>
      <c r="E5" s="11">
        <f>'G7 Cross Input'!T4</f>
        <v>-2E-3</v>
      </c>
      <c r="F5" s="11">
        <f>'G7 Cross Input'!U4</f>
        <v>-2.3E-3</v>
      </c>
      <c r="H5" s="10" t="s">
        <v>7</v>
      </c>
      <c r="I5" s="11">
        <f>'G7 Cross Input'!X4</f>
        <v>4.9700000000000001E-2</v>
      </c>
      <c r="J5" s="11">
        <f>'G7 Cross Input'!Y4</f>
        <v>1.1999999999999997E-3</v>
      </c>
      <c r="K5" s="11">
        <f>'G7 Cross Input'!Z4</f>
        <v>2.4999999999999996E-3</v>
      </c>
      <c r="L5" s="11">
        <f>'G7 Cross Input'!AA4</f>
        <v>4.0000000000000001E-3</v>
      </c>
      <c r="M5" s="11">
        <f>'G7 Cross Input'!AB4</f>
        <v>9.7000000000000003E-3</v>
      </c>
      <c r="O5" s="3" t="s">
        <v>970</v>
      </c>
      <c r="P5" s="14" t="str">
        <f>_xll.PLContribFull(B5*100,"BID",O5,"Slot46","TICKER",3,,"Valid")</f>
        <v>4.190 (12:14:42.795166)</v>
      </c>
      <c r="Q5" s="5" t="str">
        <f>_xll.PLContribFull(I5*100,"ASK",O5,"Slot46","TICKER",3,,"Valid")</f>
        <v>4.970 (12:14:42.782167)</v>
      </c>
      <c r="R5" s="15" t="s">
        <v>981</v>
      </c>
      <c r="S5" s="14" t="str">
        <f>_xll.PLContribFull(C5*100,"BID",R5,"Slot46","TICKER",3,,"Valid")</f>
        <v>-0.680 (12:14:42.787167)</v>
      </c>
      <c r="T5" s="14" t="str">
        <f>_xll.PLContribFull(J5*100,"ASK",R5,"Slot46","TICKER",3,,"Valid")</f>
        <v>0.120 (12:14:42.797167)</v>
      </c>
      <c r="U5" s="3" t="s">
        <v>992</v>
      </c>
      <c r="V5" s="14" t="str">
        <f>_xll.PLContribFull(D5*100,"BID",U5,"Slot46","TICKER",3,,"Valid")</f>
        <v>-1.350 (12:14:42.791166)</v>
      </c>
      <c r="W5" s="5" t="str">
        <f>_xll.PLContribFull(K5*100,"ASK",U5,"Slot46","TICKER",3,,"Valid")</f>
        <v>0.250 (12:14:42.784167)</v>
      </c>
      <c r="X5" s="15" t="s">
        <v>1003</v>
      </c>
      <c r="Y5" s="14" t="str">
        <f>_xll.PLContribFull(E5*100,"BID",X5,"Slot46","TICKER",3,,"Valid")</f>
        <v>-0.200 (12:14:42.793169)</v>
      </c>
      <c r="Z5" s="14" t="str">
        <f>_xll.PLContribFull(L5*100,"ASK",X5,"Slot46","TICKER",3,,"Valid")</f>
        <v>0.400 (12:14:42.753167)</v>
      </c>
      <c r="AA5" s="3" t="s">
        <v>1014</v>
      </c>
      <c r="AB5" s="14" t="str">
        <f>_xll.PLContribFull(F5*100,"BID",AA5,"Slot46","TICKER",3,,"Valid")</f>
        <v>-0.230 (12:14:42.781168)</v>
      </c>
      <c r="AC5" s="5" t="str">
        <f>_xll.PLContribFull(M5*100,"ASK",AA5,"Slot46","TICKER",3,,"Valid")</f>
        <v>0.970 (12:14:42.791166)</v>
      </c>
      <c r="AD5" s="16"/>
    </row>
    <row r="6" spans="1:30" s="1" customFormat="1" x14ac:dyDescent="0.2">
      <c r="A6" s="12" t="s">
        <v>8</v>
      </c>
      <c r="B6" s="11">
        <f>'G7 Cross Input'!Q5</f>
        <v>4.7900000000000005E-2</v>
      </c>
      <c r="C6" s="11">
        <f>'G7 Cross Input'!R5</f>
        <v>-5.9000000000000007E-3</v>
      </c>
      <c r="D6" s="11">
        <f>'G7 Cross Input'!S5</f>
        <v>-1.17E-2</v>
      </c>
      <c r="E6" s="11">
        <f>'G7 Cross Input'!T5</f>
        <v>-8.0000000000000015E-4</v>
      </c>
      <c r="F6" s="11">
        <f>'G7 Cross Input'!U5</f>
        <v>2.9999999999999992E-4</v>
      </c>
      <c r="H6" s="10" t="s">
        <v>8</v>
      </c>
      <c r="I6" s="11">
        <f>'G7 Cross Input'!X5</f>
        <v>5.2700000000000004E-2</v>
      </c>
      <c r="J6" s="11">
        <f>'G7 Cross Input'!Y5</f>
        <v>-9.0000000000000019E-4</v>
      </c>
      <c r="K6" s="11">
        <f>'G7 Cross Input'!Z5</f>
        <v>-1.7000000000000001E-3</v>
      </c>
      <c r="L6" s="11">
        <f>'G7 Cross Input'!AA5</f>
        <v>3.1999999999999997E-3</v>
      </c>
      <c r="M6" s="11">
        <f>'G7 Cross Input'!AB5</f>
        <v>8.3000000000000001E-3</v>
      </c>
      <c r="O6" s="3" t="s">
        <v>971</v>
      </c>
      <c r="P6" s="14" t="str">
        <f>_xll.PLContribFull(B6*100,"BID",O6,"Slot46","TICKER",3,,"Valid")</f>
        <v>4.790 (12:14:42.798166)</v>
      </c>
      <c r="Q6" s="5" t="str">
        <f>_xll.PLContribFull(I6*100,"ASK",O6,"Slot46","TICKER",3,,"Valid")</f>
        <v>5.270 (12:14:42.790167)</v>
      </c>
      <c r="R6" s="15" t="s">
        <v>989</v>
      </c>
      <c r="S6" s="14" t="str">
        <f>_xll.PLContribFull(C6*100,"BID",R6,"Slot46","TICKER",3,,"Valid")</f>
        <v>-0.590 (12:14:42.786167)</v>
      </c>
      <c r="T6" s="14" t="str">
        <f>_xll.PLContribFull(J6*100,"ASK",R6,"Slot46","TICKER",3,,"Valid")</f>
        <v>-0.090 (12:14:42.798166)</v>
      </c>
      <c r="U6" s="3" t="s">
        <v>993</v>
      </c>
      <c r="V6" s="14" t="str">
        <f>_xll.PLContribFull(D6*100,"BID",U6,"Slot46","TICKER",3,,"Valid")</f>
        <v>-1.170 (12:14:42.753167)</v>
      </c>
      <c r="W6" s="5" t="str">
        <f>_xll.PLContribFull(K6*100,"ASK",U6,"Slot46","TICKER",3,,"Valid")</f>
        <v>-0.170 (12:14:42.796169)</v>
      </c>
      <c r="X6" s="15" t="s">
        <v>1004</v>
      </c>
      <c r="Y6" s="14" t="str">
        <f>_xll.PLContribFull(E6*100,"BID",X6,"Slot46","TICKER",3,,"Valid")</f>
        <v>-0.080 (12:14:42.750168)</v>
      </c>
      <c r="Z6" s="14" t="str">
        <f>_xll.PLContribFull(L6*100,"ASK",X6,"Slot46","TICKER",3,,"Valid")</f>
        <v>0.320 (12:14:42.795166)</v>
      </c>
      <c r="AA6" s="3" t="s">
        <v>1015</v>
      </c>
      <c r="AB6" s="14" t="str">
        <f>_xll.PLContribFull(F6*100,"BID",AA6,"Slot46","TICKER",3,,"Valid")</f>
        <v>0.030 (12:14:42.798166)</v>
      </c>
      <c r="AC6" s="5" t="str">
        <f>_xll.PLContribFull(M6*100,"ASK",AA6,"Slot46","TICKER",3,,"Valid")</f>
        <v>0.830 (12:14:42.750168)</v>
      </c>
      <c r="AD6" s="16"/>
    </row>
    <row r="7" spans="1:30" s="1" customFormat="1" x14ac:dyDescent="0.2">
      <c r="A7" s="12" t="s">
        <v>9</v>
      </c>
      <c r="B7" s="11">
        <f>'G7 Cross Input'!Q6</f>
        <v>4.9800000000000004E-2</v>
      </c>
      <c r="C7" s="11">
        <f>'G7 Cross Input'!R6</f>
        <v>-6.4000000000000003E-3</v>
      </c>
      <c r="D7" s="11">
        <f>'G7 Cross Input'!S6</f>
        <v>-1.26E-2</v>
      </c>
      <c r="E7" s="11">
        <f>'G7 Cross Input'!T6</f>
        <v>-7.000000000000001E-4</v>
      </c>
      <c r="F7" s="11">
        <f>'G7 Cross Input'!U6</f>
        <v>1.1000000000000003E-3</v>
      </c>
      <c r="H7" s="10" t="s">
        <v>9</v>
      </c>
      <c r="I7" s="11">
        <f>'G7 Cross Input'!X6</f>
        <v>5.4200000000000005E-2</v>
      </c>
      <c r="J7" s="11">
        <f>'G7 Cross Input'!Y6</f>
        <v>-1.4000000000000002E-3</v>
      </c>
      <c r="K7" s="11">
        <f>'G7 Cross Input'!Z6</f>
        <v>-2.5999999999999999E-3</v>
      </c>
      <c r="L7" s="11">
        <f>'G7 Cross Input'!AA6</f>
        <v>3.3E-3</v>
      </c>
      <c r="M7" s="11">
        <f>'G7 Cross Input'!AB6</f>
        <v>9.1000000000000004E-3</v>
      </c>
      <c r="O7" s="3" t="s">
        <v>972</v>
      </c>
      <c r="P7" s="14" t="str">
        <f>_xll.PLContribFull(B7*100,"BID",O7,"Slot46","TICKER",3,,"Valid")</f>
        <v>4.980 (12:14:42.790167)</v>
      </c>
      <c r="Q7" s="5" t="str">
        <f>_xll.PLContribFull(I7*100,"ASK",O7,"Slot46","TICKER",3,,"Valid")</f>
        <v>5.420 (12:14:42.746167)</v>
      </c>
      <c r="R7" s="15" t="s">
        <v>982</v>
      </c>
      <c r="S7" s="14" t="str">
        <f>_xll.PLContribFull(C7*100,"BID",R7,"Slot46","TICKER",3,,"Valid")</f>
        <v>-0.640 (12:14:42.799167)</v>
      </c>
      <c r="T7" s="14" t="str">
        <f>_xll.PLContribFull(J7*100,"ASK",R7,"Slot46","TICKER",3,,"Valid")</f>
        <v>-0.140 (12:14:42.795166)</v>
      </c>
      <c r="U7" s="3" t="s">
        <v>994</v>
      </c>
      <c r="V7" s="14" t="str">
        <f>_xll.PLContribFull(D7*100,"BID",U7,"Slot46","TICKER",3,,"Valid")</f>
        <v>-1.260 (12:14:42.795166)</v>
      </c>
      <c r="W7" s="5" t="str">
        <f>_xll.PLContribFull(K7*100,"ASK",U7,"Slot46","TICKER",3,,"Valid")</f>
        <v>-0.260 (12:14:42.787167)</v>
      </c>
      <c r="X7" s="15" t="s">
        <v>1005</v>
      </c>
      <c r="Y7" s="14" t="str">
        <f>_xll.PLContribFull(E7*100,"BID",X7,"Slot46","TICKER",3,,"Valid")</f>
        <v>-0.070 (12:14:42.788167)</v>
      </c>
      <c r="Z7" s="14" t="str">
        <f>_xll.PLContribFull(L7*100,"ASK",X7,"Slot46","TICKER",3,,"Valid")</f>
        <v>0.330 (12:14:42.793169)</v>
      </c>
      <c r="AA7" s="3" t="s">
        <v>1016</v>
      </c>
      <c r="AB7" s="14" t="str">
        <f>_xll.PLContribFull(F7*100,"BID",AA7,"Slot46","TICKER",3,,"Valid")</f>
        <v>0.110 (12:14:42.786167)</v>
      </c>
      <c r="AC7" s="5" t="str">
        <f>_xll.PLContribFull(M7*100,"ASK",AA7,"Slot46","TICKER",3,,"Valid")</f>
        <v>0.910 (12:14:42.755167)</v>
      </c>
      <c r="AD7" s="16"/>
    </row>
    <row r="8" spans="1:30" s="1" customFormat="1" x14ac:dyDescent="0.2">
      <c r="A8" s="12" t="s">
        <v>10</v>
      </c>
      <c r="B8" s="11">
        <f>'G7 Cross Input'!Q7</f>
        <v>5.1499999999999997E-2</v>
      </c>
      <c r="C8" s="11">
        <f>'G7 Cross Input'!R7</f>
        <v>-6.8999999999999999E-3</v>
      </c>
      <c r="D8" s="11">
        <f>'G7 Cross Input'!S7</f>
        <v>-1.3600000000000001E-2</v>
      </c>
      <c r="E8" s="11">
        <f>'G7 Cross Input'!T7</f>
        <v>-5.0000000000000001E-4</v>
      </c>
      <c r="F8" s="11">
        <f>'G7 Cross Input'!U7</f>
        <v>1.8999999999999998E-3</v>
      </c>
      <c r="H8" s="10" t="s">
        <v>10</v>
      </c>
      <c r="I8" s="11">
        <f>'G7 Cross Input'!X7</f>
        <v>5.5899999999999998E-2</v>
      </c>
      <c r="J8" s="11">
        <f>'G7 Cross Input'!Y7</f>
        <v>-1.9000000000000002E-3</v>
      </c>
      <c r="K8" s="11">
        <f>'G7 Cross Input'!Z7</f>
        <v>-3.5999999999999999E-3</v>
      </c>
      <c r="L8" s="11">
        <f>'G7 Cross Input'!AA7</f>
        <v>3.5000000000000001E-3</v>
      </c>
      <c r="M8" s="11">
        <f>'G7 Cross Input'!AB7</f>
        <v>9.8999999999999991E-3</v>
      </c>
      <c r="O8" s="3" t="s">
        <v>973</v>
      </c>
      <c r="P8" s="14" t="str">
        <f>_xll.PLContribFull(B8*100,"BID",O8,"Slot46","TICKER",3,,"Valid")</f>
        <v>5.150 (12:14:42.795166)</v>
      </c>
      <c r="Q8" s="5" t="str">
        <f>_xll.PLContribFull(I8*100,"ASK",O8,"Slot46","TICKER",3,,"Valid")</f>
        <v>5.590 (12:14:42.783166)</v>
      </c>
      <c r="R8" s="15" t="s">
        <v>983</v>
      </c>
      <c r="S8" s="14" t="str">
        <f>_xll.PLContribFull(C8*100,"BID",R8,"Slot46","TICKER",3,,"Valid")</f>
        <v>-0.690 (12:14:42.796169)</v>
      </c>
      <c r="T8" s="14" t="str">
        <f>_xll.PLContribFull(J8*100,"ASK",R8,"Slot46","TICKER",3,,"Valid")</f>
        <v>-0.190 (12:14:42.786167)</v>
      </c>
      <c r="U8" s="3" t="s">
        <v>995</v>
      </c>
      <c r="V8" s="14" t="str">
        <f>_xll.PLContribFull(D8*100,"BID",U8,"Slot46","TICKER",3,,"Valid")</f>
        <v>-1.360 (12:14:42.786167)</v>
      </c>
      <c r="W8" s="5" t="str">
        <f>_xll.PLContribFull(K8*100,"ASK",U8,"Slot46","TICKER",3,,"Valid")</f>
        <v>-0.360 (12:14:42.799167)</v>
      </c>
      <c r="X8" s="15" t="s">
        <v>1006</v>
      </c>
      <c r="Y8" s="14" t="str">
        <f>_xll.PLContribFull(E8*100,"BID",X8,"Slot46","TICKER",3,,"Valid")</f>
        <v>-0.050 (12:14:42.785170)</v>
      </c>
      <c r="Z8" s="14" t="str">
        <f>_xll.PLContribFull(L8*100,"ASK",X8,"Slot46","TICKER",3,,"Valid")</f>
        <v>0.350 (12:14:42.782167)</v>
      </c>
      <c r="AA8" s="3" t="s">
        <v>1017</v>
      </c>
      <c r="AB8" s="14" t="str">
        <f>_xll.PLContribFull(F8*100,"BID",AA8,"Slot46","TICKER",3,,"Valid")</f>
        <v>0.190 (12:14:42.783166)</v>
      </c>
      <c r="AC8" s="5" t="str">
        <f>_xll.PLContribFull(M8*100,"ASK",AA8,"Slot46","TICKER",3,,"Valid")</f>
        <v>0.990 (12:14:42.747168)</v>
      </c>
      <c r="AD8" s="16"/>
    </row>
    <row r="9" spans="1:30" s="1" customFormat="1" x14ac:dyDescent="0.2">
      <c r="A9" s="12" t="s">
        <v>11</v>
      </c>
      <c r="B9" s="11">
        <f>'G7 Cross Input'!Q8</f>
        <v>5.3199999999999997E-2</v>
      </c>
      <c r="C9" s="11">
        <f>'G7 Cross Input'!R8</f>
        <v>-7.6000000000000009E-3</v>
      </c>
      <c r="D9" s="11">
        <f>'G7 Cross Input'!S8</f>
        <v>-1.5099999999999999E-2</v>
      </c>
      <c r="E9" s="11">
        <f>'G7 Cross Input'!T8</f>
        <v>-2.9999999999999992E-4</v>
      </c>
      <c r="F9" s="11">
        <f>'G7 Cross Input'!U8</f>
        <v>2.8999999999999998E-3</v>
      </c>
      <c r="H9" s="10" t="s">
        <v>11</v>
      </c>
      <c r="I9" s="11">
        <f>'G7 Cross Input'!X8</f>
        <v>5.8799999999999991E-2</v>
      </c>
      <c r="J9" s="11">
        <f>'G7 Cross Input'!Y8</f>
        <v>-2.6000000000000003E-3</v>
      </c>
      <c r="K9" s="11">
        <f>'G7 Cross Input'!Z8</f>
        <v>-5.0999999999999995E-3</v>
      </c>
      <c r="L9" s="11">
        <f>'G7 Cross Input'!AA8</f>
        <v>3.7000000000000002E-3</v>
      </c>
      <c r="M9" s="11">
        <f>'G7 Cross Input'!AB8</f>
        <v>1.09E-2</v>
      </c>
      <c r="O9" s="3" t="s">
        <v>974</v>
      </c>
      <c r="P9" s="14" t="str">
        <f>_xll.PLContribFull(B9*100,"BID",O9,"Slot46","TICKER",3,,"Valid")</f>
        <v>5.320 (12:14:42.796169)</v>
      </c>
      <c r="Q9" s="5" t="str">
        <f>_xll.PLContribFull(I9*100,"ASK",O9,"Slot46","TICKER",3,,"Valid")</f>
        <v>5.880 (12:14:42.786167)</v>
      </c>
      <c r="R9" s="15" t="s">
        <v>984</v>
      </c>
      <c r="S9" s="14" t="str">
        <f>_xll.PLContribFull(C9*100,"BID",R9,"Slot46","TICKER",3,,"Valid")</f>
        <v>-0.760 (12:14:42.794168)</v>
      </c>
      <c r="T9" s="14" t="str">
        <f>_xll.PLContribFull(J9*100,"ASK",R9,"Slot46","TICKER",3,,"Valid")</f>
        <v>-0.260 (12:14:42.748167)</v>
      </c>
      <c r="U9" s="3" t="s">
        <v>996</v>
      </c>
      <c r="V9" s="14" t="str">
        <f>_xll.PLContribFull(D9*100,"BID",U9,"Slot46","TICKER",3,,"Valid")</f>
        <v>-1.510 (12:14:42.780166)</v>
      </c>
      <c r="W9" s="5" t="str">
        <f>_xll.PLContribFull(K9*100,"ASK",U9,"Slot46","TICKER",3,,"Valid")</f>
        <v>-0.510 (12:14:42.789167)</v>
      </c>
      <c r="X9" s="15" t="s">
        <v>1007</v>
      </c>
      <c r="Y9" s="14" t="str">
        <f>_xll.PLContribFull(E9*100,"BID",X9,"Slot46","TICKER",3,,"Valid")</f>
        <v>-0.030 (12:14:42.788167)</v>
      </c>
      <c r="Z9" s="14" t="str">
        <f>_xll.PLContribFull(L9*100,"ASK",X9,"Slot46","TICKER",3,,"Valid")</f>
        <v>0.370 (12:14:42.749167)</v>
      </c>
      <c r="AA9" s="3" t="s">
        <v>1018</v>
      </c>
      <c r="AB9" s="14" t="str">
        <f>_xll.PLContribFull(F9*100,"BID",AA9,"Slot46","TICKER",3,,"Valid")</f>
        <v>0.290 (12:14:42.752166)</v>
      </c>
      <c r="AC9" s="5" t="str">
        <f>_xll.PLContribFull(M9*100,"ASK",AA9,"Slot46","TICKER",3,,"Valid")</f>
        <v>1.090 (12:14:42.798166)</v>
      </c>
      <c r="AD9" s="16"/>
    </row>
    <row r="10" spans="1:30" s="1" customFormat="1" x14ac:dyDescent="0.2">
      <c r="A10" s="12" t="s">
        <v>12</v>
      </c>
      <c r="B10" s="11">
        <f>'G7 Cross Input'!Q9</f>
        <v>5.5299999999999995E-2</v>
      </c>
      <c r="C10" s="11">
        <f>'G7 Cross Input'!R9</f>
        <v>-8.3999999999999995E-3</v>
      </c>
      <c r="D10" s="11">
        <f>'G7 Cross Input'!S9</f>
        <v>-1.67E-2</v>
      </c>
      <c r="E10" s="11">
        <f>'G7 Cross Input'!T9</f>
        <v>-1.0000000000000005E-4</v>
      </c>
      <c r="F10" s="11">
        <f>'G7 Cross Input'!U9</f>
        <v>3.9000000000000007E-3</v>
      </c>
      <c r="H10" s="10" t="s">
        <v>12</v>
      </c>
      <c r="I10" s="11">
        <f>'G7 Cross Input'!X9</f>
        <v>6.069999999999999E-2</v>
      </c>
      <c r="J10" s="11">
        <f>'G7 Cross Input'!Y9</f>
        <v>-3.3999999999999998E-3</v>
      </c>
      <c r="K10" s="11">
        <f>'G7 Cross Input'!Z9</f>
        <v>-6.6999999999999985E-3</v>
      </c>
      <c r="L10" s="11">
        <f>'G7 Cross Input'!AA9</f>
        <v>3.8999999999999998E-3</v>
      </c>
      <c r="M10" s="11">
        <f>'G7 Cross Input'!AB9</f>
        <v>1.1900000000000001E-2</v>
      </c>
      <c r="O10" s="3" t="s">
        <v>975</v>
      </c>
      <c r="P10" s="14" t="str">
        <f>_xll.PLContribFull(B10*100,"BID",O10,"Slot46","TICKER",3,,"Valid")</f>
        <v>5.530 (12:14:42.797167)</v>
      </c>
      <c r="Q10" s="5" t="str">
        <f>_xll.PLContribFull(I10*100,"ASK",O10,"Slot46","TICKER",3,,"Valid")</f>
        <v>6.070 (12:14:42.781168)</v>
      </c>
      <c r="R10" s="15" t="s">
        <v>985</v>
      </c>
      <c r="S10" s="14" t="str">
        <f>_xll.PLContribFull(C10*100,"BID",R10,"Slot46","TICKER",3,,"Valid")</f>
        <v>-0.840 (12:14:42.791166)</v>
      </c>
      <c r="T10" s="14" t="str">
        <f>_xll.PLContribFull(J10*100,"ASK",R10,"Slot46","TICKER",3,,"Valid")</f>
        <v>-0.340 (12:14:42.742167)</v>
      </c>
      <c r="U10" s="3" t="s">
        <v>997</v>
      </c>
      <c r="V10" s="14" t="str">
        <f>_xll.PLContribFull(D10*100,"BID",U10,"Slot46","TICKER",3,,"Valid")</f>
        <v>-1.670 (12:14:42.788167)</v>
      </c>
      <c r="W10" s="5" t="str">
        <f>_xll.PLContribFull(K10*100,"ASK",U10,"Slot46","TICKER",3,,"Valid")</f>
        <v>-0.670 (12:14:42.747168)</v>
      </c>
      <c r="X10" s="15" t="s">
        <v>1008</v>
      </c>
      <c r="Y10" s="14" t="str">
        <f>_xll.PLContribFull(E10*100,"BID",X10,"Slot46","TICKER",3,,"Valid")</f>
        <v>-0.010 (12:14:42.799167)</v>
      </c>
      <c r="Z10" s="14" t="str">
        <f>_xll.PLContribFull(L10*100,"ASK",X10,"Slot46","TICKER",3,,"Valid")</f>
        <v>0.390 (12:14:42.740168)</v>
      </c>
      <c r="AA10" s="3" t="s">
        <v>1019</v>
      </c>
      <c r="AB10" s="14" t="str">
        <f>_xll.PLContribFull(F10*100,"BID",AA10,"Slot46","TICKER",3,,"Valid")</f>
        <v>0.390 (12:14:42.798166)</v>
      </c>
      <c r="AC10" s="5" t="str">
        <f>_xll.PLContribFull(M10*100,"ASK",AA10,"Slot46","TICKER",3,,"Valid")</f>
        <v>1.190 (12:14:42.784167)</v>
      </c>
      <c r="AD10" s="16"/>
    </row>
    <row r="11" spans="1:30" s="1" customFormat="1" x14ac:dyDescent="0.2">
      <c r="A11" s="12" t="s">
        <v>13</v>
      </c>
      <c r="B11" s="11">
        <f>'G7 Cross Input'!Q10</f>
        <v>5.6899999999999999E-2</v>
      </c>
      <c r="C11" s="11">
        <f>'G7 Cross Input'!R10</f>
        <v>-9.1999999999999998E-3</v>
      </c>
      <c r="D11" s="11">
        <f>'G7 Cross Input'!S10</f>
        <v>-1.84E-2</v>
      </c>
      <c r="E11" s="11">
        <f>'G7 Cross Input'!T10</f>
        <v>9.9999999999999829E-5</v>
      </c>
      <c r="F11" s="11">
        <f>'G7 Cross Input'!U10</f>
        <v>4.8999999999999998E-3</v>
      </c>
      <c r="H11" s="10" t="s">
        <v>13</v>
      </c>
      <c r="I11" s="11">
        <f>'G7 Cross Input'!X10</f>
        <v>6.2299999999999994E-2</v>
      </c>
      <c r="J11" s="11">
        <f>'G7 Cross Input'!Y10</f>
        <v>-4.2000000000000006E-3</v>
      </c>
      <c r="K11" s="11">
        <f>'G7 Cross Input'!Z10</f>
        <v>-8.4000000000000012E-3</v>
      </c>
      <c r="L11" s="11">
        <f>'G7 Cross Input'!AA10</f>
        <v>4.0999999999999995E-3</v>
      </c>
      <c r="M11" s="11">
        <f>'G7 Cross Input'!AB10</f>
        <v>1.29E-2</v>
      </c>
      <c r="O11" s="3" t="s">
        <v>976</v>
      </c>
      <c r="P11" s="14" t="str">
        <f>_xll.PLContribFull(B11*100,"BID",O11,"Slot46","TICKER",3,,"Valid")</f>
        <v>5.690 (12:14:42.794168)</v>
      </c>
      <c r="Q11" s="5" t="str">
        <f>_xll.PLContribFull(I11*100,"ASK",O11,"Slot46","TICKER",3,,"Valid")</f>
        <v>6.230 (12:14:42.791166)</v>
      </c>
      <c r="R11" s="15" t="s">
        <v>986</v>
      </c>
      <c r="S11" s="14" t="str">
        <f>_xll.PLContribFull(C11*100,"BID",R11,"Slot46","TICKER",3,,"Valid")</f>
        <v>-0.920 (12:14:42.792167)</v>
      </c>
      <c r="T11" s="14" t="str">
        <f>_xll.PLContribFull(J11*100,"ASK",R11,"Slot46","TICKER",3,,"Valid")</f>
        <v>-0.420 (12:14:42.780166)</v>
      </c>
      <c r="U11" s="3" t="s">
        <v>998</v>
      </c>
      <c r="V11" s="14" t="str">
        <f>_xll.PLContribFull(D11*100,"BID",U11,"Slot46","TICKER",3,,"Valid")</f>
        <v>-1.840 (12:14:42.799167)</v>
      </c>
      <c r="W11" s="5" t="str">
        <f>_xll.PLContribFull(K11*100,"ASK",U11,"Slot46","TICKER",3,,"Valid")</f>
        <v>-0.840 (12:14:42.753167)</v>
      </c>
      <c r="X11" s="15" t="s">
        <v>1009</v>
      </c>
      <c r="Y11" s="14" t="str">
        <f>_xll.PLContribFull(E11*100,"BID",X11,"Slot46","TICKER",3,,"Valid")</f>
        <v>0.010 (12:14:42.785170)</v>
      </c>
      <c r="Z11" s="14" t="str">
        <f>_xll.PLContribFull(L11*100,"ASK",X11,"Slot46","TICKER",3,,"Valid")</f>
        <v>0.410 (12:14:42.752166)</v>
      </c>
      <c r="AA11" s="3" t="s">
        <v>1020</v>
      </c>
      <c r="AB11" s="14" t="str">
        <f>_xll.PLContribFull(F11*100,"BID",AA11,"Slot46","TICKER",3,,"Valid")</f>
        <v>0.490 (12:14:42.782167)</v>
      </c>
      <c r="AC11" s="5" t="str">
        <f>_xll.PLContribFull(M11*100,"ASK",AA11,"Slot46","TICKER",3,,"Valid")</f>
        <v>1.290 (12:14:42.785170)</v>
      </c>
      <c r="AD11" s="16"/>
    </row>
    <row r="12" spans="1:30" s="1" customFormat="1" x14ac:dyDescent="0.2">
      <c r="A12" s="12" t="s">
        <v>14</v>
      </c>
      <c r="B12" s="11">
        <f>'G7 Cross Input'!Q11</f>
        <v>6.1149999999999996E-2</v>
      </c>
      <c r="C12" s="11">
        <f>'G7 Cross Input'!R11</f>
        <v>-1.21E-2</v>
      </c>
      <c r="D12" s="11">
        <f>'G7 Cross Input'!S11</f>
        <v>-2.3400000000000001E-2</v>
      </c>
      <c r="E12" s="11">
        <f>'G7 Cross Input'!T11</f>
        <v>-6.0000000000000027E-4</v>
      </c>
      <c r="F12" s="11">
        <f>'G7 Cross Input'!U11</f>
        <v>3.7999999999999996E-3</v>
      </c>
      <c r="H12" s="10" t="s">
        <v>14</v>
      </c>
      <c r="I12" s="11">
        <f>'G7 Cross Input'!X11</f>
        <v>6.6850000000000007E-2</v>
      </c>
      <c r="J12" s="11">
        <f>'G7 Cross Input'!Y11</f>
        <v>-3.0999999999999995E-3</v>
      </c>
      <c r="K12" s="11">
        <f>'G7 Cross Input'!Z11</f>
        <v>-5.3999999999999986E-3</v>
      </c>
      <c r="L12" s="11">
        <f>'G7 Cross Input'!AA11</f>
        <v>5.4000000000000003E-3</v>
      </c>
      <c r="M12" s="11">
        <f>'G7 Cross Input'!AB11</f>
        <v>1.5800000000000002E-2</v>
      </c>
      <c r="O12" s="3" t="s">
        <v>977</v>
      </c>
      <c r="P12" s="14" t="str">
        <f>_xll.PLContribFull(B12*100,"BID",O12,"Slot46","TICKER",3,,"Valid")</f>
        <v>6.115 (12:14:42.785170)</v>
      </c>
      <c r="Q12" s="5" t="str">
        <f>_xll.PLContribFull(I12*100,"ASK",O12,"Slot46","TICKER",3,,"Valid")</f>
        <v>6.685 (12:14:42.796169)</v>
      </c>
      <c r="R12" s="15" t="s">
        <v>987</v>
      </c>
      <c r="S12" s="14" t="str">
        <f>_xll.PLContribFull(C12*100,"BID",R12,"Slot46","TICKER",3,,"Valid")</f>
        <v>-1.210 (12:14:42.790167)</v>
      </c>
      <c r="T12" s="14" t="str">
        <f>_xll.PLContribFull(J12*100,"ASK",R12,"Slot46","TICKER",3,,"Valid")</f>
        <v>-0.310 (12:14:42.785170)</v>
      </c>
      <c r="U12" s="3" t="s">
        <v>999</v>
      </c>
      <c r="V12" s="14" t="str">
        <f>_xll.PLContribFull(D12*100,"BID",U12,"Slot46","TICKER",3,,"Valid")</f>
        <v>-2.340 (12:14:42.793169)</v>
      </c>
      <c r="W12" s="5" t="str">
        <f>_xll.PLContribFull(K12*100,"ASK",U12,"Slot46","TICKER",3,,"Valid")</f>
        <v>-0.540 (12:14:42.796169)</v>
      </c>
      <c r="X12" s="15" t="s">
        <v>1010</v>
      </c>
      <c r="Y12" s="14" t="str">
        <f>_xll.PLContribFull(E12*100,"BID",X12,"Slot46","TICKER",3,,"Valid")</f>
        <v>-0.060 (12:14:42.798166)</v>
      </c>
      <c r="Z12" s="14" t="str">
        <f>_xll.PLContribFull(L12*100,"ASK",X12,"Slot46","TICKER",3,,"Valid")</f>
        <v>0.540 (12:14:42.786167)</v>
      </c>
      <c r="AA12" s="3" t="s">
        <v>1021</v>
      </c>
      <c r="AB12" s="14" t="str">
        <f>_xll.PLContribFull(F12*100,"BID",AA12,"Slot46","TICKER",3,,"Valid")</f>
        <v>0.380 (12:14:42.753167)</v>
      </c>
      <c r="AC12" s="5" t="str">
        <f>_xll.PLContribFull(M12*100,"ASK",AA12,"Slot46","TICKER",3,,"Valid")</f>
        <v>1.580 (12:14:42.796169)</v>
      </c>
      <c r="AD12" s="16"/>
    </row>
    <row r="13" spans="1:30" s="1" customFormat="1" x14ac:dyDescent="0.2">
      <c r="A13" s="12" t="s">
        <v>876</v>
      </c>
      <c r="B13" s="11">
        <f>'G7 Cross Input'!Q12</f>
        <v>6.0399999999999995E-2</v>
      </c>
      <c r="C13" s="11">
        <f>'G7 Cross Input'!R12</f>
        <v>-1.2200000000000001E-2</v>
      </c>
      <c r="D13" s="11">
        <f>'G7 Cross Input'!S12</f>
        <v>-2.35E-2</v>
      </c>
      <c r="E13" s="11">
        <f>'G7 Cross Input'!T12</f>
        <v>-6.0000000000000027E-4</v>
      </c>
      <c r="F13" s="11">
        <f>'G7 Cross Input'!U12</f>
        <v>3.899999999999999E-3</v>
      </c>
      <c r="H13" s="10" t="s">
        <v>876</v>
      </c>
      <c r="I13" s="11">
        <f>'G7 Cross Input'!X12</f>
        <v>7.0799999999999988E-2</v>
      </c>
      <c r="J13" s="11">
        <f>'G7 Cross Input'!Y12</f>
        <v>-3.1999999999999997E-3</v>
      </c>
      <c r="K13" s="11">
        <f>'G7 Cross Input'!Z12</f>
        <v>-5.4999999999999979E-3</v>
      </c>
      <c r="L13" s="11">
        <f>'G7 Cross Input'!AA12</f>
        <v>5.4000000000000003E-3</v>
      </c>
      <c r="M13" s="11">
        <f>'G7 Cross Input'!AB12</f>
        <v>1.5899999999999997E-2</v>
      </c>
      <c r="O13" s="3" t="s">
        <v>978</v>
      </c>
      <c r="P13" s="14" t="str">
        <f>_xll.PLContribFull(B13*100,"BID",O13,"Slot46","TICKER",3,,"Valid")</f>
        <v>6.040 (12:14:42.793169)</v>
      </c>
      <c r="Q13" s="5" t="str">
        <f>_xll.PLContribFull(I13*100,"ASK",O13,"Slot46","TICKER",3,,"Valid")</f>
        <v>7.080 (12:14:42.782167)</v>
      </c>
      <c r="R13" s="15" t="s">
        <v>988</v>
      </c>
      <c r="S13" s="14" t="str">
        <f>_xll.PLContribFull(C13*100,"BID",R13,"Slot46","TICKER",3,,"Valid")</f>
        <v>-1.220 (12:14:42.781168)</v>
      </c>
      <c r="T13" s="14" t="str">
        <f>_xll.PLContribFull(J13*100,"ASK",R13,"Slot46","TICKER",3,,"Valid")</f>
        <v>-0.320 (12:14:42.784167)</v>
      </c>
      <c r="U13" s="3" t="s">
        <v>1000</v>
      </c>
      <c r="V13" s="14" t="str">
        <f>_xll.PLContribFull(D13*100,"BID",U13,"Slot46","TICKER",3,,"Valid")</f>
        <v>-2.350 (12:14:42.784167)</v>
      </c>
      <c r="W13" s="5" t="str">
        <f>_xll.PLContribFull(K13*100,"ASK",U13,"Slot46","TICKER",3,,"Valid")</f>
        <v>-0.550 (12:14:42.790167)</v>
      </c>
      <c r="X13" s="15" t="s">
        <v>1011</v>
      </c>
      <c r="Y13" s="14" t="str">
        <f>_xll.PLContribFull(E13*100,"BID",X13,"Slot46","TICKER",3,,"Valid")</f>
        <v>-0.060 (12:14:42.750168)</v>
      </c>
      <c r="Z13" s="14" t="str">
        <f>_xll.PLContribFull(L13*100,"ASK",X13,"Slot46","TICKER",3,,"Valid")</f>
        <v>0.540 (12:14:42.792167)</v>
      </c>
      <c r="AA13" s="3" t="s">
        <v>1022</v>
      </c>
      <c r="AB13" s="14" t="str">
        <f>_xll.PLContribFull(F13*100,"BID",AA13,"Slot46","TICKER",3,,"Valid")</f>
        <v>0.390 (12:14:42.785170)</v>
      </c>
      <c r="AC13" s="5" t="str">
        <f>_xll.PLContribFull(M13*100,"ASK",AA13,"Slot46","TICKER",3,,"Valid")</f>
        <v>1.590 (12:14:42.799167)</v>
      </c>
      <c r="AD13"/>
    </row>
    <row r="14" spans="1:30" s="1" customFormat="1" x14ac:dyDescent="0.2">
      <c r="A14" s="10"/>
      <c r="B14" s="10"/>
      <c r="C14" s="10"/>
      <c r="D14" s="10"/>
      <c r="E14" s="10"/>
      <c r="F14" s="10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8"/>
      <c r="AC14" s="18"/>
      <c r="AD14"/>
    </row>
    <row r="15" spans="1:30" s="1" customFormat="1" x14ac:dyDescent="0.2">
      <c r="A15" s="10"/>
      <c r="B15" s="10"/>
      <c r="C15" s="10"/>
      <c r="D15" s="10"/>
      <c r="E15" s="10"/>
      <c r="F15" s="10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8"/>
      <c r="AC15" s="18"/>
      <c r="AD15"/>
    </row>
    <row r="16" spans="1:30" s="1" customFormat="1" x14ac:dyDescent="0.25">
      <c r="A16" s="10" t="s">
        <v>357</v>
      </c>
      <c r="B16" s="10"/>
      <c r="C16" s="10"/>
      <c r="D16" s="10"/>
      <c r="E16" s="10"/>
      <c r="F16" s="10"/>
      <c r="O16" s="3" t="s">
        <v>67</v>
      </c>
      <c r="P16" s="15" t="s">
        <v>68</v>
      </c>
      <c r="Q16" s="6"/>
      <c r="R16" s="15" t="s">
        <v>67</v>
      </c>
      <c r="S16" s="15" t="s">
        <v>68</v>
      </c>
      <c r="T16" s="15"/>
      <c r="U16" s="3" t="s">
        <v>67</v>
      </c>
      <c r="V16" s="15" t="s">
        <v>68</v>
      </c>
      <c r="W16" s="6"/>
      <c r="X16" s="15" t="s">
        <v>67</v>
      </c>
      <c r="Y16" s="15" t="s">
        <v>68</v>
      </c>
      <c r="Z16" s="15"/>
      <c r="AA16" s="3" t="s">
        <v>67</v>
      </c>
      <c r="AB16" s="15" t="s">
        <v>68</v>
      </c>
      <c r="AC16" s="6"/>
      <c r="AD16"/>
    </row>
    <row r="17" spans="1:30" s="1" customFormat="1" ht="14.25" x14ac:dyDescent="0.25">
      <c r="A17" s="12" t="s">
        <v>331</v>
      </c>
      <c r="B17" s="12" t="s">
        <v>0</v>
      </c>
      <c r="C17" s="12" t="s">
        <v>1</v>
      </c>
      <c r="D17" s="12" t="s">
        <v>2</v>
      </c>
      <c r="E17" s="12" t="s">
        <v>3</v>
      </c>
      <c r="F17" s="12" t="s">
        <v>4</v>
      </c>
      <c r="H17" s="10" t="s">
        <v>16</v>
      </c>
      <c r="I17" s="10" t="s">
        <v>0</v>
      </c>
      <c r="J17" s="10" t="s">
        <v>1</v>
      </c>
      <c r="K17" s="10" t="s">
        <v>2</v>
      </c>
      <c r="L17" s="10" t="s">
        <v>3</v>
      </c>
      <c r="M17" s="10" t="s">
        <v>4</v>
      </c>
      <c r="O17" s="3" t="s">
        <v>66</v>
      </c>
      <c r="P17" s="13" t="s">
        <v>15</v>
      </c>
      <c r="Q17" s="4" t="s">
        <v>16</v>
      </c>
      <c r="R17" s="15" t="s">
        <v>1</v>
      </c>
      <c r="S17" s="13" t="s">
        <v>15</v>
      </c>
      <c r="T17" s="13" t="s">
        <v>16</v>
      </c>
      <c r="U17" s="3" t="s">
        <v>2</v>
      </c>
      <c r="V17" s="13" t="s">
        <v>15</v>
      </c>
      <c r="W17" s="4" t="s">
        <v>16</v>
      </c>
      <c r="X17" s="15" t="s">
        <v>3</v>
      </c>
      <c r="Y17" s="13" t="s">
        <v>15</v>
      </c>
      <c r="Z17" s="13" t="s">
        <v>16</v>
      </c>
      <c r="AA17" s="3" t="s">
        <v>4</v>
      </c>
      <c r="AB17" s="13" t="s">
        <v>15</v>
      </c>
      <c r="AC17" s="4" t="s">
        <v>16</v>
      </c>
      <c r="AD17" s="2"/>
    </row>
    <row r="18" spans="1:30" s="1" customFormat="1" x14ac:dyDescent="0.2">
      <c r="A18" s="12" t="s">
        <v>5</v>
      </c>
      <c r="B18" s="11">
        <f>'G7 Cross Input'!Q16</f>
        <v>0.12730000000000002</v>
      </c>
      <c r="C18" s="11">
        <f>'G7 Cross Input'!R16</f>
        <v>-5.04E-2</v>
      </c>
      <c r="D18" s="11">
        <f>'G7 Cross Input'!S16</f>
        <v>-9.4699999999999993E-2</v>
      </c>
      <c r="E18" s="11">
        <f>'G7 Cross Input'!T16</f>
        <v>-6.4000000000000012E-3</v>
      </c>
      <c r="F18" s="11">
        <f>'G7 Cross Input'!U16</f>
        <v>-5.4000000000000003E-3</v>
      </c>
      <c r="H18" s="10" t="s">
        <v>5</v>
      </c>
      <c r="I18" s="11">
        <f>'G7 Cross Input'!X16</f>
        <v>0.1779</v>
      </c>
      <c r="J18" s="11">
        <f>'G7 Cross Input'!Y16</f>
        <v>-2.0400000000000001E-2</v>
      </c>
      <c r="K18" s="11">
        <f>'G7 Cross Input'!Z16</f>
        <v>-3.4699999999999995E-2</v>
      </c>
      <c r="L18" s="11">
        <f>'G7 Cross Input'!AA16</f>
        <v>1.46E-2</v>
      </c>
      <c r="M18" s="11">
        <f>'G7 Cross Input'!AB16</f>
        <v>3.6600000000000001E-2</v>
      </c>
      <c r="O18" s="3" t="s">
        <v>676</v>
      </c>
      <c r="P18" s="14" t="str">
        <f>_xll.PLContribFull(B18*100,"BID",O18,"Slot46","TICKER",3,,"Valid")</f>
        <v>12.730 (12:14:42.787167)</v>
      </c>
      <c r="Q18" s="5" t="str">
        <f>_xll.PLContribFull(I18*100,"ASK",O18,"Slot46","TICKER",3,,"Valid")</f>
        <v>17.790 (12:14:42.782167)</v>
      </c>
      <c r="R18" s="15" t="s">
        <v>686</v>
      </c>
      <c r="S18" s="14" t="str">
        <f>_xll.PLContribFull(C18*100,"BID",R18,"Slot46","TICKER",3,,"Valid")</f>
        <v>-5.040 (12:14:42.781168)</v>
      </c>
      <c r="T18" s="14" t="str">
        <f>_xll.PLContribFull(J18*100,"ASK",R18,"Slot46","TICKER",3,,"Valid")</f>
        <v>-2.040 (12:14:42.796169)</v>
      </c>
      <c r="U18" s="3" t="s">
        <v>696</v>
      </c>
      <c r="V18" s="14" t="str">
        <f>_xll.PLContribFull(D18*100,"BID",U18,"Slot46","TICKER",3,,"Valid")</f>
        <v>-9.470 (12:14:42.795166)</v>
      </c>
      <c r="W18" s="5" t="str">
        <f>_xll.PLContribFull(K18*100,"ASK",U18,"Slot46","TICKER",3,,"Valid")</f>
        <v>-3.470 (12:14:42.750168)</v>
      </c>
      <c r="X18" s="15" t="s">
        <v>706</v>
      </c>
      <c r="Y18" s="14" t="str">
        <f>_xll.PLContribFull(E18*100,"BID",X18,"Slot46","TICKER",3,,"Valid")</f>
        <v>-0.640 (12:14:42.783166)</v>
      </c>
      <c r="Z18" s="14" t="str">
        <f>_xll.PLContribFull(L18*100,"ASK",X18,"Slot46","TICKER",3,,"Valid")</f>
        <v>1.460 (12:14:42.799167)</v>
      </c>
      <c r="AA18" s="3" t="s">
        <v>716</v>
      </c>
      <c r="AB18" s="14" t="str">
        <f>_xll.PLContribFull(F18*100,"BID",AA18,"Slot46","TICKER",3,,"Valid")</f>
        <v>-0.540 (12:14:42.790167)</v>
      </c>
      <c r="AC18" s="5" t="str">
        <f>_xll.PLContribFull(M18*100,"ASK",AA18,"Slot46","TICKER",3,,"Valid")</f>
        <v>3.660 (12:14:42.792167)</v>
      </c>
      <c r="AD18" s="16"/>
    </row>
    <row r="19" spans="1:30" s="1" customFormat="1" x14ac:dyDescent="0.2">
      <c r="A19" s="12" t="s">
        <v>6</v>
      </c>
      <c r="B19" s="11">
        <f>'G7 Cross Input'!Q17</f>
        <v>0.10020000000000001</v>
      </c>
      <c r="C19" s="11">
        <f>'G7 Cross Input'!R17</f>
        <v>-3.2000000000000001E-2</v>
      </c>
      <c r="D19" s="11">
        <f>'G7 Cross Input'!S17</f>
        <v>-5.96E-2</v>
      </c>
      <c r="E19" s="11">
        <f>'G7 Cross Input'!T17</f>
        <v>-7.000000000000001E-4</v>
      </c>
      <c r="F19" s="11">
        <f>'G7 Cross Input'!U17</f>
        <v>3.3999999999999985E-3</v>
      </c>
      <c r="H19" s="10" t="s">
        <v>6</v>
      </c>
      <c r="I19" s="11">
        <f>'G7 Cross Input'!X17</f>
        <v>0.12340000000000001</v>
      </c>
      <c r="J19" s="11">
        <f>'G7 Cross Input'!Y17</f>
        <v>-2.0000000000000004E-2</v>
      </c>
      <c r="K19" s="11">
        <f>'G7 Cross Input'!Z17</f>
        <v>-3.5599999999999993E-2</v>
      </c>
      <c r="L19" s="11">
        <f>'G7 Cross Input'!AA17</f>
        <v>7.3000000000000001E-3</v>
      </c>
      <c r="M19" s="11">
        <f>'G7 Cross Input'!AB17</f>
        <v>1.9400000000000001E-2</v>
      </c>
      <c r="O19" s="3" t="s">
        <v>677</v>
      </c>
      <c r="P19" s="14" t="str">
        <f>_xll.PLContribFull(B19*100,"BID",O19,"Slot46","TICKER",3,,"Valid")</f>
        <v>10.020 (12:14:42.793169)</v>
      </c>
      <c r="Q19" s="5" t="str">
        <f>_xll.PLContribFull(I19*100,"ASK",O19,"Slot46","TICKER",3,,"Valid")</f>
        <v>12.340 (12:14:42.784167)</v>
      </c>
      <c r="R19" s="15" t="s">
        <v>687</v>
      </c>
      <c r="S19" s="14" t="str">
        <f>_xll.PLContribFull(C19*100,"BID",R19,"Slot46","TICKER",3,,"Valid")</f>
        <v>-3.200 (12:14:42.791166)</v>
      </c>
      <c r="T19" s="14" t="str">
        <f>_xll.PLContribFull(J19*100,"ASK",R19,"Slot46","TICKER",3,,"Valid")</f>
        <v>-2.000 (12:14:42.749167)</v>
      </c>
      <c r="U19" s="3" t="s">
        <v>697</v>
      </c>
      <c r="V19" s="14" t="str">
        <f>_xll.PLContribFull(D19*100,"BID",U19,"Slot46","TICKER",3,,"Valid")</f>
        <v>-5.960 (12:14:42.743167)</v>
      </c>
      <c r="W19" s="5" t="str">
        <f>_xll.PLContribFull(K19*100,"ASK",U19,"Slot46","TICKER",3,,"Valid")</f>
        <v>-3.560 (12:14:42.799167)</v>
      </c>
      <c r="X19" s="15" t="s">
        <v>707</v>
      </c>
      <c r="Y19" s="14" t="str">
        <f>_xll.PLContribFull(E19*100,"BID",X19,"Slot46","TICKER",3,,"Valid")</f>
        <v>-0.070 (12:14:42.785170)</v>
      </c>
      <c r="Z19" s="14" t="str">
        <f>_xll.PLContribFull(L19*100,"ASK",X19,"Slot46","TICKER",3,,"Valid")</f>
        <v>0.730 (12:14:42.795166)</v>
      </c>
      <c r="AA19" s="3" t="s">
        <v>717</v>
      </c>
      <c r="AB19" s="14" t="str">
        <f>_xll.PLContribFull(F19*100,"BID",AA19,"Slot46","TICKER",3,,"Valid")</f>
        <v>0.340 (12:14:42.795166)</v>
      </c>
      <c r="AC19" s="5" t="str">
        <f>_xll.PLContribFull(M19*100,"ASK",AA19,"Slot46","TICKER",3,,"Valid")</f>
        <v>1.940 (12:14:42.745167)</v>
      </c>
      <c r="AD19" s="16"/>
    </row>
    <row r="20" spans="1:30" s="1" customFormat="1" x14ac:dyDescent="0.2">
      <c r="A20" s="12" t="s">
        <v>7</v>
      </c>
      <c r="B20" s="11">
        <f>'G7 Cross Input'!Q18</f>
        <v>0.10450000000000001</v>
      </c>
      <c r="C20" s="11">
        <f>'G7 Cross Input'!R18</f>
        <v>-3.0300000000000001E-2</v>
      </c>
      <c r="D20" s="11">
        <f>'G7 Cross Input'!S18</f>
        <v>-5.62E-2</v>
      </c>
      <c r="E20" s="11">
        <f>'G7 Cross Input'!T18</f>
        <v>2.9999999999999992E-4</v>
      </c>
      <c r="F20" s="11">
        <f>'G7 Cross Input'!U18</f>
        <v>5.5999999999999991E-3</v>
      </c>
      <c r="H20" s="10" t="s">
        <v>7</v>
      </c>
      <c r="I20" s="11">
        <f>'G7 Cross Input'!X18</f>
        <v>0.1177</v>
      </c>
      <c r="J20" s="11">
        <f>'G7 Cross Input'!Y18</f>
        <v>-2.23E-2</v>
      </c>
      <c r="K20" s="11">
        <f>'G7 Cross Input'!Z18</f>
        <v>-4.02E-2</v>
      </c>
      <c r="L20" s="11">
        <f>'G7 Cross Input'!AA18</f>
        <v>6.3E-3</v>
      </c>
      <c r="M20" s="11">
        <f>'G7 Cross Input'!AB18</f>
        <v>1.7599999999999998E-2</v>
      </c>
      <c r="O20" s="3" t="s">
        <v>678</v>
      </c>
      <c r="P20" s="14" t="str">
        <f>_xll.PLContribFull(B20*100,"BID",O20,"Slot46","TICKER",3,,"Valid")</f>
        <v>10.450 (12:14:42.799167)</v>
      </c>
      <c r="Q20" s="5" t="str">
        <f>_xll.PLContribFull(I20*100,"ASK",O20,"Slot46","TICKER",3,,"Valid")</f>
        <v>11.770 (12:14:42.783166)</v>
      </c>
      <c r="R20" s="15" t="s">
        <v>688</v>
      </c>
      <c r="S20" s="14" t="str">
        <f>_xll.PLContribFull(C20*100,"BID",R20,"Slot46","TICKER",3,,"Valid")</f>
        <v>-3.030 (12:14:42.794168)</v>
      </c>
      <c r="T20" s="14" t="str">
        <f>_xll.PLContribFull(J20*100,"ASK",R20,"Slot46","TICKER",3,,"Valid")</f>
        <v>-2.230 (12:14:42.740168)</v>
      </c>
      <c r="U20" s="3" t="s">
        <v>698</v>
      </c>
      <c r="V20" s="14" t="str">
        <f>_xll.PLContribFull(D20*100,"BID",U20,"Slot46","TICKER",3,,"Valid")</f>
        <v>-5.620 (12:14:42.796169)</v>
      </c>
      <c r="W20" s="5" t="str">
        <f>_xll.PLContribFull(K20*100,"ASK",U20,"Slot46","TICKER",3,,"Valid")</f>
        <v>-4.020 (12:14:42.743167)</v>
      </c>
      <c r="X20" s="15" t="s">
        <v>708</v>
      </c>
      <c r="Y20" s="14" t="str">
        <f>_xll.PLContribFull(E20*100,"BID",X20,"Slot46","TICKER",3,,"Valid")</f>
        <v>0.030 (12:14:42.787167)</v>
      </c>
      <c r="Z20" s="14" t="str">
        <f>_xll.PLContribFull(L20*100,"ASK",X20,"Slot46","TICKER",3,,"Valid")</f>
        <v>0.630 (12:14:42.783166)</v>
      </c>
      <c r="AA20" s="3" t="s">
        <v>718</v>
      </c>
      <c r="AB20" s="14" t="str">
        <f>_xll.PLContribFull(F20*100,"BID",AA20,"Slot46","TICKER",3,,"Valid")</f>
        <v>0.560 (12:14:42.785170)</v>
      </c>
      <c r="AC20" s="5" t="str">
        <f>_xll.PLContribFull(M20*100,"ASK",AA20,"Slot46","TICKER",3,,"Valid")</f>
        <v>1.760 (12:14:42.785170)</v>
      </c>
      <c r="AD20" s="16"/>
    </row>
    <row r="21" spans="1:30" s="1" customFormat="1" x14ac:dyDescent="0.2">
      <c r="A21" s="12" t="s">
        <v>8</v>
      </c>
      <c r="B21" s="11">
        <f>'G7 Cross Input'!Q19</f>
        <v>0.10039999999999999</v>
      </c>
      <c r="C21" s="11">
        <f>'G7 Cross Input'!R19</f>
        <v>-2.7999999999999997E-2</v>
      </c>
      <c r="D21" s="11">
        <f>'G7 Cross Input'!S19</f>
        <v>-5.1999999999999998E-2</v>
      </c>
      <c r="E21" s="11">
        <f>'G7 Cross Input'!T19</f>
        <v>1.2000000000000001E-3</v>
      </c>
      <c r="F21" s="11">
        <f>'G7 Cross Input'!U19</f>
        <v>7.6999999999999985E-3</v>
      </c>
      <c r="H21" s="10" t="s">
        <v>8</v>
      </c>
      <c r="I21" s="11">
        <f>'G7 Cross Input'!X19</f>
        <v>0.1074</v>
      </c>
      <c r="J21" s="11">
        <f>'G7 Cross Input'!Y19</f>
        <v>-2.3E-2</v>
      </c>
      <c r="K21" s="11">
        <f>'G7 Cross Input'!Z19</f>
        <v>-4.2000000000000003E-2</v>
      </c>
      <c r="L21" s="11">
        <f>'G7 Cross Input'!AA19</f>
        <v>5.1999999999999998E-3</v>
      </c>
      <c r="M21" s="11">
        <f>'G7 Cross Input'!AB19</f>
        <v>1.5699999999999999E-2</v>
      </c>
      <c r="O21" s="3" t="s">
        <v>679</v>
      </c>
      <c r="P21" s="14" t="str">
        <f>_xll.PLContribFull(B21*100,"BID",O21,"Slot46","TICKER",3,,"Valid")</f>
        <v>10.040 (12:14:42.792167)</v>
      </c>
      <c r="Q21" s="5" t="str">
        <f>_xll.PLContribFull(I21*100,"ASK",O21,"Slot46","TICKER",3,,"Valid")</f>
        <v>10.740 (12:14:42.798166)</v>
      </c>
      <c r="R21" s="15" t="s">
        <v>689</v>
      </c>
      <c r="S21" s="14" t="str">
        <f>_xll.PLContribFull(C21*100,"BID",R21,"Slot46","TICKER",3,,"Valid")</f>
        <v>-2.800 (12:14:42.793169)</v>
      </c>
      <c r="T21" s="14" t="str">
        <f>_xll.PLContribFull(J21*100,"ASK",R21,"Slot46","TICKER",3,,"Valid")</f>
        <v>-2.300 (12:14:42.795166)</v>
      </c>
      <c r="U21" s="3" t="s">
        <v>699</v>
      </c>
      <c r="V21" s="14" t="str">
        <f>_xll.PLContribFull(D21*100,"BID",U21,"Slot46","TICKER",3,,"Valid")</f>
        <v>-5.200 (12:14:42.783166)</v>
      </c>
      <c r="W21" s="5" t="str">
        <f>_xll.PLContribFull(K21*100,"ASK",U21,"Slot46","TICKER",3,,"Valid")</f>
        <v>-4.200 (12:14:42.786167)</v>
      </c>
      <c r="X21" s="15" t="s">
        <v>709</v>
      </c>
      <c r="Y21" s="14" t="str">
        <f>_xll.PLContribFull(E21*100,"BID",X21,"Slot46","TICKER",3,,"Valid")</f>
        <v>0.120 (12:14:42.793169)</v>
      </c>
      <c r="Z21" s="14" t="str">
        <f>_xll.PLContribFull(L21*100,"ASK",X21,"Slot46","TICKER",3,,"Valid")</f>
        <v>0.520 (12:14:42.792167)</v>
      </c>
      <c r="AA21" s="3" t="s">
        <v>719</v>
      </c>
      <c r="AB21" s="14" t="str">
        <f>_xll.PLContribFull(F21*100,"BID",AA21,"Slot46","TICKER",3,,"Valid")</f>
        <v>0.770 (12:14:42.789167)</v>
      </c>
      <c r="AC21" s="5" t="str">
        <f>_xll.PLContribFull(M21*100,"ASK",AA21,"Slot46","TICKER",3,,"Valid")</f>
        <v>1.570 (12:14:42.780166)</v>
      </c>
      <c r="AD21" s="16"/>
    </row>
    <row r="22" spans="1:30" s="1" customFormat="1" x14ac:dyDescent="0.2">
      <c r="A22" s="12" t="s">
        <v>9</v>
      </c>
      <c r="B22" s="11">
        <f>'G7 Cross Input'!Q20</f>
        <v>9.5749999999999988E-2</v>
      </c>
      <c r="C22" s="11">
        <f>'G7 Cross Input'!R20</f>
        <v>-2.6800000000000001E-2</v>
      </c>
      <c r="D22" s="11">
        <f>'G7 Cross Input'!S20</f>
        <v>-5.0099999999999999E-2</v>
      </c>
      <c r="E22" s="11">
        <f>'G7 Cross Input'!T20</f>
        <v>1.2999999999999999E-3</v>
      </c>
      <c r="F22" s="11">
        <f>'G7 Cross Input'!U20</f>
        <v>8.0999999999999996E-3</v>
      </c>
      <c r="H22" s="10" t="s">
        <v>9</v>
      </c>
      <c r="I22" s="11">
        <f>'G7 Cross Input'!X20</f>
        <v>0.10224999999999999</v>
      </c>
      <c r="J22" s="11">
        <f>'G7 Cross Input'!Y20</f>
        <v>-2.1800000000000003E-2</v>
      </c>
      <c r="K22" s="11">
        <f>'G7 Cross Input'!Z20</f>
        <v>-4.0100000000000004E-2</v>
      </c>
      <c r="L22" s="11">
        <f>'G7 Cross Input'!AA20</f>
        <v>5.3E-3</v>
      </c>
      <c r="M22" s="11">
        <f>'G7 Cross Input'!AB20</f>
        <v>1.61E-2</v>
      </c>
      <c r="O22" s="3" t="s">
        <v>680</v>
      </c>
      <c r="P22" s="14" t="str">
        <f>_xll.PLContribFull(B22*100,"BID",O22,"Slot46","TICKER",3,,"Valid")</f>
        <v>9.575 (12:14:42.793169)</v>
      </c>
      <c r="Q22" s="5" t="str">
        <f>_xll.PLContribFull(I22*100,"ASK",O22,"Slot46","TICKER",3,,"Valid")</f>
        <v>10.225 (12:14:42.781168)</v>
      </c>
      <c r="R22" s="15" t="s">
        <v>690</v>
      </c>
      <c r="S22" s="14" t="str">
        <f>_xll.PLContribFull(C22*100,"BID",R22,"Slot46","TICKER",3,,"Valid")</f>
        <v>-2.680 (12:14:42.754169)</v>
      </c>
      <c r="T22" s="14" t="str">
        <f>_xll.PLContribFull(J22*100,"ASK",R22,"Slot46","TICKER",3,,"Valid")</f>
        <v>-2.180 (12:14:42.780166)</v>
      </c>
      <c r="U22" s="3" t="s">
        <v>700</v>
      </c>
      <c r="V22" s="14" t="str">
        <f>_xll.PLContribFull(D22*100,"BID",U22,"Slot46","TICKER",3,,"Valid")</f>
        <v>-5.010 (12:14:42.750168)</v>
      </c>
      <c r="W22" s="5" t="str">
        <f>_xll.PLContribFull(K22*100,"ASK",U22,"Slot46","TICKER",3,,"Valid")</f>
        <v>-4.010 (12:14:42.783166)</v>
      </c>
      <c r="X22" s="15" t="s">
        <v>710</v>
      </c>
      <c r="Y22" s="14" t="str">
        <f>_xll.PLContribFull(E22*100,"BID",X22,"Slot46","TICKER",3,,"Valid")</f>
        <v>0.130 (12:14:42.789167)</v>
      </c>
      <c r="Z22" s="14" t="str">
        <f>_xll.PLContribFull(L22*100,"ASK",X22,"Slot46","TICKER",3,,"Valid")</f>
        <v>0.530 (12:14:42.791166)</v>
      </c>
      <c r="AA22" s="3" t="s">
        <v>720</v>
      </c>
      <c r="AB22" s="14" t="str">
        <f>_xll.PLContribFull(F22*100,"BID",AA22,"Slot46","TICKER",3,,"Valid")</f>
        <v>0.810 (12:14:42.783166)</v>
      </c>
      <c r="AC22" s="5" t="str">
        <f>_xll.PLContribFull(M22*100,"ASK",AA22,"Slot46","TICKER",3,,"Valid")</f>
        <v>1.610 (12:14:42.746167)</v>
      </c>
      <c r="AD22" s="16"/>
    </row>
    <row r="23" spans="1:30" s="1" customFormat="1" x14ac:dyDescent="0.2">
      <c r="A23" s="12" t="s">
        <v>10</v>
      </c>
      <c r="B23" s="11">
        <f>'G7 Cross Input'!Q21</f>
        <v>9.4350000000000003E-2</v>
      </c>
      <c r="C23" s="11">
        <f>'G7 Cross Input'!R21</f>
        <v>-2.6299999999999997E-2</v>
      </c>
      <c r="D23" s="11">
        <f>'G7 Cross Input'!S21</f>
        <v>-4.9599999999999998E-2</v>
      </c>
      <c r="E23" s="11">
        <f>'G7 Cross Input'!T21</f>
        <v>1.4000000000000002E-3</v>
      </c>
      <c r="F23" s="11">
        <f>'G7 Cross Input'!U21</f>
        <v>8.8000000000000005E-3</v>
      </c>
      <c r="H23" s="10" t="s">
        <v>10</v>
      </c>
      <c r="I23" s="11">
        <f>'G7 Cross Input'!X21</f>
        <v>0.10085000000000001</v>
      </c>
      <c r="J23" s="11">
        <f>'G7 Cross Input'!Y21</f>
        <v>-2.1299999999999999E-2</v>
      </c>
      <c r="K23" s="11">
        <f>'G7 Cross Input'!Z21</f>
        <v>-3.9600000000000003E-2</v>
      </c>
      <c r="L23" s="11">
        <f>'G7 Cross Input'!AA21</f>
        <v>5.4000000000000003E-3</v>
      </c>
      <c r="M23" s="11">
        <f>'G7 Cross Input'!AB21</f>
        <v>1.6800000000000002E-2</v>
      </c>
      <c r="O23" s="3" t="s">
        <v>681</v>
      </c>
      <c r="P23" s="14" t="str">
        <f>_xll.PLContribFull(B23*100,"BID",O23,"Slot46","TICKER",3,,"Valid")</f>
        <v>9.435 (12:14:42.785170)</v>
      </c>
      <c r="Q23" s="5" t="str">
        <f>_xll.PLContribFull(I23*100,"ASK",O23,"Slot46","TICKER",3,,"Valid")</f>
        <v>10.085 (12:14:42.795166)</v>
      </c>
      <c r="R23" s="15" t="s">
        <v>691</v>
      </c>
      <c r="S23" s="14" t="str">
        <f>_xll.PLContribFull(C23*100,"BID",R23,"Slot46","TICKER",3,,"Valid")</f>
        <v>-2.630 (12:14:42.798166)</v>
      </c>
      <c r="T23" s="14" t="str">
        <f>_xll.PLContribFull(J23*100,"ASK",R23,"Slot46","TICKER",3,,"Valid")</f>
        <v>-2.130 (12:14:42.784167)</v>
      </c>
      <c r="U23" s="3" t="s">
        <v>701</v>
      </c>
      <c r="V23" s="14" t="str">
        <f>_xll.PLContribFull(D23*100,"BID",U23,"Slot46","TICKER",3,,"Valid")</f>
        <v>-4.960 (12:14:42.754169)</v>
      </c>
      <c r="W23" s="5" t="str">
        <f>_xll.PLContribFull(K23*100,"ASK",U23,"Slot46","TICKER",3,,"Valid")</f>
        <v>-3.960 (12:14:42.797167)</v>
      </c>
      <c r="X23" s="15" t="s">
        <v>711</v>
      </c>
      <c r="Y23" s="14" t="str">
        <f>_xll.PLContribFull(E23*100,"BID",X23,"Slot46","TICKER",3,,"Valid")</f>
        <v>0.140 (12:14:42.747168)</v>
      </c>
      <c r="Z23" s="14" t="str">
        <f>_xll.PLContribFull(L23*100,"ASK",X23,"Slot46","TICKER",3,,"Valid")</f>
        <v>0.540 (12:14:42.786167)</v>
      </c>
      <c r="AA23" s="3" t="s">
        <v>721</v>
      </c>
      <c r="AB23" s="14" t="str">
        <f>_xll.PLContribFull(F23*100,"BID",AA23,"Slot46","TICKER",3,,"Valid")</f>
        <v>0.880 (12:14:42.781168)</v>
      </c>
      <c r="AC23" s="5" t="str">
        <f>_xll.PLContribFull(M23*100,"ASK",AA23,"Slot46","TICKER",3,,"Valid")</f>
        <v>1.680 (12:14:42.790167)</v>
      </c>
      <c r="AD23" s="16"/>
    </row>
    <row r="24" spans="1:30" s="1" customFormat="1" x14ac:dyDescent="0.2">
      <c r="A24" s="12" t="s">
        <v>11</v>
      </c>
      <c r="B24" s="11">
        <f>'G7 Cross Input'!Q22</f>
        <v>9.3649999999999997E-2</v>
      </c>
      <c r="C24" s="11">
        <f>'G7 Cross Input'!R22</f>
        <v>-2.3099999999999999E-2</v>
      </c>
      <c r="D24" s="11">
        <f>'G7 Cross Input'!S22</f>
        <v>-4.5699999999999998E-2</v>
      </c>
      <c r="E24" s="11">
        <f>'G7 Cross Input'!T22</f>
        <v>1.9000000000000002E-3</v>
      </c>
      <c r="F24" s="11">
        <f>'G7 Cross Input'!U22</f>
        <v>9.9999999999999985E-3</v>
      </c>
      <c r="H24" s="10" t="s">
        <v>11</v>
      </c>
      <c r="I24" s="11">
        <f>'G7 Cross Input'!X22</f>
        <v>9.9549999999999986E-2</v>
      </c>
      <c r="J24" s="11">
        <f>'G7 Cross Input'!Y22</f>
        <v>-1.8100000000000002E-2</v>
      </c>
      <c r="K24" s="11">
        <f>'G7 Cross Input'!Z22</f>
        <v>-3.5700000000000003E-2</v>
      </c>
      <c r="L24" s="11">
        <f>'G7 Cross Input'!AA22</f>
        <v>5.9000000000000007E-3</v>
      </c>
      <c r="M24" s="11">
        <f>'G7 Cross Input'!AB22</f>
        <v>1.7999999999999999E-2</v>
      </c>
      <c r="O24" s="3" t="s">
        <v>682</v>
      </c>
      <c r="P24" s="14" t="str">
        <f>_xll.PLContribFull(B24*100,"BID",O24,"Slot46","TICKER",3,,"Valid")</f>
        <v>9.365 (12:14:42.786167)</v>
      </c>
      <c r="Q24" s="5" t="str">
        <f>_xll.PLContribFull(I24*100,"ASK",O24,"Slot46","TICKER",3,,"Valid")</f>
        <v>9.955 (12:14:42.794168)</v>
      </c>
      <c r="R24" s="15" t="s">
        <v>692</v>
      </c>
      <c r="S24" s="14" t="str">
        <f>_xll.PLContribFull(C24*100,"BID",R24,"Slot46","TICKER",3,,"Valid")</f>
        <v>-2.310 (12:14:42.785170)</v>
      </c>
      <c r="T24" s="14" t="str">
        <f>_xll.PLContribFull(J24*100,"ASK",R24,"Slot46","TICKER",3,,"Valid")</f>
        <v>-1.810 (12:14:42.790167)</v>
      </c>
      <c r="U24" s="3" t="s">
        <v>702</v>
      </c>
      <c r="V24" s="14" t="str">
        <f>_xll.PLContribFull(D24*100,"BID",U24,"Slot46","TICKER",3,,"Valid")</f>
        <v>-4.570 (12:14:42.781168)</v>
      </c>
      <c r="W24" s="5" t="str">
        <f>_xll.PLContribFull(K24*100,"ASK",U24,"Slot46","TICKER",3,,"Valid")</f>
        <v>-3.570 (12:14:42.788167)</v>
      </c>
      <c r="X24" s="15" t="s">
        <v>712</v>
      </c>
      <c r="Y24" s="14" t="str">
        <f>_xll.PLContribFull(E24*100,"BID",X24,"Slot46","TICKER",3,,"Valid")</f>
        <v>0.190 (12:14:42.753167)</v>
      </c>
      <c r="Z24" s="14" t="str">
        <f>_xll.PLContribFull(L24*100,"ASK",X24,"Slot46","TICKER",3,,"Valid")</f>
        <v>0.590 (12:14:42.790167)</v>
      </c>
      <c r="AA24" s="3" t="s">
        <v>722</v>
      </c>
      <c r="AB24" s="14" t="str">
        <f>_xll.PLContribFull(F24*100,"BID",AA24,"Slot46","TICKER",3,,"Valid")</f>
        <v>1.000 (12:14:42.789167)</v>
      </c>
      <c r="AC24" s="5" t="str">
        <f>_xll.PLContribFull(M24*100,"ASK",AA24,"Slot46","TICKER",3,,"Valid")</f>
        <v>1.800 (12:14:42.752166)</v>
      </c>
      <c r="AD24" s="16"/>
    </row>
    <row r="25" spans="1:30" s="1" customFormat="1" x14ac:dyDescent="0.2">
      <c r="A25" s="12" t="s">
        <v>12</v>
      </c>
      <c r="B25" s="11">
        <f>'G7 Cross Input'!Q23</f>
        <v>9.5049999999999996E-2</v>
      </c>
      <c r="C25" s="11">
        <f>'G7 Cross Input'!R23</f>
        <v>-2.2199999999999998E-2</v>
      </c>
      <c r="D25" s="11">
        <f>'G7 Cross Input'!S23</f>
        <v>-4.53E-2</v>
      </c>
      <c r="E25" s="11">
        <f>'G7 Cross Input'!T23</f>
        <v>2E-3</v>
      </c>
      <c r="F25" s="11">
        <f>'G7 Cross Input'!U23</f>
        <v>1.11E-2</v>
      </c>
      <c r="H25" s="10" t="s">
        <v>12</v>
      </c>
      <c r="I25" s="11">
        <f>'G7 Cross Input'!X23</f>
        <v>0.10055</v>
      </c>
      <c r="J25" s="11">
        <f>'G7 Cross Input'!Y23</f>
        <v>-1.72E-2</v>
      </c>
      <c r="K25" s="11">
        <f>'G7 Cross Input'!Z23</f>
        <v>-3.5300000000000005E-2</v>
      </c>
      <c r="L25" s="11">
        <f>'G7 Cross Input'!AA23</f>
        <v>6.0000000000000001E-3</v>
      </c>
      <c r="M25" s="11">
        <f>'G7 Cross Input'!AB23</f>
        <v>1.9099999999999999E-2</v>
      </c>
      <c r="O25" s="3" t="s">
        <v>683</v>
      </c>
      <c r="P25" s="14" t="str">
        <f>_xll.PLContribFull(B25*100,"BID",O25,"Slot46","TICKER",3,,"Valid")</f>
        <v>9.505 (12:14:42.785170)</v>
      </c>
      <c r="Q25" s="5" t="str">
        <f>_xll.PLContribFull(I25*100,"ASK",O25,"Slot46","TICKER",3,,"Valid")</f>
        <v>10.055 (12:14:42.793169)</v>
      </c>
      <c r="R25" s="15" t="s">
        <v>693</v>
      </c>
      <c r="S25" s="14" t="str">
        <f>_xll.PLContribFull(C25*100,"BID",R25,"Slot46","TICKER",3,,"Valid")</f>
        <v>-2.220 (12:14:42.787167)</v>
      </c>
      <c r="T25" s="14" t="str">
        <f>_xll.PLContribFull(J25*100,"ASK",R25,"Slot46","TICKER",3,,"Valid")</f>
        <v>-1.720 (12:14:42.784167)</v>
      </c>
      <c r="U25" s="3" t="s">
        <v>703</v>
      </c>
      <c r="V25" s="14" t="str">
        <f>_xll.PLContribFull(D25*100,"BID",U25,"Slot46","TICKER",3,,"Valid")</f>
        <v>-4.530 (12:14:42.780166)</v>
      </c>
      <c r="W25" s="5" t="str">
        <f>_xll.PLContribFull(K25*100,"ASK",U25,"Slot46","TICKER",3,,"Valid")</f>
        <v>-3.530 (12:14:42.783166)</v>
      </c>
      <c r="X25" s="15" t="s">
        <v>713</v>
      </c>
      <c r="Y25" s="14" t="str">
        <f>_xll.PLContribFull(E25*100,"BID",X25,"Slot46","TICKER",3,,"Valid")</f>
        <v>0.200 (12:14:42.789167)</v>
      </c>
      <c r="Z25" s="14" t="str">
        <f>_xll.PLContribFull(L25*100,"ASK",X25,"Slot46","TICKER",3,,"Valid")</f>
        <v>0.600 (12:14:42.756167)</v>
      </c>
      <c r="AA25" s="3" t="s">
        <v>723</v>
      </c>
      <c r="AB25" s="14" t="str">
        <f>_xll.PLContribFull(F25*100,"BID",AA25,"Slot46","TICKER",3,,"Valid")</f>
        <v>1.110 (12:14:42.747168)</v>
      </c>
      <c r="AC25" s="5" t="str">
        <f>_xll.PLContribFull(M25*100,"ASK",AA25,"Slot46","TICKER",3,,"Valid")</f>
        <v>1.910 (12:14:42.792167)</v>
      </c>
      <c r="AD25" s="16"/>
    </row>
    <row r="26" spans="1:30" s="1" customFormat="1" x14ac:dyDescent="0.2">
      <c r="A26" s="12" t="s">
        <v>13</v>
      </c>
      <c r="B26" s="11">
        <f>'G7 Cross Input'!Q24</f>
        <v>9.6600000000000005E-2</v>
      </c>
      <c r="C26" s="11">
        <f>'G7 Cross Input'!R24</f>
        <v>-2.1100000000000001E-2</v>
      </c>
      <c r="D26" s="11">
        <f>'G7 Cross Input'!S24</f>
        <v>-4.4299999999999999E-2</v>
      </c>
      <c r="E26" s="11">
        <f>'G7 Cross Input'!T24</f>
        <v>2.0999999999999994E-3</v>
      </c>
      <c r="F26" s="11">
        <f>'G7 Cross Input'!U24</f>
        <v>1.2399999999999998E-2</v>
      </c>
      <c r="H26" s="10" t="s">
        <v>13</v>
      </c>
      <c r="I26" s="11">
        <f>'G7 Cross Input'!X24</f>
        <v>0.10199999999999999</v>
      </c>
      <c r="J26" s="11">
        <f>'G7 Cross Input'!Y24</f>
        <v>-1.6100000000000003E-2</v>
      </c>
      <c r="K26" s="11">
        <f>'G7 Cross Input'!Z24</f>
        <v>-3.4300000000000004E-2</v>
      </c>
      <c r="L26" s="11">
        <f>'G7 Cross Input'!AA24</f>
        <v>6.0999999999999995E-3</v>
      </c>
      <c r="M26" s="11">
        <f>'G7 Cross Input'!AB24</f>
        <v>2.0399999999999998E-2</v>
      </c>
      <c r="O26" s="3" t="s">
        <v>684</v>
      </c>
      <c r="P26" s="14" t="str">
        <f>_xll.PLContribFull(B26*100,"BID",O26,"Slot46","TICKER",3,,"Valid")</f>
        <v>9.660 (12:14:42.787167)</v>
      </c>
      <c r="Q26" s="5" t="str">
        <f>_xll.PLContribFull(I26*100,"ASK",O26,"Slot46","TICKER",3,,"Valid")</f>
        <v>10.200 (12:14:42.786167)</v>
      </c>
      <c r="R26" s="15" t="s">
        <v>694</v>
      </c>
      <c r="S26" s="14" t="str">
        <f>_xll.PLContribFull(C26*100,"BID",R26,"Slot46","TICKER",3,,"Valid")</f>
        <v>-2.110 (12:14:42.791166)</v>
      </c>
      <c r="T26" s="14" t="str">
        <f>_xll.PLContribFull(J26*100,"ASK",R26,"Slot46","TICKER",3,,"Valid")</f>
        <v>-1.610 (12:14:42.781168)</v>
      </c>
      <c r="U26" s="3" t="s">
        <v>704</v>
      </c>
      <c r="V26" s="14" t="str">
        <f>_xll.PLContribFull(D26*100,"BID",U26,"Slot46","TICKER",3,,"Valid")</f>
        <v>-4.430 (12:14:42.791166)</v>
      </c>
      <c r="W26" s="5" t="str">
        <f>_xll.PLContribFull(K26*100,"ASK",U26,"Slot46","TICKER",3,,"Valid")</f>
        <v>-3.430 (12:14:42.795166)</v>
      </c>
      <c r="X26" s="15" t="s">
        <v>714</v>
      </c>
      <c r="Y26" s="14" t="str">
        <f>_xll.PLContribFull(E26*100,"BID",X26,"Slot46","TICKER",3,,"Valid")</f>
        <v>0.210 (12:14:42.787167)</v>
      </c>
      <c r="Z26" s="14" t="str">
        <f>_xll.PLContribFull(L26*100,"ASK",X26,"Slot46","TICKER",3,,"Valid")</f>
        <v>0.610 (12:14:42.751168)</v>
      </c>
      <c r="AA26" s="3" t="s">
        <v>724</v>
      </c>
      <c r="AB26" s="14" t="str">
        <f>_xll.PLContribFull(F26*100,"BID",AA26,"Slot46","TICKER",3,,"Valid")</f>
        <v>1.240 (12:14:42.783166)</v>
      </c>
      <c r="AC26" s="5" t="str">
        <f>_xll.PLContribFull(M26*100,"ASK",AA26,"Slot46","TICKER",3,,"Valid")</f>
        <v>2.040 (12:14:42.796169)</v>
      </c>
      <c r="AD26" s="16"/>
    </row>
    <row r="27" spans="1:30" s="1" customFormat="1" x14ac:dyDescent="0.2">
      <c r="A27" s="12" t="s">
        <v>14</v>
      </c>
      <c r="B27" s="11">
        <f>'G7 Cross Input'!Q25</f>
        <v>9.7199999999999995E-2</v>
      </c>
      <c r="C27" s="11">
        <f>'G7 Cross Input'!R25</f>
        <v>-2.4999999999999998E-2</v>
      </c>
      <c r="D27" s="11">
        <f>'G7 Cross Input'!S25</f>
        <v>-4.87E-2</v>
      </c>
      <c r="E27" s="11">
        <f>'G7 Cross Input'!T25</f>
        <v>2.5000000000000005E-3</v>
      </c>
      <c r="F27" s="11">
        <f>'G7 Cross Input'!U25</f>
        <v>1.3299999999999998E-2</v>
      </c>
      <c r="H27" s="10" t="s">
        <v>14</v>
      </c>
      <c r="I27" s="11">
        <f>'G7 Cross Input'!X25</f>
        <v>0.10340000000000001</v>
      </c>
      <c r="J27" s="11">
        <f>'G7 Cross Input'!Y25</f>
        <v>-1.5999999999999997E-2</v>
      </c>
      <c r="K27" s="11">
        <f>'G7 Cross Input'!Z25</f>
        <v>-3.0699999999999998E-2</v>
      </c>
      <c r="L27" s="11">
        <f>'G7 Cross Input'!AA25</f>
        <v>8.5000000000000006E-3</v>
      </c>
      <c r="M27" s="11">
        <f>'G7 Cross Input'!AB25</f>
        <v>2.5299999999999996E-2</v>
      </c>
      <c r="O27" s="3" t="s">
        <v>685</v>
      </c>
      <c r="P27" s="14" t="str">
        <f>_xll.PLContribFull(B27*100,"BID",O27,"Slot46","TICKER",3,,"Valid")</f>
        <v>9.720 (12:14:42.782167)</v>
      </c>
      <c r="Q27" s="5" t="str">
        <f>_xll.PLContribFull(I27*100,"ASK",O27,"Slot46","TICKER",3,,"Valid")</f>
        <v>10.340 (12:14:42.790167)</v>
      </c>
      <c r="R27" s="15" t="s">
        <v>695</v>
      </c>
      <c r="S27" s="14" t="str">
        <f>_xll.PLContribFull(C27*100,"BID",R27,"Slot46","TICKER",3,,"Valid")</f>
        <v>-2.500 (12:14:42.799167)</v>
      </c>
      <c r="T27" s="14" t="str">
        <f>_xll.PLContribFull(J27*100,"ASK",R27,"Slot46","TICKER",3,,"Valid")</f>
        <v>-1.600 (12:14:42.785170)</v>
      </c>
      <c r="U27" s="3" t="s">
        <v>705</v>
      </c>
      <c r="V27" s="14" t="str">
        <f>_xll.PLContribFull(D27*100,"BID",U27,"Slot46","TICKER",3,,"Valid")</f>
        <v>-4.870 (12:14:42.798166)</v>
      </c>
      <c r="W27" s="5" t="str">
        <f>_xll.PLContribFull(K27*100,"ASK",U27,"Slot46","TICKER",3,,"Valid")</f>
        <v>-3.070 (12:14:42.794168)</v>
      </c>
      <c r="X27" s="15" t="s">
        <v>715</v>
      </c>
      <c r="Y27" s="14" t="str">
        <f>_xll.PLContribFull(E27*100,"BID",X27,"Slot46","TICKER",3,,"Valid")</f>
        <v>0.250 (12:14:42.789167)</v>
      </c>
      <c r="Z27" s="14" t="str">
        <f>_xll.PLContribFull(L27*100,"ASK",X27,"Slot46","TICKER",3,,"Valid")</f>
        <v>0.850 (12:14:42.749167)</v>
      </c>
      <c r="AA27" s="3" t="s">
        <v>725</v>
      </c>
      <c r="AB27" s="14" t="str">
        <f>_xll.PLContribFull(F27*100,"BID",AA27,"Slot46","TICKER",3,,"Valid")</f>
        <v>1.330 (12:14:42.789167)</v>
      </c>
      <c r="AC27" s="5" t="str">
        <f>_xll.PLContribFull(M27*100,"ASK",AA27,"Slot46","TICKER",3,,"Valid")</f>
        <v>2.530 (12:14:42.794168)</v>
      </c>
      <c r="AD27" s="16"/>
    </row>
    <row r="28" spans="1:30" s="1" customFormat="1" x14ac:dyDescent="0.2">
      <c r="A28" s="12" t="s">
        <v>876</v>
      </c>
      <c r="B28" s="11">
        <f>'G7 Cross Input'!Q26</f>
        <v>9.7549999999999998E-2</v>
      </c>
      <c r="C28" s="11">
        <f>'G7 Cross Input'!R26</f>
        <v>-2.5599999999999998E-2</v>
      </c>
      <c r="D28" s="11">
        <f>'G7 Cross Input'!S26</f>
        <v>-4.9800000000000004E-2</v>
      </c>
      <c r="E28" s="11">
        <f>'G7 Cross Input'!T26</f>
        <v>2.6999999999999993E-3</v>
      </c>
      <c r="F28" s="11">
        <f>'G7 Cross Input'!U26</f>
        <v>1.46E-2</v>
      </c>
      <c r="H28" s="10" t="s">
        <v>876</v>
      </c>
      <c r="I28" s="11">
        <f>'G7 Cross Input'!X26</f>
        <v>0.10485</v>
      </c>
      <c r="J28" s="11">
        <f>'G7 Cross Input'!Y26</f>
        <v>-1.6599999999999997E-2</v>
      </c>
      <c r="K28" s="11">
        <f>'G7 Cross Input'!Z26</f>
        <v>-3.1800000000000002E-2</v>
      </c>
      <c r="L28" s="11">
        <f>'G7 Cross Input'!AA26</f>
        <v>8.6999999999999994E-3</v>
      </c>
      <c r="M28" s="11">
        <f>'G7 Cross Input'!AB26</f>
        <v>2.6599999999999999E-2</v>
      </c>
      <c r="O28" s="3" t="s">
        <v>947</v>
      </c>
      <c r="P28" s="14" t="str">
        <f>_xll.PLContribFull(B28*100,"BID",O28,"Slot46","TICKER",3,,"Valid")</f>
        <v>9.755 (12:14:42.799167)</v>
      </c>
      <c r="Q28" s="5" t="str">
        <f>_xll.PLContribFull(I28*100,"ASK",O28,"Slot46","TICKER",3,,"Valid")</f>
        <v>10.485 (12:14:42.785170)</v>
      </c>
      <c r="R28" s="15" t="s">
        <v>948</v>
      </c>
      <c r="S28" s="14" t="str">
        <f>_xll.PLContribFull(C28*100,"BID",R28,"Slot46","TICKER",3,,"Valid")</f>
        <v>-2.560 (12:14:42.752166)</v>
      </c>
      <c r="T28" s="14" t="str">
        <f>_xll.PLContribFull(J28*100,"ASK",R28,"Slot46","TICKER",3,,"Valid")</f>
        <v>-1.660 (12:14:42.782167)</v>
      </c>
      <c r="U28" s="3" t="s">
        <v>949</v>
      </c>
      <c r="V28" s="14" t="str">
        <f>_xll.PLContribFull(D28*100,"BID",U28,"Slot46","TICKER",3,,"Valid")</f>
        <v>-4.980 (12:14:42.784167)</v>
      </c>
      <c r="W28" s="5" t="str">
        <f>_xll.PLContribFull(K28*100,"ASK",U28,"Slot46","TICKER",3,,"Valid")</f>
        <v>-3.180 (12:14:42.754169)</v>
      </c>
      <c r="X28" s="15" t="s">
        <v>950</v>
      </c>
      <c r="Y28" s="14" t="str">
        <f>_xll.PLContribFull(E28*100,"BID",X28,"Slot46","TICKER",3,,"Valid")</f>
        <v>0.270 (12:14:42.790167)</v>
      </c>
      <c r="Z28" s="14" t="str">
        <f>_xll.PLContribFull(L28*100,"ASK",X28,"Slot46","TICKER",3,,"Valid")</f>
        <v>0.870 (12:14:42.751168)</v>
      </c>
      <c r="AA28" s="3" t="s">
        <v>951</v>
      </c>
      <c r="AB28" s="14" t="str">
        <f>_xll.PLContribFull(F28*100,"BID",AA28,"Slot46","TICKER",3,,"Valid")</f>
        <v>1.460 (12:14:42.789167)</v>
      </c>
      <c r="AC28" s="5" t="str">
        <f>_xll.PLContribFull(M28*100,"ASK",AA28,"Slot46","TICKER",3,,"Valid")</f>
        <v>2.660 (12:14:42.794168)</v>
      </c>
      <c r="AD28"/>
    </row>
    <row r="29" spans="1:30" s="1" customFormat="1" x14ac:dyDescent="0.2">
      <c r="A29" s="10"/>
      <c r="B29" s="10"/>
      <c r="C29" s="10"/>
      <c r="D29" s="10"/>
      <c r="E29" s="10"/>
      <c r="F29" s="10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8"/>
      <c r="AC29" s="18"/>
      <c r="AD29"/>
    </row>
    <row r="30" spans="1:30" s="1" customFormat="1" x14ac:dyDescent="0.2">
      <c r="A30" s="10"/>
      <c r="B30" s="10"/>
      <c r="C30" s="10"/>
      <c r="D30" s="10"/>
      <c r="E30" s="10"/>
      <c r="F30" s="10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8"/>
      <c r="AC30" s="18"/>
      <c r="AD30"/>
    </row>
    <row r="31" spans="1:30" s="1" customFormat="1" x14ac:dyDescent="0.25">
      <c r="A31" s="10" t="s">
        <v>939</v>
      </c>
      <c r="B31" s="10"/>
      <c r="C31" s="10"/>
      <c r="D31" s="10"/>
      <c r="E31" s="10"/>
      <c r="F31" s="10"/>
      <c r="O31" s="3" t="s">
        <v>67</v>
      </c>
      <c r="P31" s="15" t="s">
        <v>68</v>
      </c>
      <c r="Q31" s="6"/>
      <c r="R31" s="15" t="s">
        <v>67</v>
      </c>
      <c r="S31" s="15" t="s">
        <v>68</v>
      </c>
      <c r="T31" s="15"/>
      <c r="U31" s="3" t="s">
        <v>67</v>
      </c>
      <c r="V31" s="15" t="s">
        <v>68</v>
      </c>
      <c r="W31" s="6"/>
      <c r="X31" s="15" t="s">
        <v>67</v>
      </c>
      <c r="Y31" s="15" t="s">
        <v>68</v>
      </c>
      <c r="Z31" s="15"/>
      <c r="AA31" s="3" t="s">
        <v>67</v>
      </c>
      <c r="AB31" s="15" t="s">
        <v>68</v>
      </c>
      <c r="AC31" s="6"/>
      <c r="AD31"/>
    </row>
    <row r="32" spans="1:30" s="1" customFormat="1" ht="14.25" x14ac:dyDescent="0.25">
      <c r="A32" s="12" t="s">
        <v>331</v>
      </c>
      <c r="B32" s="12" t="s">
        <v>0</v>
      </c>
      <c r="C32" s="12" t="s">
        <v>1</v>
      </c>
      <c r="D32" s="12" t="s">
        <v>2</v>
      </c>
      <c r="E32" s="12" t="s">
        <v>3</v>
      </c>
      <c r="F32" s="12" t="s">
        <v>4</v>
      </c>
      <c r="H32" s="10" t="s">
        <v>16</v>
      </c>
      <c r="I32" s="10" t="s">
        <v>0</v>
      </c>
      <c r="J32" s="10" t="s">
        <v>1</v>
      </c>
      <c r="K32" s="10" t="s">
        <v>2</v>
      </c>
      <c r="L32" s="10" t="s">
        <v>3</v>
      </c>
      <c r="M32" s="10" t="s">
        <v>4</v>
      </c>
      <c r="O32" s="3" t="s">
        <v>66</v>
      </c>
      <c r="P32" s="13" t="s">
        <v>15</v>
      </c>
      <c r="Q32" s="4" t="s">
        <v>16</v>
      </c>
      <c r="R32" s="15" t="s">
        <v>1</v>
      </c>
      <c r="S32" s="13" t="s">
        <v>15</v>
      </c>
      <c r="T32" s="13" t="s">
        <v>16</v>
      </c>
      <c r="U32" s="3" t="s">
        <v>2</v>
      </c>
      <c r="V32" s="13" t="s">
        <v>15</v>
      </c>
      <c r="W32" s="4" t="s">
        <v>16</v>
      </c>
      <c r="X32" s="15" t="s">
        <v>3</v>
      </c>
      <c r="Y32" s="13" t="s">
        <v>15</v>
      </c>
      <c r="Z32" s="13" t="s">
        <v>16</v>
      </c>
      <c r="AA32" s="3" t="s">
        <v>4</v>
      </c>
      <c r="AB32" s="13" t="s">
        <v>15</v>
      </c>
      <c r="AC32" s="4" t="s">
        <v>16</v>
      </c>
      <c r="AD32" s="2"/>
    </row>
    <row r="33" spans="1:30" s="1" customFormat="1" x14ac:dyDescent="0.2">
      <c r="A33" s="12" t="s">
        <v>5</v>
      </c>
      <c r="B33" s="11">
        <f>'G7 Cross Input'!Q30</f>
        <v>6.0250000000000005E-2</v>
      </c>
      <c r="C33" s="11">
        <f>'G7 Cross Input'!R30</f>
        <v>-1.3999999999999999E-2</v>
      </c>
      <c r="D33" s="11">
        <f>'G7 Cross Input'!S30</f>
        <v>-2.81E-2</v>
      </c>
      <c r="E33" s="11">
        <f>'G7 Cross Input'!T30</f>
        <v>-9.6000000000000009E-3</v>
      </c>
      <c r="F33" s="11">
        <f>'G7 Cross Input'!U30</f>
        <v>-1.77E-2</v>
      </c>
      <c r="H33" s="10" t="s">
        <v>5</v>
      </c>
      <c r="I33" s="11">
        <f>'G7 Cross Input'!X30</f>
        <v>8.0350000000000005E-2</v>
      </c>
      <c r="J33" s="11">
        <f>'G7 Cross Input'!Y30</f>
        <v>1.6E-2</v>
      </c>
      <c r="K33" s="11">
        <f>'G7 Cross Input'!Z30</f>
        <v>3.1899999999999998E-2</v>
      </c>
      <c r="L33" s="11">
        <f>'G7 Cross Input'!AA30</f>
        <v>1.14E-2</v>
      </c>
      <c r="M33" s="11">
        <f>'G7 Cross Input'!AB30</f>
        <v>2.4300000000000002E-2</v>
      </c>
      <c r="O33" s="3" t="s">
        <v>1023</v>
      </c>
      <c r="P33" s="14" t="str">
        <f>_xll.PLContribFull(B33*100,"BID",O33,"Slot46","TICKER",3,,"Valid")</f>
        <v>6.025 (12:14:42.797167)</v>
      </c>
      <c r="Q33" s="5" t="str">
        <f>_xll.PLContribFull(I33*100,"ASK",O33,"Slot46","TICKER",3,,"Valid")</f>
        <v>8.035 (12:14:42.781168)</v>
      </c>
      <c r="R33" s="15" t="s">
        <v>1034</v>
      </c>
      <c r="S33" s="14" t="str">
        <f>_xll.PLContribFull(C33*100,"BID",R33,"Slot46","TICKER",3,,"Valid")</f>
        <v>-1.400 (12:14:42.782167)</v>
      </c>
      <c r="T33" s="14" t="str">
        <f>_xll.PLContribFull(J33*100,"ASK",R33,"Slot46","TICKER",3,,"Valid")</f>
        <v>1.600 (12:14:42.780166)</v>
      </c>
      <c r="U33" s="3" t="s">
        <v>1045</v>
      </c>
      <c r="V33" s="14" t="str">
        <f>_xll.PLContribFull(D33*100,"BID",U33,"Slot46","TICKER",3,,"Valid")</f>
        <v>-2.810 (12:14:42.796169)</v>
      </c>
      <c r="W33" s="5" t="str">
        <f>_xll.PLContribFull(K33*100,"ASK",U33,"Slot46","TICKER",3,,"Valid")</f>
        <v>3.190 (12:14:42.795166)</v>
      </c>
      <c r="X33" s="15" t="s">
        <v>1056</v>
      </c>
      <c r="Y33" s="14" t="str">
        <f>_xll.PLContribFull(E33*100,"BID",X33,"Slot46","TICKER",3,,"Valid")</f>
        <v>-0.960 (12:14:42.756167)</v>
      </c>
      <c r="Z33" s="14" t="str">
        <f>_xll.PLContribFull(L33*100,"ASK",X33,"Slot46","TICKER",3,,"Valid")</f>
        <v>1.140 (12:14:42.788167)</v>
      </c>
      <c r="AA33" s="3" t="s">
        <v>1067</v>
      </c>
      <c r="AB33" s="14" t="str">
        <f>_xll.PLContribFull(F33*100,"BID",AA33,"Slot46","TICKER",3,,"Valid")</f>
        <v>-1.770 (12:14:42.781168)</v>
      </c>
      <c r="AC33" s="5" t="str">
        <f>_xll.PLContribFull(M33*100,"ASK",AA33,"Slot46","TICKER",3,,"Valid")</f>
        <v>2.430 (12:14:42.781168)</v>
      </c>
      <c r="AD33" s="16"/>
    </row>
    <row r="34" spans="1:30" s="1" customFormat="1" x14ac:dyDescent="0.2">
      <c r="A34" s="12" t="s">
        <v>6</v>
      </c>
      <c r="B34" s="11">
        <f>'G7 Cross Input'!Q31</f>
        <v>4.7449999999999999E-2</v>
      </c>
      <c r="C34" s="11">
        <f>'G7 Cross Input'!R31</f>
        <v>-5.3E-3</v>
      </c>
      <c r="D34" s="11">
        <f>'G7 Cross Input'!S31</f>
        <v>-1.06E-2</v>
      </c>
      <c r="E34" s="11">
        <f>'G7 Cross Input'!T31</f>
        <v>-3.3E-3</v>
      </c>
      <c r="F34" s="11">
        <f>'G7 Cross Input'!U31</f>
        <v>-5.4999999999999997E-3</v>
      </c>
      <c r="H34" s="10" t="s">
        <v>6</v>
      </c>
      <c r="I34" s="11">
        <f>'G7 Cross Input'!X31</f>
        <v>5.6949999999999994E-2</v>
      </c>
      <c r="J34" s="11">
        <f>'G7 Cross Input'!Y31</f>
        <v>6.7000000000000002E-3</v>
      </c>
      <c r="K34" s="11">
        <f>'G7 Cross Input'!Z31</f>
        <v>1.34E-2</v>
      </c>
      <c r="L34" s="11">
        <f>'G7 Cross Input'!AA31</f>
        <v>4.7000000000000002E-3</v>
      </c>
      <c r="M34" s="11">
        <f>'G7 Cross Input'!AB31</f>
        <v>1.0500000000000001E-2</v>
      </c>
      <c r="O34" s="3" t="s">
        <v>1024</v>
      </c>
      <c r="P34" s="14" t="str">
        <f>_xll.PLContribFull(B34*100,"BID",O34,"Slot46","TICKER",3,,"Valid")</f>
        <v>4.745 (12:14:42.749167)</v>
      </c>
      <c r="Q34" s="5" t="str">
        <f>_xll.PLContribFull(I34*100,"ASK",O34,"Slot46","TICKER",3,,"Valid")</f>
        <v>5.695 (12:14:42.782167)</v>
      </c>
      <c r="R34" s="15" t="s">
        <v>1035</v>
      </c>
      <c r="S34" s="14" t="str">
        <f>_xll.PLContribFull(C34*100,"BID",R34,"Slot46","TICKER",3,,"Valid")</f>
        <v>-0.530 (12:14:42.781168)</v>
      </c>
      <c r="T34" s="14" t="str">
        <f>_xll.PLContribFull(J34*100,"ASK",R34,"Slot46","TICKER",3,,"Valid")</f>
        <v>0.670 (12:14:42.789167)</v>
      </c>
      <c r="U34" s="3" t="s">
        <v>1046</v>
      </c>
      <c r="V34" s="14" t="str">
        <f>_xll.PLContribFull(D34*100,"BID",U34,"Slot46","TICKER",3,,"Valid")</f>
        <v>-1.060 (12:14:42.754169)</v>
      </c>
      <c r="W34" s="5" t="str">
        <f>_xll.PLContribFull(K34*100,"ASK",U34,"Slot46","TICKER",3,,"Valid")</f>
        <v>1.340 (12:14:42.786167)</v>
      </c>
      <c r="X34" s="15" t="s">
        <v>1057</v>
      </c>
      <c r="Y34" s="14" t="str">
        <f>_xll.PLContribFull(E34*100,"BID",X34,"Slot46","TICKER",3,,"Valid")</f>
        <v>-0.330 (12:14:42.793169)</v>
      </c>
      <c r="Z34" s="14" t="str">
        <f>_xll.PLContribFull(L34*100,"ASK",X34,"Slot46","TICKER",3,,"Valid")</f>
        <v>0.470 (12:14:42.748167)</v>
      </c>
      <c r="AA34" s="3" t="s">
        <v>1068</v>
      </c>
      <c r="AB34" s="14" t="str">
        <f>_xll.PLContribFull(F34*100,"BID",AA34,"Slot46","TICKER",3,,"Valid")</f>
        <v>-0.550 (12:14:42.742167)</v>
      </c>
      <c r="AC34" s="5" t="str">
        <f>_xll.PLContribFull(M34*100,"ASK",AA34,"Slot46","TICKER",3,,"Valid")</f>
        <v>1.050 (12:14:42.780166)</v>
      </c>
      <c r="AD34" s="16"/>
    </row>
    <row r="35" spans="1:30" s="1" customFormat="1" x14ac:dyDescent="0.2">
      <c r="A35" s="12" t="s">
        <v>7</v>
      </c>
      <c r="B35" s="11">
        <f>'G7 Cross Input'!Q32</f>
        <v>4.5949999999999998E-2</v>
      </c>
      <c r="C35" s="11">
        <f>'G7 Cross Input'!R32</f>
        <v>-3.4000000000000002E-3</v>
      </c>
      <c r="D35" s="11">
        <f>'G7 Cross Input'!S32</f>
        <v>-6.8999999999999999E-3</v>
      </c>
      <c r="E35" s="11">
        <f>'G7 Cross Input'!T32</f>
        <v>-2.3E-3</v>
      </c>
      <c r="F35" s="11">
        <f>'G7 Cross Input'!U32</f>
        <v>-3.7000000000000002E-3</v>
      </c>
      <c r="H35" s="10" t="s">
        <v>7</v>
      </c>
      <c r="I35" s="11">
        <f>'G7 Cross Input'!X32</f>
        <v>5.1649999999999995E-2</v>
      </c>
      <c r="J35" s="11">
        <f>'G7 Cross Input'!Y32</f>
        <v>4.5999999999999999E-3</v>
      </c>
      <c r="K35" s="11">
        <f>'G7 Cross Input'!Z32</f>
        <v>9.1000000000000004E-3</v>
      </c>
      <c r="L35" s="11">
        <f>'G7 Cross Input'!AA32</f>
        <v>3.7000000000000002E-3</v>
      </c>
      <c r="M35" s="11">
        <f>'G7 Cross Input'!AB32</f>
        <v>8.3000000000000001E-3</v>
      </c>
      <c r="O35" s="3" t="s">
        <v>1025</v>
      </c>
      <c r="P35" s="14" t="str">
        <f>_xll.PLContribFull(B35*100,"BID",O35,"Slot46","TICKER",3,,"Valid")</f>
        <v>4.595 (12:14:42.795166)</v>
      </c>
      <c r="Q35" s="5" t="str">
        <f>_xll.PLContribFull(I35*100,"ASK",O35,"Slot46","TICKER",3,,"Valid")</f>
        <v>5.165 (12:14:42.786167)</v>
      </c>
      <c r="R35" s="15" t="s">
        <v>1036</v>
      </c>
      <c r="S35" s="14" t="str">
        <f>_xll.PLContribFull(C35*100,"BID",R35,"Slot46","TICKER",3,,"Valid")</f>
        <v>-0.340 (12:14:42.786167)</v>
      </c>
      <c r="T35" s="14" t="str">
        <f>_xll.PLContribFull(J35*100,"ASK",R35,"Slot46","TICKER",3,,"Valid")</f>
        <v>0.460 (12:14:42.754169)</v>
      </c>
      <c r="U35" s="3" t="s">
        <v>1047</v>
      </c>
      <c r="V35" s="14" t="str">
        <f>_xll.PLContribFull(D35*100,"BID",U35,"Slot46","TICKER",3,,"Valid")</f>
        <v>-0.690 (12:14:42.754169)</v>
      </c>
      <c r="W35" s="5" t="str">
        <f>_xll.PLContribFull(K35*100,"ASK",U35,"Slot46","TICKER",3,,"Valid")</f>
        <v>0.910 (12:14:42.785170)</v>
      </c>
      <c r="X35" s="15" t="s">
        <v>1058</v>
      </c>
      <c r="Y35" s="14" t="str">
        <f>_xll.PLContribFull(E35*100,"BID",X35,"Slot46","TICKER",3,,"Valid")</f>
        <v>-0.230 (12:14:42.791166)</v>
      </c>
      <c r="Z35" s="14" t="str">
        <f>_xll.PLContribFull(L35*100,"ASK",X35,"Slot46","TICKER",3,,"Valid")</f>
        <v>0.370 (12:14:42.781168)</v>
      </c>
      <c r="AA35" s="3" t="s">
        <v>1069</v>
      </c>
      <c r="AB35" s="14" t="str">
        <f>_xll.PLContribFull(F35*100,"BID",AA35,"Slot46","TICKER",3,,"Valid")</f>
        <v>-0.370 (12:14:42.794168)</v>
      </c>
      <c r="AC35" s="5" t="str">
        <f>_xll.PLContribFull(M35*100,"ASK",AA35,"Slot46","TICKER",3,,"Valid")</f>
        <v>0.830 (12:14:42.796169)</v>
      </c>
      <c r="AD35" s="16"/>
    </row>
    <row r="36" spans="1:30" s="1" customFormat="1" x14ac:dyDescent="0.2">
      <c r="A36" s="12" t="s">
        <v>8</v>
      </c>
      <c r="B36" s="11">
        <f>'G7 Cross Input'!Q33</f>
        <v>4.8500000000000001E-2</v>
      </c>
      <c r="C36" s="11">
        <f>'G7 Cross Input'!R33</f>
        <v>-2.0999999999999999E-3</v>
      </c>
      <c r="D36" s="11">
        <f>'G7 Cross Input'!S33</f>
        <v>-4.1000000000000003E-3</v>
      </c>
      <c r="E36" s="11">
        <f>'G7 Cross Input'!T33</f>
        <v>-1.2999999999999999E-3</v>
      </c>
      <c r="F36" s="11">
        <f>'G7 Cross Input'!U33</f>
        <v>-1.6000000000000003E-3</v>
      </c>
      <c r="H36" s="10" t="s">
        <v>8</v>
      </c>
      <c r="I36" s="11">
        <f>'G7 Cross Input'!X33</f>
        <v>5.1500000000000004E-2</v>
      </c>
      <c r="J36" s="11">
        <f>'G7 Cross Input'!Y33</f>
        <v>2.9000000000000002E-3</v>
      </c>
      <c r="K36" s="11">
        <f>'G7 Cross Input'!Z33</f>
        <v>5.8999999999999999E-3</v>
      </c>
      <c r="L36" s="11">
        <f>'G7 Cross Input'!AA33</f>
        <v>2.7000000000000001E-3</v>
      </c>
      <c r="M36" s="11">
        <f>'G7 Cross Input'!AB33</f>
        <v>6.3999999999999994E-3</v>
      </c>
      <c r="O36" s="3" t="s">
        <v>1026</v>
      </c>
      <c r="P36" s="14" t="str">
        <f>_xll.PLContribFull(B36*100,"BID",O36,"Slot46","TICKER",3,,"Valid")</f>
        <v>4.850 (12:14:42.785170)</v>
      </c>
      <c r="Q36" s="5" t="str">
        <f>_xll.PLContribFull(I36*100,"ASK",O36,"Slot46","TICKER",3,,"Valid")</f>
        <v>5.150 (12:14:42.789167)</v>
      </c>
      <c r="R36" s="15" t="s">
        <v>1044</v>
      </c>
      <c r="S36" s="14" t="str">
        <f>_xll.PLContribFull(C36*100,"BID",R36,"Slot46","TICKER",3,,"Valid")</f>
        <v>-0.210 (12:14:42.783166)</v>
      </c>
      <c r="T36" s="14" t="str">
        <f>_xll.PLContribFull(J36*100,"ASK",R36,"Slot46","TICKER",3,,"Valid")</f>
        <v>0.290 (12:14:42.753167)</v>
      </c>
      <c r="U36" s="3" t="s">
        <v>1048</v>
      </c>
      <c r="V36" s="14" t="str">
        <f>_xll.PLContribFull(D36*100,"BID",U36,"Slot46","TICKER",3,,"Valid")</f>
        <v>-0.410 (12:14:42.782167)</v>
      </c>
      <c r="W36" s="5" t="str">
        <f>_xll.PLContribFull(K36*100,"ASK",U36,"Slot46","TICKER",3,,"Valid")</f>
        <v>0.590 (12:14:42.780166)</v>
      </c>
      <c r="X36" s="15" t="s">
        <v>1059</v>
      </c>
      <c r="Y36" s="14" t="str">
        <f>_xll.PLContribFull(E36*100,"BID",X36,"Slot46","TICKER",3,,"Valid")</f>
        <v>-0.130 (12:14:42.749167)</v>
      </c>
      <c r="Z36" s="14" t="str">
        <f>_xll.PLContribFull(L36*100,"ASK",X36,"Slot46","TICKER",3,,"Valid")</f>
        <v>0.270 (12:14:42.791166)</v>
      </c>
      <c r="AA36" s="3" t="s">
        <v>1070</v>
      </c>
      <c r="AB36" s="14" t="str">
        <f>_xll.PLContribFull(F36*100,"BID",AA36,"Slot46","TICKER",3,,"Valid")</f>
        <v>-0.160 (12:14:42.793169)</v>
      </c>
      <c r="AC36" s="5" t="str">
        <f>_xll.PLContribFull(M36*100,"ASK",AA36,"Slot46","TICKER",3,,"Valid")</f>
        <v>0.640 (12:14:42.787167)</v>
      </c>
      <c r="AD36" s="16"/>
    </row>
    <row r="37" spans="1:30" s="1" customFormat="1" x14ac:dyDescent="0.2">
      <c r="A37" s="12" t="s">
        <v>9</v>
      </c>
      <c r="B37" s="11">
        <f>'G7 Cross Input'!Q34</f>
        <v>5.0649999999999994E-2</v>
      </c>
      <c r="C37" s="11">
        <f>'G7 Cross Input'!R34</f>
        <v>-2E-3</v>
      </c>
      <c r="D37" s="11">
        <f>'G7 Cross Input'!S34</f>
        <v>-4.0000000000000001E-3</v>
      </c>
      <c r="E37" s="11">
        <f>'G7 Cross Input'!T34</f>
        <v>-1.2000000000000001E-3</v>
      </c>
      <c r="F37" s="11">
        <f>'G7 Cross Input'!U34</f>
        <v>-1.1999999999999997E-3</v>
      </c>
      <c r="H37" s="10" t="s">
        <v>9</v>
      </c>
      <c r="I37" s="11">
        <f>'G7 Cross Input'!X34</f>
        <v>5.3149999999999996E-2</v>
      </c>
      <c r="J37" s="11">
        <f>'G7 Cross Input'!Y34</f>
        <v>3.0000000000000001E-3</v>
      </c>
      <c r="K37" s="11">
        <f>'G7 Cross Input'!Z34</f>
        <v>6.0000000000000001E-3</v>
      </c>
      <c r="L37" s="11">
        <f>'G7 Cross Input'!AA34</f>
        <v>2.8E-3</v>
      </c>
      <c r="M37" s="11">
        <f>'G7 Cross Input'!AB34</f>
        <v>6.8000000000000005E-3</v>
      </c>
      <c r="O37" s="3" t="s">
        <v>1027</v>
      </c>
      <c r="P37" s="14" t="str">
        <f>_xll.PLContribFull(B37*100,"BID",O37,"Slot46","TICKER",3,,"Valid")</f>
        <v>5.065 (12:14:42.795166)</v>
      </c>
      <c r="Q37" s="5" t="str">
        <f>_xll.PLContribFull(I37*100,"ASK",O37,"Slot46","TICKER",3,,"Valid")</f>
        <v>5.315 (12:14:42.791166)</v>
      </c>
      <c r="R37" s="15" t="s">
        <v>1037</v>
      </c>
      <c r="S37" s="14" t="str">
        <f>_xll.PLContribFull(C37*100,"BID",R37,"Slot46","TICKER",3,,"Valid")</f>
        <v>-0.200 (12:14:42.791166)</v>
      </c>
      <c r="T37" s="14" t="str">
        <f>_xll.PLContribFull(J37*100,"ASK",R37,"Slot46","TICKER",3,,"Valid")</f>
        <v>0.300 (12:14:42.791166)</v>
      </c>
      <c r="U37" s="3" t="s">
        <v>1049</v>
      </c>
      <c r="V37" s="14" t="str">
        <f>_xll.PLContribFull(D37*100,"BID",U37,"Slot46","TICKER",3,,"Valid")</f>
        <v>-0.400 (12:14:42.794168)</v>
      </c>
      <c r="W37" s="5" t="str">
        <f>_xll.PLContribFull(K37*100,"ASK",U37,"Slot46","TICKER",3,,"Valid")</f>
        <v>0.600 (12:14:42.748167)</v>
      </c>
      <c r="X37" s="15" t="s">
        <v>1060</v>
      </c>
      <c r="Y37" s="14" t="str">
        <f>_xll.PLContribFull(E37*100,"BID",X37,"Slot46","TICKER",3,,"Valid")</f>
        <v>-0.120 (12:14:42.791166)</v>
      </c>
      <c r="Z37" s="14" t="str">
        <f>_xll.PLContribFull(L37*100,"ASK",X37,"Slot46","TICKER",3,,"Valid")</f>
        <v>0.280 (12:14:42.753167)</v>
      </c>
      <c r="AA37" s="3" t="s">
        <v>1071</v>
      </c>
      <c r="AB37" s="14" t="str">
        <f>_xll.PLContribFull(F37*100,"BID",AA37,"Slot46","TICKER",3,,"Valid")</f>
        <v>-0.120 (12:14:42.785170)</v>
      </c>
      <c r="AC37" s="5" t="str">
        <f>_xll.PLContribFull(M37*100,"ASK",AA37,"Slot46","TICKER",3,,"Valid")</f>
        <v>0.680 (12:14:42.743167)</v>
      </c>
      <c r="AD37" s="16"/>
    </row>
    <row r="38" spans="1:30" s="1" customFormat="1" x14ac:dyDescent="0.2">
      <c r="A38" s="12" t="s">
        <v>10</v>
      </c>
      <c r="B38" s="11">
        <f>'G7 Cross Input'!Q35</f>
        <v>5.0199999999999995E-2</v>
      </c>
      <c r="C38" s="11">
        <f>'G7 Cross Input'!R35</f>
        <v>-2E-3</v>
      </c>
      <c r="D38" s="11">
        <f>'G7 Cross Input'!S35</f>
        <v>-4.0000000000000001E-3</v>
      </c>
      <c r="E38" s="11">
        <f>'G7 Cross Input'!T35</f>
        <v>-1.1000000000000001E-3</v>
      </c>
      <c r="F38" s="11">
        <f>'G7 Cross Input'!U35</f>
        <v>-9.0000000000000019E-4</v>
      </c>
      <c r="H38" s="10" t="s">
        <v>10</v>
      </c>
      <c r="I38" s="11">
        <f>'G7 Cross Input'!X35</f>
        <v>5.28E-2</v>
      </c>
      <c r="J38" s="11">
        <f>'G7 Cross Input'!Y35</f>
        <v>3.0000000000000001E-3</v>
      </c>
      <c r="K38" s="11">
        <f>'G7 Cross Input'!Z35</f>
        <v>6.0000000000000001E-3</v>
      </c>
      <c r="L38" s="11">
        <f>'G7 Cross Input'!AA35</f>
        <v>2.8999999999999998E-3</v>
      </c>
      <c r="M38" s="11">
        <f>'G7 Cross Input'!AB35</f>
        <v>7.1000000000000004E-3</v>
      </c>
      <c r="O38" s="3" t="s">
        <v>1028</v>
      </c>
      <c r="P38" s="14" t="str">
        <f>_xll.PLContribFull(B38*100,"BID",O38,"Slot46","TICKER",3,,"Valid")</f>
        <v>5.020 (12:14:42.785170)</v>
      </c>
      <c r="Q38" s="5" t="str">
        <f>_xll.PLContribFull(I38*100,"ASK",O38,"Slot46","TICKER",3,,"Valid")</f>
        <v>5.280 (12:14:42.793169)</v>
      </c>
      <c r="R38" s="15" t="s">
        <v>1038</v>
      </c>
      <c r="S38" s="14" t="str">
        <f>_xll.PLContribFull(C38*100,"BID",R38,"Slot46","TICKER",3,,"Valid")</f>
        <v>-0.200 (12:14:42.795166)</v>
      </c>
      <c r="T38" s="14" t="str">
        <f>_xll.PLContribFull(J38*100,"ASK",R38,"Slot46","TICKER",3,,"Valid")</f>
        <v>0.300 (12:14:42.788167)</v>
      </c>
      <c r="U38" s="3" t="s">
        <v>1050</v>
      </c>
      <c r="V38" s="14" t="str">
        <f>_xll.PLContribFull(D38*100,"BID",U38,"Slot46","TICKER",3,,"Valid")</f>
        <v>-0.400 (12:14:42.740168)</v>
      </c>
      <c r="W38" s="5" t="str">
        <f>_xll.PLContribFull(K38*100,"ASK",U38,"Slot46","TICKER",3,,"Valid")</f>
        <v>0.600 (12:14:42.793169)</v>
      </c>
      <c r="X38" s="15" t="s">
        <v>1061</v>
      </c>
      <c r="Y38" s="14" t="str">
        <f>_xll.PLContribFull(E38*100,"BID",X38,"Slot46","TICKER",3,,"Valid")</f>
        <v>-0.110 (12:14:42.792167)</v>
      </c>
      <c r="Z38" s="14" t="str">
        <f>_xll.PLContribFull(L38*100,"ASK",X38,"Slot46","TICKER",3,,"Valid")</f>
        <v>0.290 (12:14:42.785170)</v>
      </c>
      <c r="AA38" s="3" t="s">
        <v>1072</v>
      </c>
      <c r="AB38" s="14" t="str">
        <f>_xll.PLContribFull(F38*100,"BID",AA38,"Slot46","TICKER",3,,"Valid")</f>
        <v>-0.090 (12:14:42.791166)</v>
      </c>
      <c r="AC38" s="5" t="str">
        <f>_xll.PLContribFull(M38*100,"ASK",AA38,"Slot46","TICKER",3,,"Valid")</f>
        <v>0.710 (12:14:42.792167)</v>
      </c>
      <c r="AD38" s="16"/>
    </row>
    <row r="39" spans="1:30" s="1" customFormat="1" x14ac:dyDescent="0.2">
      <c r="A39" s="12" t="s">
        <v>11</v>
      </c>
      <c r="B39" s="11">
        <f>'G7 Cross Input'!Q36</f>
        <v>4.87E-2</v>
      </c>
      <c r="C39" s="11">
        <f>'G7 Cross Input'!R36</f>
        <v>-2.0999999999999999E-3</v>
      </c>
      <c r="D39" s="11">
        <f>'G7 Cross Input'!S36</f>
        <v>-4.1000000000000003E-3</v>
      </c>
      <c r="E39" s="11">
        <f>'G7 Cross Input'!T36</f>
        <v>-8.0000000000000015E-4</v>
      </c>
      <c r="F39" s="11">
        <f>'G7 Cross Input'!U36</f>
        <v>5.9999999999999984E-4</v>
      </c>
      <c r="H39" s="10" t="s">
        <v>11</v>
      </c>
      <c r="I39" s="11">
        <f>'G7 Cross Input'!X36</f>
        <v>5.11E-2</v>
      </c>
      <c r="J39" s="11">
        <f>'G7 Cross Input'!Y36</f>
        <v>2.9000000000000002E-3</v>
      </c>
      <c r="K39" s="11">
        <f>'G7 Cross Input'!Z36</f>
        <v>5.8999999999999999E-3</v>
      </c>
      <c r="L39" s="11">
        <f>'G7 Cross Input'!AA36</f>
        <v>3.1999999999999997E-3</v>
      </c>
      <c r="M39" s="11">
        <f>'G7 Cross Input'!AB36</f>
        <v>8.6E-3</v>
      </c>
      <c r="O39" s="3" t="s">
        <v>1029</v>
      </c>
      <c r="P39" s="14" t="str">
        <f>_xll.PLContribFull(B39*100,"BID",O39,"Slot46","TICKER",3,,"Valid")</f>
        <v>4.870 (12:14:42.792167)</v>
      </c>
      <c r="Q39" s="5" t="str">
        <f>_xll.PLContribFull(I39*100,"ASK",O39,"Slot46","TICKER",3,,"Valid")</f>
        <v>5.110 (12:14:42.785170)</v>
      </c>
      <c r="R39" s="15" t="s">
        <v>1039</v>
      </c>
      <c r="S39" s="14" t="str">
        <f>_xll.PLContribFull(C39*100,"BID",R39,"Slot46","TICKER",3,,"Valid")</f>
        <v>-0.210 (12:14:42.747168)</v>
      </c>
      <c r="T39" s="14" t="str">
        <f>_xll.PLContribFull(J39*100,"ASK",R39,"Slot46","TICKER",3,,"Valid")</f>
        <v>0.290 (12:14:42.795166)</v>
      </c>
      <c r="U39" s="3" t="s">
        <v>1051</v>
      </c>
      <c r="V39" s="14" t="str">
        <f>_xll.PLContribFull(D39*100,"BID",U39,"Slot46","TICKER",3,,"Valid")</f>
        <v>-0.410 (12:14:42.783166)</v>
      </c>
      <c r="W39" s="5" t="str">
        <f>_xll.PLContribFull(K39*100,"ASK",U39,"Slot46","TICKER",3,,"Valid")</f>
        <v>0.590 (12:14:42.742167)</v>
      </c>
      <c r="X39" s="15" t="s">
        <v>1062</v>
      </c>
      <c r="Y39" s="14" t="str">
        <f>_xll.PLContribFull(E39*100,"BID",X39,"Slot46","TICKER",3,,"Valid")</f>
        <v>-0.080 (12:14:42.788167)</v>
      </c>
      <c r="Z39" s="14" t="str">
        <f>_xll.PLContribFull(L39*100,"ASK",X39,"Slot46","TICKER",3,,"Valid")</f>
        <v>0.320 (12:14:42.798166)</v>
      </c>
      <c r="AA39" s="3" t="s">
        <v>1073</v>
      </c>
      <c r="AB39" s="14" t="str">
        <f>_xll.PLContribFull(F39*100,"BID",AA39,"Slot46","TICKER",3,,"Valid")</f>
        <v>0.060 (12:14:42.798166)</v>
      </c>
      <c r="AC39" s="5" t="str">
        <f>_xll.PLContribFull(M39*100,"ASK",AA39,"Slot46","TICKER",3,,"Valid")</f>
        <v>0.860 (12:14:42.793169)</v>
      </c>
      <c r="AD39" s="16"/>
    </row>
    <row r="40" spans="1:30" s="1" customFormat="1" x14ac:dyDescent="0.2">
      <c r="A40" s="12" t="s">
        <v>12</v>
      </c>
      <c r="B40" s="11">
        <f>'G7 Cross Input'!Q37</f>
        <v>4.9000000000000002E-2</v>
      </c>
      <c r="C40" s="11">
        <f>'G7 Cross Input'!R37</f>
        <v>-2E-3</v>
      </c>
      <c r="D40" s="11">
        <f>'G7 Cross Input'!S37</f>
        <v>-3.8999999999999998E-3</v>
      </c>
      <c r="E40" s="11">
        <f>'G7 Cross Input'!T37</f>
        <v>-7.000000000000001E-4</v>
      </c>
      <c r="F40" s="11">
        <f>'G7 Cross Input'!U37</f>
        <v>1E-3</v>
      </c>
      <c r="H40" s="10" t="s">
        <v>12</v>
      </c>
      <c r="I40" s="11">
        <f>'G7 Cross Input'!X37</f>
        <v>5.1199999999999996E-2</v>
      </c>
      <c r="J40" s="11">
        <f>'G7 Cross Input'!Y37</f>
        <v>3.0000000000000001E-3</v>
      </c>
      <c r="K40" s="11">
        <f>'G7 Cross Input'!Z37</f>
        <v>6.1000000000000004E-3</v>
      </c>
      <c r="L40" s="11">
        <f>'G7 Cross Input'!AA37</f>
        <v>3.3E-3</v>
      </c>
      <c r="M40" s="11">
        <f>'G7 Cross Input'!AB37</f>
        <v>9.0000000000000011E-3</v>
      </c>
      <c r="O40" s="3" t="s">
        <v>1030</v>
      </c>
      <c r="P40" s="14" t="str">
        <f>_xll.PLContribFull(B40*100,"BID",O40,"Slot46","TICKER",3,,"Valid")</f>
        <v>4.900 (12:14:42.789167)</v>
      </c>
      <c r="Q40" s="5" t="str">
        <f>_xll.PLContribFull(I40*100,"ASK",O40,"Slot46","TICKER",3,,"Valid")</f>
        <v>5.120 (12:14:42.797167)</v>
      </c>
      <c r="R40" s="15" t="s">
        <v>1040</v>
      </c>
      <c r="S40" s="14" t="str">
        <f>_xll.PLContribFull(C40*100,"BID",R40,"Slot46","TICKER",3,,"Valid")</f>
        <v>-0.200 (12:14:42.788167)</v>
      </c>
      <c r="T40" s="14" t="str">
        <f>_xll.PLContribFull(J40*100,"ASK",R40,"Slot46","TICKER",3,,"Valid")</f>
        <v>0.300 (12:14:42.788167)</v>
      </c>
      <c r="U40" s="3" t="s">
        <v>1052</v>
      </c>
      <c r="V40" s="14" t="str">
        <f>_xll.PLContribFull(D40*100,"BID",U40,"Slot46","TICKER",3,,"Valid")</f>
        <v>-0.390 (12:14:42.792167)</v>
      </c>
      <c r="W40" s="5" t="str">
        <f>_xll.PLContribFull(K40*100,"ASK",U40,"Slot46","TICKER",3,,"Valid")</f>
        <v>0.610 (12:14:42.748167)</v>
      </c>
      <c r="X40" s="15" t="s">
        <v>1063</v>
      </c>
      <c r="Y40" s="14" t="str">
        <f>_xll.PLContribFull(E40*100,"BID",X40,"Slot46","TICKER",3,,"Valid")</f>
        <v>-0.070 (12:14:42.798166)</v>
      </c>
      <c r="Z40" s="14" t="str">
        <f>_xll.PLContribFull(L40*100,"ASK",X40,"Slot46","TICKER",3,,"Valid")</f>
        <v>0.330 (12:14:42.796169)</v>
      </c>
      <c r="AA40" s="3" t="s">
        <v>1074</v>
      </c>
      <c r="AB40" s="14" t="str">
        <f>_xll.PLContribFull(F40*100,"BID",AA40,"Slot46","TICKER",3,,"Valid")</f>
        <v>0.100 (12:14:42.796169)</v>
      </c>
      <c r="AC40" s="5" t="str">
        <f>_xll.PLContribFull(M40*100,"ASK",AA40,"Slot46","TICKER",3,,"Valid")</f>
        <v>0.900 (12:14:42.792167)</v>
      </c>
      <c r="AD40" s="16"/>
    </row>
    <row r="41" spans="1:30" s="1" customFormat="1" x14ac:dyDescent="0.2">
      <c r="A41" s="12" t="s">
        <v>13</v>
      </c>
      <c r="B41" s="11">
        <f>'G7 Cross Input'!Q38</f>
        <v>4.9349999999999998E-2</v>
      </c>
      <c r="C41" s="11">
        <f>'G7 Cross Input'!R38</f>
        <v>-2E-3</v>
      </c>
      <c r="D41" s="11">
        <f>'G7 Cross Input'!S38</f>
        <v>-3.7000000000000002E-3</v>
      </c>
      <c r="E41" s="11">
        <f>'G7 Cross Input'!T38</f>
        <v>-5.9999999999999984E-4</v>
      </c>
      <c r="F41" s="11">
        <f>'G7 Cross Input'!U38</f>
        <v>1.5000000000000005E-3</v>
      </c>
      <c r="H41" s="10" t="s">
        <v>13</v>
      </c>
      <c r="I41" s="11">
        <f>'G7 Cross Input'!X38</f>
        <v>5.1649999999999995E-2</v>
      </c>
      <c r="J41" s="11">
        <f>'G7 Cross Input'!Y38</f>
        <v>3.0000000000000001E-3</v>
      </c>
      <c r="K41" s="11">
        <f>'G7 Cross Input'!Z38</f>
        <v>6.3E-3</v>
      </c>
      <c r="L41" s="11">
        <f>'G7 Cross Input'!AA38</f>
        <v>3.4000000000000002E-3</v>
      </c>
      <c r="M41" s="11">
        <f>'G7 Cross Input'!AB38</f>
        <v>9.5000000000000015E-3</v>
      </c>
      <c r="O41" s="3" t="s">
        <v>1031</v>
      </c>
      <c r="P41" s="14" t="str">
        <f>_xll.PLContribFull(B41*100,"BID",O41,"Slot46","TICKER",3,,"Valid")</f>
        <v>4.935 (12:14:42.783166)</v>
      </c>
      <c r="Q41" s="5" t="str">
        <f>_xll.PLContribFull(I41*100,"ASK",O41,"Slot46","TICKER",3,,"Valid")</f>
        <v>5.165 (12:14:42.784167)</v>
      </c>
      <c r="R41" s="15" t="s">
        <v>1041</v>
      </c>
      <c r="S41" s="14" t="str">
        <f>_xll.PLContribFull(C41*100,"BID",R41,"Slot46","TICKER",3,,"Valid")</f>
        <v>-0.200 (12:14:42.753167)</v>
      </c>
      <c r="T41" s="14" t="str">
        <f>_xll.PLContribFull(J41*100,"ASK",R41,"Slot46","TICKER",3,,"Valid")</f>
        <v>0.300 (12:14:42.790167)</v>
      </c>
      <c r="U41" s="3" t="s">
        <v>1053</v>
      </c>
      <c r="V41" s="14" t="str">
        <f>_xll.PLContribFull(D41*100,"BID",U41,"Slot46","TICKER",3,,"Valid")</f>
        <v>-0.370 (12:14:42.794168)</v>
      </c>
      <c r="W41" s="5" t="str">
        <f>_xll.PLContribFull(K41*100,"ASK",U41,"Slot46","TICKER",3,,"Valid")</f>
        <v>0.630 (12:14:42.796169)</v>
      </c>
      <c r="X41" s="15" t="s">
        <v>1064</v>
      </c>
      <c r="Y41" s="14" t="str">
        <f>_xll.PLContribFull(E41*100,"BID",X41,"Slot46","TICKER",3,,"Valid")</f>
        <v>-0.060 (12:14:42.749167)</v>
      </c>
      <c r="Z41" s="14" t="str">
        <f>_xll.PLContribFull(L41*100,"ASK",X41,"Slot46","TICKER",3,,"Valid")</f>
        <v>0.340 (12:14:42.745167)</v>
      </c>
      <c r="AA41" s="3" t="s">
        <v>1075</v>
      </c>
      <c r="AB41" s="14" t="str">
        <f>_xll.PLContribFull(F41*100,"BID",AA41,"Slot46","TICKER",3,,"Valid")</f>
        <v>0.150 (12:14:42.745167)</v>
      </c>
      <c r="AC41" s="5" t="str">
        <f>_xll.PLContribFull(M41*100,"ASK",AA41,"Slot46","TICKER",3,,"Valid")</f>
        <v>0.950 (12:14:42.789167)</v>
      </c>
      <c r="AD41" s="16"/>
    </row>
    <row r="42" spans="1:30" s="1" customFormat="1" x14ac:dyDescent="0.2">
      <c r="A42" s="12" t="s">
        <v>14</v>
      </c>
      <c r="B42" s="11">
        <f>'G7 Cross Input'!Q39</f>
        <v>4.8849999999999998E-2</v>
      </c>
      <c r="C42" s="11">
        <f>'G7 Cross Input'!R39</f>
        <v>-3.9000000000000007E-3</v>
      </c>
      <c r="D42" s="11">
        <f>'G7 Cross Input'!S39</f>
        <v>-7.6000000000000009E-3</v>
      </c>
      <c r="E42" s="11">
        <f>'G7 Cross Input'!T39</f>
        <v>-1.4E-3</v>
      </c>
      <c r="F42" s="11">
        <f>'G7 Cross Input'!U39</f>
        <v>-3.0000000000000079E-4</v>
      </c>
      <c r="H42" s="10" t="s">
        <v>14</v>
      </c>
      <c r="I42" s="11">
        <f>'G7 Cross Input'!X39</f>
        <v>5.2350000000000001E-2</v>
      </c>
      <c r="J42" s="11">
        <f>'G7 Cross Input'!Y39</f>
        <v>5.1000000000000004E-3</v>
      </c>
      <c r="K42" s="11">
        <f>'G7 Cross Input'!Z39</f>
        <v>1.0400000000000001E-2</v>
      </c>
      <c r="L42" s="11">
        <f>'G7 Cross Input'!AA39</f>
        <v>4.5999999999999999E-3</v>
      </c>
      <c r="M42" s="11">
        <f>'G7 Cross Input'!AB39</f>
        <v>1.1699999999999999E-2</v>
      </c>
      <c r="O42" s="3" t="s">
        <v>1032</v>
      </c>
      <c r="P42" s="14" t="str">
        <f>_xll.PLContribFull(B42*100,"BID",O42,"Slot46","TICKER",3,,"Valid")</f>
        <v>4.885 (12:14:42.787167)</v>
      </c>
      <c r="Q42" s="5" t="str">
        <f>_xll.PLContribFull(I42*100,"ASK",O42,"Slot46","TICKER",3,,"Valid")</f>
        <v>5.235 (12:14:42.781168)</v>
      </c>
      <c r="R42" s="15" t="s">
        <v>1042</v>
      </c>
      <c r="S42" s="14" t="str">
        <f>_xll.PLContribFull(C42*100,"BID",R42,"Slot46","TICKER",3,,"Valid")</f>
        <v>-0.390 (12:14:42.744167)</v>
      </c>
      <c r="T42" s="14" t="str">
        <f>_xll.PLContribFull(J42*100,"ASK",R42,"Slot46","TICKER",3,,"Valid")</f>
        <v>0.510 (12:14:42.791166)</v>
      </c>
      <c r="U42" s="3" t="s">
        <v>1054</v>
      </c>
      <c r="V42" s="14" t="str">
        <f>_xll.PLContribFull(D42*100,"BID",U42,"Slot46","TICKER",3,,"Valid")</f>
        <v>-0.760 (12:14:42.754169)</v>
      </c>
      <c r="W42" s="5" t="str">
        <f>_xll.PLContribFull(K42*100,"ASK",U42,"Slot46","TICKER",3,,"Valid")</f>
        <v>1.040 (12:14:42.785170)</v>
      </c>
      <c r="X42" s="15" t="s">
        <v>1065</v>
      </c>
      <c r="Y42" s="14" t="str">
        <f>_xll.PLContribFull(E42*100,"BID",X42,"Slot46","TICKER",3,,"Valid")</f>
        <v>-0.140 (12:14:42.788167)</v>
      </c>
      <c r="Z42" s="14" t="str">
        <f>_xll.PLContribFull(L42*100,"ASK",X42,"Slot46","TICKER",3,,"Valid")</f>
        <v>0.460 (12:14:42.796169)</v>
      </c>
      <c r="AA42" s="3" t="s">
        <v>1076</v>
      </c>
      <c r="AB42" s="14" t="str">
        <f>_xll.PLContribFull(F42*100,"BID",AA42,"Slot46","TICKER",3,,"Valid")</f>
        <v>-0.030 (12:14:42.793169)</v>
      </c>
      <c r="AC42" s="5" t="str">
        <f>_xll.PLContribFull(M42*100,"ASK",AA42,"Slot46","TICKER",3,,"Valid")</f>
        <v>1.170 (12:14:42.745167)</v>
      </c>
      <c r="AD42" s="16"/>
    </row>
    <row r="43" spans="1:30" s="1" customFormat="1" x14ac:dyDescent="0.2">
      <c r="A43" s="12" t="s">
        <v>876</v>
      </c>
      <c r="B43" s="11">
        <f>'G7 Cross Input'!Q40</f>
        <v>4.8599999999999997E-2</v>
      </c>
      <c r="C43" s="11">
        <f>'G7 Cross Input'!R40</f>
        <v>-4.1000000000000003E-3</v>
      </c>
      <c r="D43" s="11">
        <f>'G7 Cross Input'!S40</f>
        <v>-7.8000000000000014E-3</v>
      </c>
      <c r="E43" s="11">
        <f>'G7 Cross Input'!T40</f>
        <v>-1.4E-3</v>
      </c>
      <c r="F43" s="11">
        <f>'G7 Cross Input'!U40</f>
        <v>-2.0000000000000052E-4</v>
      </c>
      <c r="H43" s="10" t="s">
        <v>876</v>
      </c>
      <c r="I43" s="11">
        <f>'G7 Cross Input'!X40</f>
        <v>5.3399999999999996E-2</v>
      </c>
      <c r="J43" s="11">
        <f>'G7 Cross Input'!Y40</f>
        <v>4.9000000000000007E-3</v>
      </c>
      <c r="K43" s="11">
        <f>'G7 Cross Input'!Z40</f>
        <v>1.0200000000000001E-2</v>
      </c>
      <c r="L43" s="11">
        <f>'G7 Cross Input'!AA40</f>
        <v>4.5999999999999999E-3</v>
      </c>
      <c r="M43" s="11">
        <f>'G7 Cross Input'!AB40</f>
        <v>1.18E-2</v>
      </c>
      <c r="O43" s="3" t="s">
        <v>1033</v>
      </c>
      <c r="P43" s="14" t="str">
        <f>_xll.PLContribFull(B43*100,"BID",O43,"Slot46","TICKER",3,,"Valid")</f>
        <v>4.860 (12:14:42.795166)</v>
      </c>
      <c r="Q43" s="5" t="str">
        <f>_xll.PLContribFull(I43*100,"ASK",O43,"Slot46","TICKER",3,,"Valid")</f>
        <v>5.340 (12:14:42.786167)</v>
      </c>
      <c r="R43" s="15" t="s">
        <v>1043</v>
      </c>
      <c r="S43" s="14" t="str">
        <f>_xll.PLContribFull(C43*100,"BID",R43,"Slot46","TICKER",3,,"Valid")</f>
        <v>-0.410 (12:14:42.793169)</v>
      </c>
      <c r="T43" s="14" t="str">
        <f>_xll.PLContribFull(J43*100,"ASK",R43,"Slot46","TICKER",3,,"Valid")</f>
        <v>0.490 (12:14:42.780166)</v>
      </c>
      <c r="U43" s="3" t="s">
        <v>1055</v>
      </c>
      <c r="V43" s="14" t="str">
        <f>_xll.PLContribFull(D43*100,"BID",U43,"Slot46","TICKER",3,,"Valid")</f>
        <v>-0.780 (12:14:42.785170)</v>
      </c>
      <c r="W43" s="5" t="str">
        <f>_xll.PLContribFull(K43*100,"ASK",U43,"Slot46","TICKER",3,,"Valid")</f>
        <v>1.020 (12:14:42.786167)</v>
      </c>
      <c r="X43" s="15" t="s">
        <v>1066</v>
      </c>
      <c r="Y43" s="14" t="str">
        <f>_xll.PLContribFull(E43*100,"BID",X43,"Slot46","TICKER",3,,"Valid")</f>
        <v>-0.140 (12:14:42.786167)</v>
      </c>
      <c r="Z43" s="14" t="str">
        <f>_xll.PLContribFull(L43*100,"ASK",X43,"Slot46","TICKER",3,,"Valid")</f>
        <v>0.460 (12:14:42.792167)</v>
      </c>
      <c r="AA43" s="3" t="s">
        <v>1077</v>
      </c>
      <c r="AB43" s="14" t="str">
        <f>_xll.PLContribFull(F43*100,"BID",AA43,"Slot46","TICKER",3,,"Valid")</f>
        <v>-0.020 (12:14:42.754169)</v>
      </c>
      <c r="AC43" s="5" t="str">
        <f>_xll.PLContribFull(M43*100,"ASK",AA43,"Slot46","TICKER",3,,"Valid")</f>
        <v>1.180 (12:14:42.794168)</v>
      </c>
      <c r="AD43"/>
    </row>
    <row r="44" spans="1:30" s="1" customFormat="1" x14ac:dyDescent="0.2">
      <c r="A44" s="10"/>
      <c r="B44" s="10"/>
      <c r="C44" s="10"/>
      <c r="D44" s="10"/>
      <c r="E44" s="10"/>
      <c r="F44" s="10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8"/>
      <c r="AC44" s="18"/>
      <c r="AD44"/>
    </row>
    <row r="45" spans="1:30" s="1" customFormat="1" x14ac:dyDescent="0.25">
      <c r="A45" s="10"/>
      <c r="B45" s="10"/>
      <c r="C45" s="10"/>
      <c r="D45" s="10"/>
      <c r="E45" s="10"/>
      <c r="F45" s="10"/>
      <c r="P45" s="2"/>
      <c r="Q45" s="2"/>
      <c r="AD45"/>
    </row>
    <row r="46" spans="1:30" s="1" customFormat="1" x14ac:dyDescent="0.25">
      <c r="A46" s="10" t="s">
        <v>942</v>
      </c>
      <c r="B46" s="10"/>
      <c r="C46" s="10"/>
      <c r="D46" s="10"/>
      <c r="E46" s="10"/>
      <c r="F46" s="10"/>
      <c r="O46" s="3" t="s">
        <v>67</v>
      </c>
      <c r="P46" s="15" t="s">
        <v>68</v>
      </c>
      <c r="Q46" s="6"/>
      <c r="R46" s="15" t="s">
        <v>67</v>
      </c>
      <c r="S46" s="15" t="s">
        <v>68</v>
      </c>
      <c r="T46" s="15"/>
      <c r="U46" s="3" t="s">
        <v>67</v>
      </c>
      <c r="V46" s="15" t="s">
        <v>68</v>
      </c>
      <c r="W46" s="6"/>
      <c r="X46" s="15" t="s">
        <v>67</v>
      </c>
      <c r="Y46" s="15" t="s">
        <v>68</v>
      </c>
      <c r="Z46" s="15"/>
      <c r="AA46" s="3" t="s">
        <v>67</v>
      </c>
      <c r="AB46" s="15" t="s">
        <v>68</v>
      </c>
      <c r="AC46" s="6"/>
      <c r="AD46"/>
    </row>
    <row r="47" spans="1:30" s="1" customFormat="1" ht="14.25" x14ac:dyDescent="0.25">
      <c r="A47" s="12" t="s">
        <v>331</v>
      </c>
      <c r="B47" s="12" t="s">
        <v>0</v>
      </c>
      <c r="C47" s="12" t="s">
        <v>1</v>
      </c>
      <c r="D47" s="12" t="s">
        <v>2</v>
      </c>
      <c r="E47" s="12" t="s">
        <v>3</v>
      </c>
      <c r="F47" s="12" t="s">
        <v>4</v>
      </c>
      <c r="H47" s="10" t="s">
        <v>16</v>
      </c>
      <c r="I47" s="10" t="s">
        <v>0</v>
      </c>
      <c r="J47" s="10" t="s">
        <v>1</v>
      </c>
      <c r="K47" s="10" t="s">
        <v>2</v>
      </c>
      <c r="L47" s="10" t="s">
        <v>3</v>
      </c>
      <c r="M47" s="10" t="s">
        <v>4</v>
      </c>
      <c r="O47" s="3" t="s">
        <v>66</v>
      </c>
      <c r="P47" s="13" t="s">
        <v>15</v>
      </c>
      <c r="Q47" s="4" t="s">
        <v>16</v>
      </c>
      <c r="R47" s="15" t="s">
        <v>1</v>
      </c>
      <c r="S47" s="13" t="s">
        <v>15</v>
      </c>
      <c r="T47" s="13" t="s">
        <v>16</v>
      </c>
      <c r="U47" s="3" t="s">
        <v>2</v>
      </c>
      <c r="V47" s="13" t="s">
        <v>15</v>
      </c>
      <c r="W47" s="4" t="s">
        <v>16</v>
      </c>
      <c r="X47" s="15" t="s">
        <v>3</v>
      </c>
      <c r="Y47" s="13" t="s">
        <v>15</v>
      </c>
      <c r="Z47" s="13" t="s">
        <v>16</v>
      </c>
      <c r="AA47" s="3" t="s">
        <v>4</v>
      </c>
      <c r="AB47" s="13" t="s">
        <v>15</v>
      </c>
      <c r="AC47" s="4" t="s">
        <v>16</v>
      </c>
      <c r="AD47" s="2"/>
    </row>
    <row r="48" spans="1:30" s="1" customFormat="1" x14ac:dyDescent="0.2">
      <c r="A48" s="12" t="s">
        <v>5</v>
      </c>
      <c r="B48" s="11">
        <f>'G7 Cross Input'!Q44</f>
        <v>3.1099999999999996E-2</v>
      </c>
      <c r="C48" s="11">
        <f>'G7 Cross Input'!R44</f>
        <v>-3.7000000000000002E-3</v>
      </c>
      <c r="D48" s="11">
        <f>'G7 Cross Input'!S44</f>
        <v>-7.6E-3</v>
      </c>
      <c r="E48" s="11">
        <f>'G7 Cross Input'!T44</f>
        <v>-3.1000000000000003E-3</v>
      </c>
      <c r="F48" s="11">
        <f>'G7 Cross Input'!U44</f>
        <v>-4.8000000000000004E-3</v>
      </c>
      <c r="H48" s="10" t="s">
        <v>5</v>
      </c>
      <c r="I48" s="11">
        <f>'G7 Cross Input'!X44</f>
        <v>5.1499999999999997E-2</v>
      </c>
      <c r="J48" s="11">
        <f>'G7 Cross Input'!Y44</f>
        <v>8.3000000000000001E-3</v>
      </c>
      <c r="K48" s="11">
        <f>'G7 Cross Input'!Z44</f>
        <v>1.6400000000000001E-2</v>
      </c>
      <c r="L48" s="11">
        <f>'G7 Cross Input'!AA44</f>
        <v>4.8999999999999998E-3</v>
      </c>
      <c r="M48" s="11">
        <f>'G7 Cross Input'!AB44</f>
        <v>1.12E-2</v>
      </c>
      <c r="O48" s="3" t="s">
        <v>1078</v>
      </c>
      <c r="P48" s="14" t="str">
        <f>_xll.PLContribFull(B48*100,"BID",O48,"Slot46","TICKER",3,,"Valid")</f>
        <v>3.110 (12:14:42.788167)</v>
      </c>
      <c r="Q48" s="5" t="str">
        <f>_xll.PLContribFull(I48*100,"ASK",O48,"Slot46","TICKER",3,,"Valid")</f>
        <v>5.150 (12:14:42.793169)</v>
      </c>
      <c r="R48" s="15" t="s">
        <v>1089</v>
      </c>
      <c r="S48" s="14" t="str">
        <f>_xll.PLContribFull(C48*100,"BID",R48,"Slot46","TICKER",3,,"Valid")</f>
        <v>-0.370 (12:14:42.750168)</v>
      </c>
      <c r="T48" s="14" t="str">
        <f>_xll.PLContribFull(J48*100,"ASK",R48,"Slot46","TICKER",3,,"Valid")</f>
        <v>0.830 (12:14:42.787167)</v>
      </c>
      <c r="U48" s="3" t="s">
        <v>1100</v>
      </c>
      <c r="V48" s="14" t="str">
        <f>_xll.PLContribFull(D48*100,"BID",U48,"Slot46","TICKER",3,,"Valid")</f>
        <v>-0.760 (12:14:42.787167)</v>
      </c>
      <c r="W48" s="5" t="str">
        <f>_xll.PLContribFull(K48*100,"ASK",U48,"Slot46","TICKER",3,,"Valid")</f>
        <v>1.640 (12:14:42.782167)</v>
      </c>
      <c r="X48" s="15" t="s">
        <v>1111</v>
      </c>
      <c r="Y48" s="14" t="str">
        <f>_xll.PLContribFull(E48*100,"BID",X48,"Slot46","TICKER",3,,"Valid")</f>
        <v>-0.310 (12:14:42.792167)</v>
      </c>
      <c r="Z48" s="14" t="str">
        <f>_xll.PLContribFull(L48*100,"ASK",X48,"Slot46","TICKER",3,,"Valid")</f>
        <v>0.490 (12:14:42.797167)</v>
      </c>
      <c r="AA48" s="3" t="s">
        <v>1122</v>
      </c>
      <c r="AB48" s="14" t="str">
        <f>_xll.PLContribFull(F48*100,"BID",AA48,"Slot46","TICKER",3,,"Valid")</f>
        <v>-0.480 (12:14:42.791166)</v>
      </c>
      <c r="AC48" s="5" t="str">
        <f>_xll.PLContribFull(M48*100,"ASK",AA48,"Slot46","TICKER",3,,"Valid")</f>
        <v>1.120 (12:14:42.795166)</v>
      </c>
      <c r="AD48" s="16"/>
    </row>
    <row r="49" spans="1:30" s="1" customFormat="1" x14ac:dyDescent="0.2">
      <c r="A49" s="12" t="s">
        <v>6</v>
      </c>
      <c r="B49" s="11">
        <f>'G7 Cross Input'!Q45</f>
        <v>3.465E-2</v>
      </c>
      <c r="C49" s="11">
        <f>'G7 Cross Input'!R45</f>
        <v>0</v>
      </c>
      <c r="D49" s="11">
        <f>'G7 Cross Input'!S45</f>
        <v>-4.9999999999999958E-4</v>
      </c>
      <c r="E49" s="11">
        <f>'G7 Cross Input'!T45</f>
        <v>-1.1000000000000001E-3</v>
      </c>
      <c r="F49" s="11">
        <f>'G7 Cross Input'!U45</f>
        <v>-1E-3</v>
      </c>
      <c r="H49" s="10" t="s">
        <v>6</v>
      </c>
      <c r="I49" s="11">
        <f>'G7 Cross Input'!X45</f>
        <v>4.3149999999999994E-2</v>
      </c>
      <c r="J49" s="11">
        <f>'G7 Cross Input'!Y45</f>
        <v>5.0000000000000001E-3</v>
      </c>
      <c r="K49" s="11">
        <f>'G7 Cross Input'!Z45</f>
        <v>9.5000000000000015E-3</v>
      </c>
      <c r="L49" s="11">
        <f>'G7 Cross Input'!AA45</f>
        <v>2.8999999999999998E-3</v>
      </c>
      <c r="M49" s="11">
        <f>'G7 Cross Input'!AB45</f>
        <v>7.0000000000000001E-3</v>
      </c>
      <c r="O49" s="3" t="s">
        <v>1079</v>
      </c>
      <c r="P49" s="14" t="str">
        <f>_xll.PLContribFull(B49*100,"BID",O49,"Slot46","TICKER",3,,"Valid")</f>
        <v>3.465 (12:14:42.792167)</v>
      </c>
      <c r="Q49" s="5" t="str">
        <f>_xll.PLContribFull(I49*100,"ASK",O49,"Slot46","TICKER",3,,"Valid")</f>
        <v>4.315 (12:14:42.788167)</v>
      </c>
      <c r="R49" s="15" t="s">
        <v>1090</v>
      </c>
      <c r="S49" s="14" t="str">
        <f>_xll.PLContribFull(C49*100,"BID",R49,"Slot46","TICKER",3,,"Valid")</f>
        <v>0.000 (12:14:42.791166)</v>
      </c>
      <c r="T49" s="14" t="str">
        <f>_xll.PLContribFull(J49*100,"ASK",R49,"Slot46","TICKER",3,,"Valid")</f>
        <v>0.500 (12:14:42.796169)</v>
      </c>
      <c r="U49" s="3" t="s">
        <v>1101</v>
      </c>
      <c r="V49" s="14" t="str">
        <f>_xll.PLContribFull(D49*100,"BID",U49,"Slot46","TICKER",3,,"Valid")</f>
        <v>-0.050 (12:14:42.798166)</v>
      </c>
      <c r="W49" s="5" t="str">
        <f>_xll.PLContribFull(K49*100,"ASK",U49,"Slot46","TICKER",3,,"Valid")</f>
        <v>0.950 (12:14:42.741170)</v>
      </c>
      <c r="X49" s="15" t="s">
        <v>1112</v>
      </c>
      <c r="Y49" s="14" t="str">
        <f>_xll.PLContribFull(E49*100,"BID",X49,"Slot46","TICKER",3,,"Valid")</f>
        <v>-0.110 (12:14:42.782167)</v>
      </c>
      <c r="Z49" s="14" t="str">
        <f>_xll.PLContribFull(L49*100,"ASK",X49,"Slot46","TICKER",3,,"Valid")</f>
        <v>0.290 (12:14:42.782167)</v>
      </c>
      <c r="AA49" s="3" t="s">
        <v>1123</v>
      </c>
      <c r="AB49" s="14" t="str">
        <f>_xll.PLContribFull(F49*100,"BID",AA49,"Slot46","TICKER",3,,"Valid")</f>
        <v>-0.100 (12:14:42.740168)</v>
      </c>
      <c r="AC49" s="5" t="str">
        <f>_xll.PLContribFull(M49*100,"ASK",AA49,"Slot46","TICKER",3,,"Valid")</f>
        <v>0.700 (12:14:42.787167)</v>
      </c>
      <c r="AD49" s="16"/>
    </row>
    <row r="50" spans="1:30" s="1" customFormat="1" x14ac:dyDescent="0.2">
      <c r="A50" s="12" t="s">
        <v>7</v>
      </c>
      <c r="B50" s="11">
        <f>'G7 Cross Input'!Q46</f>
        <v>3.7549999999999993E-2</v>
      </c>
      <c r="C50" s="11">
        <f>'G7 Cross Input'!R46</f>
        <v>7.000000000000001E-4</v>
      </c>
      <c r="D50" s="11">
        <f>'G7 Cross Input'!S46</f>
        <v>1E-3</v>
      </c>
      <c r="E50" s="11">
        <f>'G7 Cross Input'!T46</f>
        <v>-5.0000000000000001E-4</v>
      </c>
      <c r="F50" s="11">
        <f>'G7 Cross Input'!U46</f>
        <v>2.0000000000000009E-4</v>
      </c>
      <c r="H50" s="10" t="s">
        <v>7</v>
      </c>
      <c r="I50" s="11">
        <f>'G7 Cross Input'!X46</f>
        <v>4.2849999999999992E-2</v>
      </c>
      <c r="J50" s="11">
        <f>'G7 Cross Input'!Y46</f>
        <v>4.7000000000000002E-3</v>
      </c>
      <c r="K50" s="11">
        <f>'G7 Cross Input'!Z46</f>
        <v>9.0000000000000011E-3</v>
      </c>
      <c r="L50" s="11">
        <f>'G7 Cross Input'!AA46</f>
        <v>2.5000000000000001E-3</v>
      </c>
      <c r="M50" s="11">
        <f>'G7 Cross Input'!AB46</f>
        <v>6.2000000000000006E-3</v>
      </c>
      <c r="O50" s="3" t="s">
        <v>1080</v>
      </c>
      <c r="P50" s="14" t="str">
        <f>_xll.PLContribFull(B50*100,"BID",O50,"Slot46","TICKER",3,,"Valid")</f>
        <v>3.755 (12:14:42.786167)</v>
      </c>
      <c r="Q50" s="5" t="str">
        <f>_xll.PLContribFull(I50*100,"ASK",O50,"Slot46","TICKER",3,,"Valid")</f>
        <v>4.285 (12:14:42.796169)</v>
      </c>
      <c r="R50" s="15" t="s">
        <v>1091</v>
      </c>
      <c r="S50" s="14" t="str">
        <f>_xll.PLContribFull(C50*100,"BID",R50,"Slot46","TICKER",3,,"Valid")</f>
        <v>0.070 (12:14:42.794168)</v>
      </c>
      <c r="T50" s="14" t="str">
        <f>_xll.PLContribFull(J50*100,"ASK",R50,"Slot46","TICKER",3,,"Valid")</f>
        <v>0.470 (12:14:42.785170)</v>
      </c>
      <c r="U50" s="3" t="s">
        <v>1102</v>
      </c>
      <c r="V50" s="14" t="str">
        <f>_xll.PLContribFull(D50*100,"BID",U50,"Slot46","TICKER",3,,"Valid")</f>
        <v>0.100 (12:14:42.786167)</v>
      </c>
      <c r="W50" s="5" t="str">
        <f>_xll.PLContribFull(K50*100,"ASK",U50,"Slot46","TICKER",3,,"Valid")</f>
        <v>0.900 (12:14:42.786167)</v>
      </c>
      <c r="X50" s="15" t="s">
        <v>1113</v>
      </c>
      <c r="Y50" s="14" t="str">
        <f>_xll.PLContribFull(E50*100,"BID",X50,"Slot46","TICKER",3,,"Valid")</f>
        <v>-0.050 (12:14:42.786167)</v>
      </c>
      <c r="Z50" s="14" t="str">
        <f>_xll.PLContribFull(L50*100,"ASK",X50,"Slot46","TICKER",3,,"Valid")</f>
        <v>0.250 (12:14:42.790167)</v>
      </c>
      <c r="AA50" s="3" t="s">
        <v>1124</v>
      </c>
      <c r="AB50" s="14" t="str">
        <f>_xll.PLContribFull(F50*100,"BID",AA50,"Slot46","TICKER",3,,"Valid")</f>
        <v>0.020 (12:14:42.794168)</v>
      </c>
      <c r="AC50" s="5" t="str">
        <f>_xll.PLContribFull(M50*100,"ASK",AA50,"Slot46","TICKER",3,,"Valid")</f>
        <v>0.620 (12:14:42.783166)</v>
      </c>
      <c r="AD50" s="16"/>
    </row>
    <row r="51" spans="1:30" s="1" customFormat="1" x14ac:dyDescent="0.2">
      <c r="A51" s="12" t="s">
        <v>8</v>
      </c>
      <c r="B51" s="11">
        <f>'G7 Cross Input'!Q47</f>
        <v>4.5199999999999997E-2</v>
      </c>
      <c r="C51" s="11">
        <f>'G7 Cross Input'!R47</f>
        <v>1.9999999999999996E-3</v>
      </c>
      <c r="D51" s="11">
        <f>'G7 Cross Input'!S47</f>
        <v>3.9999999999999992E-3</v>
      </c>
      <c r="E51" s="11">
        <f>'G7 Cross Input'!T47</f>
        <v>1.9999999999999987E-4</v>
      </c>
      <c r="F51" s="11">
        <f>'G7 Cross Input'!U47</f>
        <v>1.9000000000000002E-3</v>
      </c>
      <c r="H51" s="10" t="s">
        <v>8</v>
      </c>
      <c r="I51" s="11">
        <f>'G7 Cross Input'!X47</f>
        <v>4.8399999999999992E-2</v>
      </c>
      <c r="J51" s="11">
        <f>'G7 Cross Input'!Y47</f>
        <v>4.9999999999999992E-3</v>
      </c>
      <c r="K51" s="11">
        <f>'G7 Cross Input'!Z47</f>
        <v>9.9999999999999985E-3</v>
      </c>
      <c r="L51" s="11">
        <f>'G7 Cross Input'!AA47</f>
        <v>2.1999999999999997E-3</v>
      </c>
      <c r="M51" s="11">
        <f>'G7 Cross Input'!AB47</f>
        <v>5.9000000000000007E-3</v>
      </c>
      <c r="O51" s="3" t="s">
        <v>1081</v>
      </c>
      <c r="P51" s="14" t="str">
        <f>_xll.PLContribFull(B51*100,"BID",O51,"Slot46","TICKER",3,,"Valid")</f>
        <v>4.520 (12:14:42.792167)</v>
      </c>
      <c r="Q51" s="5" t="str">
        <f>_xll.PLContribFull(I51*100,"ASK",O51,"Slot46","TICKER",3,,"Valid")</f>
        <v>4.840 (12:14:42.798166)</v>
      </c>
      <c r="R51" s="15" t="s">
        <v>1099</v>
      </c>
      <c r="S51" s="14" t="str">
        <f>_xll.PLContribFull(C51*100,"BID",R51,"Slot46","TICKER",3,,"Valid")</f>
        <v>0.200 (12:14:42.787167)</v>
      </c>
      <c r="T51" s="14" t="str">
        <f>_xll.PLContribFull(J51*100,"ASK",R51,"Slot46","TICKER",3,,"Valid")</f>
        <v>0.500 (12:14:42.791166)</v>
      </c>
      <c r="U51" s="3" t="s">
        <v>1103</v>
      </c>
      <c r="V51" s="14" t="str">
        <f>_xll.PLContribFull(D51*100,"BID",U51,"Slot46","TICKER",3,,"Valid")</f>
        <v>0.400 (12:14:42.781168)</v>
      </c>
      <c r="W51" s="5" t="str">
        <f>_xll.PLContribFull(K51*100,"ASK",U51,"Slot46","TICKER",3,,"Valid")</f>
        <v>1.000 (12:14:42.799167)</v>
      </c>
      <c r="X51" s="15" t="s">
        <v>1114</v>
      </c>
      <c r="Y51" s="14" t="str">
        <f>_xll.PLContribFull(E51*100,"BID",X51,"Slot46","TICKER",3,,"Valid")</f>
        <v>0.020 (12:14:42.791166)</v>
      </c>
      <c r="Z51" s="14" t="str">
        <f>_xll.PLContribFull(L51*100,"ASK",X51,"Slot46","TICKER",3,,"Valid")</f>
        <v>0.220 (12:14:42.782167)</v>
      </c>
      <c r="AA51" s="3" t="s">
        <v>1125</v>
      </c>
      <c r="AB51" s="14" t="str">
        <f>_xll.PLContribFull(F51*100,"BID",AA51,"Slot46","TICKER",3,,"Valid")</f>
        <v>0.190 (12:14:42.783166)</v>
      </c>
      <c r="AC51" s="5" t="str">
        <f>_xll.PLContribFull(M51*100,"ASK",AA51,"Slot46","TICKER",3,,"Valid")</f>
        <v>0.590 (12:14:42.796169)</v>
      </c>
      <c r="AD51" s="16"/>
    </row>
    <row r="52" spans="1:30" s="1" customFormat="1" x14ac:dyDescent="0.2">
      <c r="A52" s="12" t="s">
        <v>9</v>
      </c>
      <c r="B52" s="11">
        <f>'G7 Cross Input'!Q48</f>
        <v>4.8050000000000002E-2</v>
      </c>
      <c r="C52" s="11">
        <f>'G7 Cross Input'!R48</f>
        <v>2.5999999999999994E-3</v>
      </c>
      <c r="D52" s="11">
        <f>'G7 Cross Input'!S48</f>
        <v>5.1999999999999989E-3</v>
      </c>
      <c r="E52" s="11">
        <f>'G7 Cross Input'!T48</f>
        <v>4.0000000000000018E-4</v>
      </c>
      <c r="F52" s="11">
        <f>'G7 Cross Input'!U48</f>
        <v>2.6999999999999993E-3</v>
      </c>
      <c r="H52" s="10" t="s">
        <v>9</v>
      </c>
      <c r="I52" s="11">
        <f>'G7 Cross Input'!X48</f>
        <v>5.0950000000000002E-2</v>
      </c>
      <c r="J52" s="11">
        <f>'G7 Cross Input'!Y48</f>
        <v>5.5999999999999991E-3</v>
      </c>
      <c r="K52" s="11">
        <f>'G7 Cross Input'!Z48</f>
        <v>1.1199999999999998E-2</v>
      </c>
      <c r="L52" s="11">
        <f>'G7 Cross Input'!AA48</f>
        <v>2.4000000000000002E-3</v>
      </c>
      <c r="M52" s="11">
        <f>'G7 Cross Input'!AB48</f>
        <v>6.6999999999999994E-3</v>
      </c>
      <c r="O52" s="3" t="s">
        <v>1082</v>
      </c>
      <c r="P52" s="14" t="str">
        <f>_xll.PLContribFull(B52*100,"BID",O52,"Slot46","TICKER",3,,"Valid")</f>
        <v>4.805 (12:14:42.792167)</v>
      </c>
      <c r="Q52" s="5" t="str">
        <f>_xll.PLContribFull(I52*100,"ASK",O52,"Slot46","TICKER",3,,"Valid")</f>
        <v>5.095 (12:14:42.792167)</v>
      </c>
      <c r="R52" s="15" t="s">
        <v>1092</v>
      </c>
      <c r="S52" s="14" t="str">
        <f>_xll.PLContribFull(C52*100,"BID",R52,"Slot46","TICKER",3,,"Valid")</f>
        <v>0.260 (12:14:42.788167)</v>
      </c>
      <c r="T52" s="14" t="str">
        <f>_xll.PLContribFull(J52*100,"ASK",R52,"Slot46","TICKER",3,,"Valid")</f>
        <v>0.560 (12:14:42.795166)</v>
      </c>
      <c r="U52" s="3" t="s">
        <v>1104</v>
      </c>
      <c r="V52" s="14" t="str">
        <f>_xll.PLContribFull(D52*100,"BID",U52,"Slot46","TICKER",3,,"Valid")</f>
        <v>0.520 (12:14:42.785170)</v>
      </c>
      <c r="W52" s="5" t="str">
        <f>_xll.PLContribFull(K52*100,"ASK",U52,"Slot46","TICKER",3,,"Valid")</f>
        <v>1.120 (12:14:42.753167)</v>
      </c>
      <c r="X52" s="15" t="s">
        <v>1115</v>
      </c>
      <c r="Y52" s="14" t="str">
        <f>_xll.PLContribFull(E52*100,"BID",X52,"Slot46","TICKER",3,,"Valid")</f>
        <v>0.040 (12:14:42.781168)</v>
      </c>
      <c r="Z52" s="14" t="str">
        <f>_xll.PLContribFull(L52*100,"ASK",X52,"Slot46","TICKER",3,,"Valid")</f>
        <v>0.240 (12:14:42.795166)</v>
      </c>
      <c r="AA52" s="3" t="s">
        <v>1126</v>
      </c>
      <c r="AB52" s="14" t="str">
        <f>_xll.PLContribFull(F52*100,"BID",AA52,"Slot46","TICKER",3,,"Valid")</f>
        <v>0.270 (12:14:42.781168)</v>
      </c>
      <c r="AC52" s="5" t="str">
        <f>_xll.PLContribFull(M52*100,"ASK",AA52,"Slot46","TICKER",3,,"Valid")</f>
        <v>0.670 (12:14:42.780166)</v>
      </c>
      <c r="AD52" s="16"/>
    </row>
    <row r="53" spans="1:30" s="1" customFormat="1" x14ac:dyDescent="0.2">
      <c r="A53" s="12" t="s">
        <v>10</v>
      </c>
      <c r="B53" s="11">
        <f>'G7 Cross Input'!Q49</f>
        <v>5.0349999999999992E-2</v>
      </c>
      <c r="C53" s="11">
        <f>'G7 Cross Input'!R49</f>
        <v>3.0999999999999999E-3</v>
      </c>
      <c r="D53" s="11">
        <f>'G7 Cross Input'!S49</f>
        <v>6.3999999999999986E-3</v>
      </c>
      <c r="E53" s="11">
        <f>'G7 Cross Input'!T49</f>
        <v>6.0000000000000006E-4</v>
      </c>
      <c r="F53" s="11">
        <f>'G7 Cross Input'!U49</f>
        <v>3.5000000000000005E-3</v>
      </c>
      <c r="H53" s="10" t="s">
        <v>10</v>
      </c>
      <c r="I53" s="11">
        <f>'G7 Cross Input'!X49</f>
        <v>5.3449999999999998E-2</v>
      </c>
      <c r="J53" s="11">
        <f>'G7 Cross Input'!Y49</f>
        <v>6.0999999999999995E-3</v>
      </c>
      <c r="K53" s="11">
        <f>'G7 Cross Input'!Z49</f>
        <v>1.2399999999999998E-2</v>
      </c>
      <c r="L53" s="11">
        <f>'G7 Cross Input'!AA49</f>
        <v>2.5999999999999999E-3</v>
      </c>
      <c r="M53" s="11">
        <f>'G7 Cross Input'!AB49</f>
        <v>7.5000000000000006E-3</v>
      </c>
      <c r="O53" s="3" t="s">
        <v>1083</v>
      </c>
      <c r="P53" s="14" t="str">
        <f>_xll.PLContribFull(B53*100,"BID",O53,"Slot46","TICKER",3,,"Valid")</f>
        <v>5.035 (12:14:42.783166)</v>
      </c>
      <c r="Q53" s="5" t="str">
        <f>_xll.PLContribFull(I53*100,"ASK",O53,"Slot46","TICKER",3,,"Valid")</f>
        <v>5.345 (12:14:42.799167)</v>
      </c>
      <c r="R53" s="15" t="s">
        <v>1093</v>
      </c>
      <c r="S53" s="14" t="str">
        <f>_xll.PLContribFull(C53*100,"BID",R53,"Slot46","TICKER",3,,"Valid")</f>
        <v>0.310 (12:14:42.789167)</v>
      </c>
      <c r="T53" s="14" t="str">
        <f>_xll.PLContribFull(J53*100,"ASK",R53,"Slot46","TICKER",3,,"Valid")</f>
        <v>0.610 (12:14:42.799167)</v>
      </c>
      <c r="U53" s="3" t="s">
        <v>1105</v>
      </c>
      <c r="V53" s="14" t="str">
        <f>_xll.PLContribFull(D53*100,"BID",U53,"Slot46","TICKER",3,,"Valid")</f>
        <v>0.640 (12:14:42.795166)</v>
      </c>
      <c r="W53" s="5" t="str">
        <f>_xll.PLContribFull(K53*100,"ASK",U53,"Slot46","TICKER",3,,"Valid")</f>
        <v>1.240 (12:14:42.753167)</v>
      </c>
      <c r="X53" s="15" t="s">
        <v>1116</v>
      </c>
      <c r="Y53" s="14" t="str">
        <f>_xll.PLContribFull(E53*100,"BID",X53,"Slot46","TICKER",3,,"Valid")</f>
        <v>0.060 (12:14:42.742167)</v>
      </c>
      <c r="Z53" s="14" t="str">
        <f>_xll.PLContribFull(L53*100,"ASK",X53,"Slot46","TICKER",3,,"Valid")</f>
        <v>0.260 (12:14:42.797167)</v>
      </c>
      <c r="AA53" s="3" t="s">
        <v>1127</v>
      </c>
      <c r="AB53" s="14" t="str">
        <f>_xll.PLContribFull(F53*100,"BID",AA53,"Slot46","TICKER",3,,"Valid")</f>
        <v>0.350 (12:14:42.796169)</v>
      </c>
      <c r="AC53" s="5" t="str">
        <f>_xll.PLContribFull(M53*100,"ASK",AA53,"Slot46","TICKER",3,,"Valid")</f>
        <v>0.750 (12:14:42.781168)</v>
      </c>
      <c r="AD53" s="16"/>
    </row>
    <row r="54" spans="1:30" s="1" customFormat="1" x14ac:dyDescent="0.2">
      <c r="A54" s="12" t="s">
        <v>11</v>
      </c>
      <c r="B54" s="11">
        <f>'G7 Cross Input'!Q50</f>
        <v>5.4449999999999998E-2</v>
      </c>
      <c r="C54" s="11">
        <f>'G7 Cross Input'!R50</f>
        <v>3.9000000000000003E-3</v>
      </c>
      <c r="D54" s="11">
        <f>'G7 Cross Input'!S50</f>
        <v>8.2000000000000024E-3</v>
      </c>
      <c r="E54" s="11">
        <f>'G7 Cross Input'!T50</f>
        <v>1.0999999999999998E-3</v>
      </c>
      <c r="F54" s="11">
        <f>'G7 Cross Input'!U50</f>
        <v>5.1999999999999998E-3</v>
      </c>
      <c r="H54" s="10" t="s">
        <v>11</v>
      </c>
      <c r="I54" s="11">
        <f>'G7 Cross Input'!X50</f>
        <v>5.8149999999999993E-2</v>
      </c>
      <c r="J54" s="11">
        <f>'G7 Cross Input'!Y50</f>
        <v>6.8999999999999999E-3</v>
      </c>
      <c r="K54" s="11">
        <f>'G7 Cross Input'!Z50</f>
        <v>1.4200000000000001E-2</v>
      </c>
      <c r="L54" s="11">
        <f>'G7 Cross Input'!AA50</f>
        <v>3.0999999999999999E-3</v>
      </c>
      <c r="M54" s="11">
        <f>'G7 Cross Input'!AB50</f>
        <v>9.1999999999999998E-3</v>
      </c>
      <c r="O54" s="3" t="s">
        <v>1084</v>
      </c>
      <c r="P54" s="14" t="str">
        <f>_xll.PLContribFull(B54*100,"BID",O54,"Slot46","TICKER",3,,"Valid")</f>
        <v>5.445 (12:14:42.788167)</v>
      </c>
      <c r="Q54" s="5" t="str">
        <f>_xll.PLContribFull(I54*100,"ASK",O54,"Slot46","TICKER",3,,"Valid")</f>
        <v>5.815 (12:14:42.790167)</v>
      </c>
      <c r="R54" s="15" t="s">
        <v>1094</v>
      </c>
      <c r="S54" s="14" t="str">
        <f>_xll.PLContribFull(C54*100,"BID",R54,"Slot46","TICKER",3,,"Valid")</f>
        <v>0.390 (12:14:42.747168)</v>
      </c>
      <c r="T54" s="14" t="str">
        <f>_xll.PLContribFull(J54*100,"ASK",R54,"Slot46","TICKER",3,,"Valid")</f>
        <v>0.690 (12:14:42.798166)</v>
      </c>
      <c r="U54" s="3" t="s">
        <v>1106</v>
      </c>
      <c r="V54" s="14" t="str">
        <f>_xll.PLContribFull(D54*100,"BID",U54,"Slot46","TICKER",3,,"Valid")</f>
        <v>0.820 (12:14:42.786167)</v>
      </c>
      <c r="W54" s="5" t="str">
        <f>_xll.PLContribFull(K54*100,"ASK",U54,"Slot46","TICKER",3,,"Valid")</f>
        <v>1.420 (12:14:42.789167)</v>
      </c>
      <c r="X54" s="15" t="s">
        <v>1117</v>
      </c>
      <c r="Y54" s="14" t="str">
        <f>_xll.PLContribFull(E54*100,"BID",X54,"Slot46","TICKER",3,,"Valid")</f>
        <v>0.110 (12:14:42.789167)</v>
      </c>
      <c r="Z54" s="14" t="str">
        <f>_xll.PLContribFull(L54*100,"ASK",X54,"Slot46","TICKER",3,,"Valid")</f>
        <v>0.310 (12:14:42.780166)</v>
      </c>
      <c r="AA54" s="3" t="s">
        <v>1128</v>
      </c>
      <c r="AB54" s="14" t="str">
        <f>_xll.PLContribFull(F54*100,"BID",AA54,"Slot46","TICKER",3,,"Valid")</f>
        <v>0.520 (12:14:42.798166)</v>
      </c>
      <c r="AC54" s="5" t="str">
        <f>_xll.PLContribFull(M54*100,"ASK",AA54,"Slot46","TICKER",3,,"Valid")</f>
        <v>0.920 (12:14:42.798166)</v>
      </c>
      <c r="AD54" s="16"/>
    </row>
    <row r="55" spans="1:30" s="1" customFormat="1" x14ac:dyDescent="0.2">
      <c r="A55" s="12" t="s">
        <v>12</v>
      </c>
      <c r="B55" s="11">
        <f>'G7 Cross Input'!Q51</f>
        <v>5.9249999999999997E-2</v>
      </c>
      <c r="C55" s="11">
        <f>'G7 Cross Input'!R51</f>
        <v>4.8999999999999998E-3</v>
      </c>
      <c r="D55" s="11">
        <f>'G7 Cross Input'!S51</f>
        <v>1.04E-2</v>
      </c>
      <c r="E55" s="11">
        <f>'G7 Cross Input'!T51</f>
        <v>1.2999999999999999E-3</v>
      </c>
      <c r="F55" s="11">
        <f>'G7 Cross Input'!U51</f>
        <v>6.0000000000000001E-3</v>
      </c>
      <c r="H55" s="10" t="s">
        <v>12</v>
      </c>
      <c r="I55" s="11">
        <f>'G7 Cross Input'!X51</f>
        <v>6.275E-2</v>
      </c>
      <c r="J55" s="11">
        <f>'G7 Cross Input'!Y51</f>
        <v>7.9000000000000008E-3</v>
      </c>
      <c r="K55" s="11">
        <f>'G7 Cross Input'!Z51</f>
        <v>1.6400000000000001E-2</v>
      </c>
      <c r="L55" s="11">
        <f>'G7 Cross Input'!AA51</f>
        <v>3.3E-3</v>
      </c>
      <c r="M55" s="11">
        <f>'G7 Cross Input'!AB51</f>
        <v>0.01</v>
      </c>
      <c r="O55" s="3" t="s">
        <v>1085</v>
      </c>
      <c r="P55" s="14" t="str">
        <f>_xll.PLContribFull(B55*100,"BID",O55,"Slot46","TICKER",3,,"Valid")</f>
        <v>5.925 (12:14:42.794168)</v>
      </c>
      <c r="Q55" s="5" t="str">
        <f>_xll.PLContribFull(I55*100,"ASK",O55,"Slot46","TICKER",3,,"Valid")</f>
        <v>6.275 (12:14:42.794168)</v>
      </c>
      <c r="R55" s="15" t="s">
        <v>1095</v>
      </c>
      <c r="S55" s="14" t="str">
        <f>_xll.PLContribFull(C55*100,"BID",R55,"Slot46","TICKER",3,,"Valid")</f>
        <v>0.490 (12:14:42.755167)</v>
      </c>
      <c r="T55" s="14" t="str">
        <f>_xll.PLContribFull(J55*100,"ASK",R55,"Slot46","TICKER",3,,"Valid")</f>
        <v>0.790 (12:14:42.791166)</v>
      </c>
      <c r="U55" s="3" t="s">
        <v>1107</v>
      </c>
      <c r="V55" s="14" t="str">
        <f>_xll.PLContribFull(D55*100,"BID",U55,"Slot46","TICKER",3,,"Valid")</f>
        <v>1.040 (12:14:42.752166)</v>
      </c>
      <c r="W55" s="5" t="str">
        <f>_xll.PLContribFull(K55*100,"ASK",U55,"Slot46","TICKER",3,,"Valid")</f>
        <v>1.640 (12:14:42.784167)</v>
      </c>
      <c r="X55" s="15" t="s">
        <v>1118</v>
      </c>
      <c r="Y55" s="14" t="str">
        <f>_xll.PLContribFull(E55*100,"BID",X55,"Slot46","TICKER",3,,"Valid")</f>
        <v>0.130 (12:14:42.795166)</v>
      </c>
      <c r="Z55" s="14" t="str">
        <f>_xll.PLContribFull(L55*100,"ASK",X55,"Slot46","TICKER",3,,"Valid")</f>
        <v>0.330 (12:14:42.752166)</v>
      </c>
      <c r="AA55" s="3" t="s">
        <v>1129</v>
      </c>
      <c r="AB55" s="14" t="str">
        <f>_xll.PLContribFull(F55*100,"BID",AA55,"Slot46","TICKER",3,,"Valid")</f>
        <v>0.600 (12:14:42.792167)</v>
      </c>
      <c r="AC55" s="5" t="str">
        <f>_xll.PLContribFull(M55*100,"ASK",AA55,"Slot46","TICKER",3,,"Valid")</f>
        <v>1.000 (12:14:42.751168)</v>
      </c>
      <c r="AD55" s="16"/>
    </row>
    <row r="56" spans="1:30" s="1" customFormat="1" x14ac:dyDescent="0.2">
      <c r="A56" s="12" t="s">
        <v>13</v>
      </c>
      <c r="B56" s="11">
        <f>'G7 Cross Input'!Q52</f>
        <v>6.1649999999999996E-2</v>
      </c>
      <c r="C56" s="11">
        <f>'G7 Cross Input'!R52</f>
        <v>6.6000000000000017E-3</v>
      </c>
      <c r="D56" s="11">
        <f>'G7 Cross Input'!S52</f>
        <v>1.38E-2</v>
      </c>
      <c r="E56" s="11">
        <f>'G7 Cross Input'!T52</f>
        <v>1.5E-3</v>
      </c>
      <c r="F56" s="11">
        <f>'G7 Cross Input'!U52</f>
        <v>7.000000000000001E-3</v>
      </c>
      <c r="H56" s="10" t="s">
        <v>13</v>
      </c>
      <c r="I56" s="11">
        <f>'G7 Cross Input'!X52</f>
        <v>6.515E-2</v>
      </c>
      <c r="J56" s="11">
        <f>'G7 Cross Input'!Y52</f>
        <v>9.6000000000000009E-3</v>
      </c>
      <c r="K56" s="11">
        <f>'G7 Cross Input'!Z52</f>
        <v>1.9799999999999998E-2</v>
      </c>
      <c r="L56" s="11">
        <f>'G7 Cross Input'!AA52</f>
        <v>3.5000000000000001E-3</v>
      </c>
      <c r="M56" s="11">
        <f>'G7 Cross Input'!AB52</f>
        <v>1.1000000000000001E-2</v>
      </c>
      <c r="O56" s="3" t="s">
        <v>1086</v>
      </c>
      <c r="P56" s="14" t="str">
        <f>_xll.PLContribFull(B56*100,"BID",O56,"Slot46","TICKER",3,,"Valid")</f>
        <v>6.165 (12:14:42.790167)</v>
      </c>
      <c r="Q56" s="5" t="str">
        <f>_xll.PLContribFull(I56*100,"ASK",O56,"Slot46","TICKER",3,,"Valid")</f>
        <v>6.515 (12:14:42.782167)</v>
      </c>
      <c r="R56" s="15" t="s">
        <v>1096</v>
      </c>
      <c r="S56" s="14" t="str">
        <f>_xll.PLContribFull(C56*100,"BID",R56,"Slot46","TICKER",3,,"Valid")</f>
        <v>0.660 (12:14:42.794168)</v>
      </c>
      <c r="T56" s="14" t="str">
        <f>_xll.PLContribFull(J56*100,"ASK",R56,"Slot46","TICKER",3,,"Valid")</f>
        <v>0.960 (12:14:42.794168)</v>
      </c>
      <c r="U56" s="3" t="s">
        <v>1108</v>
      </c>
      <c r="V56" s="14" t="str">
        <f>_xll.PLContribFull(D56*100,"BID",U56,"Slot46","TICKER",3,,"Valid")</f>
        <v>1.380 (12:14:42.797167)</v>
      </c>
      <c r="W56" s="5" t="str">
        <f>_xll.PLContribFull(K56*100,"ASK",U56,"Slot46","TICKER",3,,"Valid")</f>
        <v>1.980 (12:14:42.789167)</v>
      </c>
      <c r="X56" s="15" t="s">
        <v>1119</v>
      </c>
      <c r="Y56" s="14" t="str">
        <f>_xll.PLContribFull(E56*100,"BID",X56,"Slot46","TICKER",3,,"Valid")</f>
        <v>0.150 (12:14:42.797167)</v>
      </c>
      <c r="Z56" s="14" t="str">
        <f>_xll.PLContribFull(L56*100,"ASK",X56,"Slot46","TICKER",3,,"Valid")</f>
        <v>0.350 (12:14:42.791166)</v>
      </c>
      <c r="AA56" s="3" t="s">
        <v>1130</v>
      </c>
      <c r="AB56" s="14" t="str">
        <f>_xll.PLContribFull(F56*100,"BID",AA56,"Slot46","TICKER",3,,"Valid")</f>
        <v>0.700 (12:14:42.786167)</v>
      </c>
      <c r="AC56" s="5" t="str">
        <f>_xll.PLContribFull(M56*100,"ASK",AA56,"Slot46","TICKER",3,,"Valid")</f>
        <v>1.100 (12:14:42.782167)</v>
      </c>
      <c r="AD56" s="16"/>
    </row>
    <row r="57" spans="1:30" s="1" customFormat="1" x14ac:dyDescent="0.2">
      <c r="A57" s="12" t="s">
        <v>14</v>
      </c>
      <c r="B57" s="11">
        <f>'G7 Cross Input'!Q53</f>
        <v>6.5849999999999992E-2</v>
      </c>
      <c r="C57" s="11">
        <f>'G7 Cross Input'!R53</f>
        <v>7.3000000000000009E-3</v>
      </c>
      <c r="D57" s="11">
        <f>'G7 Cross Input'!S53</f>
        <v>1.49E-2</v>
      </c>
      <c r="E57" s="11">
        <f>'G7 Cross Input'!T53</f>
        <v>1.8000000000000004E-3</v>
      </c>
      <c r="F57" s="11">
        <f>'G7 Cross Input'!U53</f>
        <v>7.7000000000000002E-3</v>
      </c>
      <c r="H57" s="10" t="s">
        <v>14</v>
      </c>
      <c r="I57" s="11">
        <f>'G7 Cross Input'!X53</f>
        <v>6.9550000000000001E-2</v>
      </c>
      <c r="J57" s="11">
        <f>'G7 Cross Input'!Y53</f>
        <v>1.03E-2</v>
      </c>
      <c r="K57" s="11">
        <f>'G7 Cross Input'!Z53</f>
        <v>2.0899999999999998E-2</v>
      </c>
      <c r="L57" s="11">
        <f>'G7 Cross Input'!AA53</f>
        <v>3.8000000000000004E-3</v>
      </c>
      <c r="M57" s="11">
        <f>'G7 Cross Input'!AB53</f>
        <v>1.17E-2</v>
      </c>
      <c r="O57" s="3" t="s">
        <v>1087</v>
      </c>
      <c r="P57" s="14" t="str">
        <f>_xll.PLContribFull(B57*100,"BID",O57,"Slot46","TICKER",3,,"Valid")</f>
        <v>6.585 (12:14:42.782167)</v>
      </c>
      <c r="Q57" s="5" t="str">
        <f>_xll.PLContribFull(I57*100,"ASK",O57,"Slot46","TICKER",3,,"Valid")</f>
        <v>6.955 (12:14:42.785170)</v>
      </c>
      <c r="R57" s="15" t="s">
        <v>1097</v>
      </c>
      <c r="S57" s="14" t="str">
        <f>_xll.PLContribFull(C57*100,"BID",R57,"Slot46","TICKER",3,,"Valid")</f>
        <v>0.730 (12:14:42.785170)</v>
      </c>
      <c r="T57" s="14" t="str">
        <f>_xll.PLContribFull(J57*100,"ASK",R57,"Slot46","TICKER",3,,"Valid")</f>
        <v>1.030 (12:14:42.788167)</v>
      </c>
      <c r="U57" s="3" t="s">
        <v>1109</v>
      </c>
      <c r="V57" s="14" t="str">
        <f>_xll.PLContribFull(D57*100,"BID",U57,"Slot46","TICKER",3,,"Valid")</f>
        <v>1.490 (12:14:42.745167)</v>
      </c>
      <c r="W57" s="5" t="str">
        <f>_xll.PLContribFull(K57*100,"ASK",U57,"Slot46","TICKER",3,,"Valid")</f>
        <v>2.090 (12:14:42.788167)</v>
      </c>
      <c r="X57" s="15" t="s">
        <v>1120</v>
      </c>
      <c r="Y57" s="14" t="str">
        <f>_xll.PLContribFull(E57*100,"BID",X57,"Slot46","TICKER",3,,"Valid")</f>
        <v>0.180 (12:14:42.790167)</v>
      </c>
      <c r="Z57" s="14" t="str">
        <f>_xll.PLContribFull(L57*100,"ASK",X57,"Slot46","TICKER",3,,"Valid")</f>
        <v>0.380 (12:14:42.793169)</v>
      </c>
      <c r="AA57" s="3" t="s">
        <v>1131</v>
      </c>
      <c r="AB57" s="14" t="str">
        <f>_xll.PLContribFull(F57*100,"BID",AA57,"Slot46","TICKER",3,,"Valid")</f>
        <v>0.770 (12:14:42.796169)</v>
      </c>
      <c r="AC57" s="5" t="str">
        <f>_xll.PLContribFull(M57*100,"ASK",AA57,"Slot46","TICKER",3,,"Valid")</f>
        <v>1.170 (12:14:42.795166)</v>
      </c>
      <c r="AD57" s="16"/>
    </row>
    <row r="58" spans="1:30" s="1" customFormat="1" x14ac:dyDescent="0.2">
      <c r="A58" s="12" t="s">
        <v>876</v>
      </c>
      <c r="B58" s="11">
        <f>'G7 Cross Input'!Q54</f>
        <v>6.5749999999999989E-2</v>
      </c>
      <c r="C58" s="11">
        <f>'G7 Cross Input'!R54</f>
        <v>7.5000000000000015E-3</v>
      </c>
      <c r="D58" s="11">
        <f>'G7 Cross Input'!S54</f>
        <v>1.5300000000000001E-2</v>
      </c>
      <c r="E58" s="11">
        <f>'G7 Cross Input'!T54</f>
        <v>1.8999999999999998E-3</v>
      </c>
      <c r="F58" s="11">
        <f>'G7 Cross Input'!U54</f>
        <v>8.0000000000000002E-3</v>
      </c>
      <c r="H58" s="10" t="s">
        <v>876</v>
      </c>
      <c r="I58" s="11">
        <f>'G7 Cross Input'!X54</f>
        <v>7.2450000000000001E-2</v>
      </c>
      <c r="J58" s="11">
        <f>'G7 Cross Input'!Y54</f>
        <v>1.0500000000000001E-2</v>
      </c>
      <c r="K58" s="11">
        <f>'G7 Cross Input'!Z54</f>
        <v>2.1299999999999999E-2</v>
      </c>
      <c r="L58" s="11">
        <f>'G7 Cross Input'!AA54</f>
        <v>3.8999999999999998E-3</v>
      </c>
      <c r="M58" s="11">
        <f>'G7 Cross Input'!AB54</f>
        <v>1.2E-2</v>
      </c>
      <c r="O58" s="3" t="s">
        <v>1088</v>
      </c>
      <c r="P58" s="14" t="str">
        <f>_xll.PLContribFull(B58*100,"BID",O58,"Slot46","TICKER",3,,"Valid")</f>
        <v>6.575 (12:14:42.784167)</v>
      </c>
      <c r="Q58" s="5" t="str">
        <f>_xll.PLContribFull(I58*100,"ASK",O58,"Slot46","TICKER",3,,"Valid")</f>
        <v>7.245 (12:14:42.786167)</v>
      </c>
      <c r="R58" s="15" t="s">
        <v>1098</v>
      </c>
      <c r="S58" s="14" t="str">
        <f>_xll.PLContribFull(C58*100,"BID",R58,"Slot46","TICKER",3,,"Valid")</f>
        <v>0.750 (12:14:42.752166)</v>
      </c>
      <c r="T58" s="14" t="str">
        <f>_xll.PLContribFull(J58*100,"ASK",R58,"Slot46","TICKER",3,,"Valid")</f>
        <v>1.050 (12:14:42.789167)</v>
      </c>
      <c r="U58" s="3" t="s">
        <v>1110</v>
      </c>
      <c r="V58" s="14" t="str">
        <f>_xll.PLContribFull(D58*100,"BID",U58,"Slot46","TICKER",3,,"Valid")</f>
        <v>1.530 (12:14:42.797167)</v>
      </c>
      <c r="W58" s="5" t="str">
        <f>_xll.PLContribFull(K58*100,"ASK",U58,"Slot46","TICKER",3,,"Valid")</f>
        <v>2.130 (12:14:42.792167)</v>
      </c>
      <c r="X58" s="15" t="s">
        <v>1121</v>
      </c>
      <c r="Y58" s="14" t="str">
        <f>_xll.PLContribFull(E58*100,"BID",X58,"Slot46","TICKER",3,,"Valid")</f>
        <v>0.190 (12:14:42.797167)</v>
      </c>
      <c r="Z58" s="14" t="str">
        <f>_xll.PLContribFull(L58*100,"ASK",X58,"Slot46","TICKER",3,,"Valid")</f>
        <v>0.390 (12:14:42.748167)</v>
      </c>
      <c r="AA58" s="3" t="s">
        <v>1132</v>
      </c>
      <c r="AB58" s="14" t="str">
        <f>_xll.PLContribFull(F58*100,"BID",AA58,"Slot46","TICKER",3,,"Valid")</f>
        <v>0.800 (12:14:42.781168)</v>
      </c>
      <c r="AC58" s="5" t="str">
        <f>_xll.PLContribFull(M58*100,"ASK",AA58,"Slot46","TICKER",3,,"Valid")</f>
        <v>1.200 (12:14:42.793169)</v>
      </c>
      <c r="AD58"/>
    </row>
    <row r="59" spans="1:30" s="1" customFormat="1" x14ac:dyDescent="0.25">
      <c r="A59" s="10"/>
      <c r="B59" s="10"/>
      <c r="C59" s="10"/>
      <c r="D59" s="10"/>
      <c r="E59" s="10"/>
      <c r="F59" s="10"/>
      <c r="P59" s="2"/>
      <c r="Q59" s="2"/>
      <c r="AD59"/>
    </row>
    <row r="60" spans="1:30" s="1" customFormat="1" x14ac:dyDescent="0.25">
      <c r="A60" s="10"/>
      <c r="B60" s="10"/>
      <c r="C60" s="10"/>
      <c r="D60" s="10"/>
      <c r="E60" s="10"/>
      <c r="F60" s="10"/>
      <c r="P60" s="2"/>
      <c r="Q60" s="2"/>
      <c r="AD60"/>
    </row>
    <row r="61" spans="1:30" s="1" customFormat="1" x14ac:dyDescent="0.25">
      <c r="A61" s="10" t="s">
        <v>940</v>
      </c>
      <c r="B61" s="10"/>
      <c r="C61" s="10"/>
      <c r="D61" s="10"/>
      <c r="E61" s="10"/>
      <c r="F61" s="10"/>
      <c r="O61" s="3" t="s">
        <v>67</v>
      </c>
      <c r="P61" s="15" t="s">
        <v>68</v>
      </c>
      <c r="Q61" s="6"/>
      <c r="R61" s="15" t="s">
        <v>67</v>
      </c>
      <c r="S61" s="15" t="s">
        <v>68</v>
      </c>
      <c r="T61" s="15"/>
      <c r="U61" s="3" t="s">
        <v>67</v>
      </c>
      <c r="V61" s="15" t="s">
        <v>68</v>
      </c>
      <c r="W61" s="6"/>
      <c r="X61" s="15" t="s">
        <v>67</v>
      </c>
      <c r="Y61" s="15" t="s">
        <v>68</v>
      </c>
      <c r="Z61" s="15"/>
      <c r="AA61" s="3" t="s">
        <v>67</v>
      </c>
      <c r="AB61" s="15" t="s">
        <v>68</v>
      </c>
      <c r="AC61" s="6"/>
      <c r="AD61"/>
    </row>
    <row r="62" spans="1:30" s="1" customFormat="1" ht="14.25" x14ac:dyDescent="0.25">
      <c r="A62" s="12" t="s">
        <v>331</v>
      </c>
      <c r="B62" s="12" t="s">
        <v>0</v>
      </c>
      <c r="C62" s="12" t="s">
        <v>1</v>
      </c>
      <c r="D62" s="12" t="s">
        <v>2</v>
      </c>
      <c r="E62" s="12" t="s">
        <v>3</v>
      </c>
      <c r="F62" s="12" t="s">
        <v>4</v>
      </c>
      <c r="H62" s="10" t="s">
        <v>16</v>
      </c>
      <c r="I62" s="10" t="s">
        <v>0</v>
      </c>
      <c r="J62" s="10" t="s">
        <v>1</v>
      </c>
      <c r="K62" s="10" t="s">
        <v>2</v>
      </c>
      <c r="L62" s="10" t="s">
        <v>3</v>
      </c>
      <c r="M62" s="10" t="s">
        <v>4</v>
      </c>
      <c r="O62" s="3" t="s">
        <v>66</v>
      </c>
      <c r="P62" s="13" t="s">
        <v>15</v>
      </c>
      <c r="Q62" s="4" t="s">
        <v>16</v>
      </c>
      <c r="R62" s="15" t="s">
        <v>1</v>
      </c>
      <c r="S62" s="13" t="s">
        <v>15</v>
      </c>
      <c r="T62" s="13" t="s">
        <v>16</v>
      </c>
      <c r="U62" s="3" t="s">
        <v>2</v>
      </c>
      <c r="V62" s="13" t="s">
        <v>15</v>
      </c>
      <c r="W62" s="4" t="s">
        <v>16</v>
      </c>
      <c r="X62" s="15" t="s">
        <v>3</v>
      </c>
      <c r="Y62" s="13" t="s">
        <v>15</v>
      </c>
      <c r="Z62" s="13" t="s">
        <v>16</v>
      </c>
      <c r="AA62" s="3" t="s">
        <v>4</v>
      </c>
      <c r="AB62" s="13" t="s">
        <v>15</v>
      </c>
      <c r="AC62" s="4" t="s">
        <v>16</v>
      </c>
      <c r="AD62" s="2"/>
    </row>
    <row r="63" spans="1:30" s="1" customFormat="1" x14ac:dyDescent="0.2">
      <c r="A63" s="12" t="s">
        <v>5</v>
      </c>
      <c r="B63" s="11">
        <f>'G7 Cross Input'!Q58</f>
        <v>1.1799999999999993E-2</v>
      </c>
      <c r="C63" s="11">
        <f>'G7 Cross Input'!R58</f>
        <v>-7.7000000000000002E-3</v>
      </c>
      <c r="D63" s="11">
        <f>'G7 Cross Input'!S58</f>
        <v>-1.5300000000000001E-2</v>
      </c>
      <c r="E63" s="11">
        <f>'G7 Cross Input'!T58</f>
        <v>-2.8000000000000004E-3</v>
      </c>
      <c r="F63" s="11">
        <f>'G7 Cross Input'!U58</f>
        <v>-3.5999999999999999E-3</v>
      </c>
      <c r="H63" s="10" t="s">
        <v>5</v>
      </c>
      <c r="I63" s="11">
        <f>'G7 Cross Input'!X58</f>
        <v>6.4599999999999991E-2</v>
      </c>
      <c r="J63" s="11">
        <f>'G7 Cross Input'!Y58</f>
        <v>4.3E-3</v>
      </c>
      <c r="K63" s="11">
        <f>'G7 Cross Input'!Z58</f>
        <v>8.6999999999999994E-3</v>
      </c>
      <c r="L63" s="11">
        <f>'G7 Cross Input'!AA58</f>
        <v>5.1999999999999998E-3</v>
      </c>
      <c r="M63" s="11">
        <f>'G7 Cross Input'!AB58</f>
        <v>1.2400000000000001E-2</v>
      </c>
      <c r="O63" s="3" t="s">
        <v>1133</v>
      </c>
      <c r="P63" s="14" t="str">
        <f>_xll.PLContribFull(B63*100,"BID",O63,"Slot46","TICKER",3,,"Valid")</f>
        <v>1.180 (12:14:42.789167)</v>
      </c>
      <c r="Q63" s="5" t="str">
        <f>_xll.PLContribFull(I63*100,"ASK",O63,"Slot46","TICKER",3,,"Valid")</f>
        <v>6.460 (12:14:42.798166)</v>
      </c>
      <c r="R63" s="15" t="s">
        <v>1144</v>
      </c>
      <c r="S63" s="14" t="str">
        <f>_xll.PLContribFull(C63*100,"BID",R63,"Slot46","TICKER",3,,"Valid")</f>
        <v>-0.770 (12:14:42.786167)</v>
      </c>
      <c r="T63" s="14" t="str">
        <f>_xll.PLContribFull(J63*100,"ASK",R63,"Slot46","TICKER",3,,"Valid")</f>
        <v>0.430 (12:14:42.749167)</v>
      </c>
      <c r="U63" s="3" t="s">
        <v>1155</v>
      </c>
      <c r="V63" s="14" t="str">
        <f>_xll.PLContribFull(D63*100,"BID",U63,"Slot46","TICKER",3,,"Valid")</f>
        <v>-1.530 (12:14:42.782167)</v>
      </c>
      <c r="W63" s="5" t="str">
        <f>_xll.PLContribFull(K63*100,"ASK",U63,"Slot46","TICKER",3,,"Valid")</f>
        <v>0.870 (12:14:42.794168)</v>
      </c>
      <c r="X63" s="15" t="s">
        <v>1166</v>
      </c>
      <c r="Y63" s="14" t="str">
        <f>_xll.PLContribFull(E63*100,"BID",X63,"Slot46","TICKER",3,,"Valid")</f>
        <v>-0.280 (12:14:42.786167)</v>
      </c>
      <c r="Z63" s="14" t="str">
        <f>_xll.PLContribFull(L63*100,"ASK",X63,"Slot46","TICKER",3,,"Valid")</f>
        <v>0.520 (12:14:42.754169)</v>
      </c>
      <c r="AA63" s="3" t="s">
        <v>1177</v>
      </c>
      <c r="AB63" s="14" t="str">
        <f>_xll.PLContribFull(F63*100,"BID",AA63,"Slot46","TICKER",3,,"Valid")</f>
        <v>-0.360 (12:14:42.781168)</v>
      </c>
      <c r="AC63" s="5" t="str">
        <f>_xll.PLContribFull(M63*100,"ASK",AA63,"Slot46","TICKER",3,,"Valid")</f>
        <v>1.240 (12:14:42.740168)</v>
      </c>
      <c r="AD63" s="16"/>
    </row>
    <row r="64" spans="1:30" s="1" customFormat="1" x14ac:dyDescent="0.2">
      <c r="A64" s="12" t="s">
        <v>6</v>
      </c>
      <c r="B64" s="11">
        <f>'G7 Cross Input'!Q59</f>
        <v>2.9849999999999995E-2</v>
      </c>
      <c r="C64" s="11">
        <f>'G7 Cross Input'!R59</f>
        <v>-4.3E-3</v>
      </c>
      <c r="D64" s="11">
        <f>'G7 Cross Input'!S59</f>
        <v>-8.2000000000000007E-3</v>
      </c>
      <c r="E64" s="11">
        <f>'G7 Cross Input'!T59</f>
        <v>-5.0000000000000001E-4</v>
      </c>
      <c r="F64" s="11">
        <f>'G7 Cross Input'!U59</f>
        <v>6.9999999999999923E-4</v>
      </c>
      <c r="H64" s="10" t="s">
        <v>6</v>
      </c>
      <c r="I64" s="11">
        <f>'G7 Cross Input'!X59</f>
        <v>4.8149999999999991E-2</v>
      </c>
      <c r="J64" s="11">
        <f>'G7 Cross Input'!Y59</f>
        <v>7.000000000000001E-4</v>
      </c>
      <c r="K64" s="11">
        <f>'G7 Cross Input'!Z59</f>
        <v>1.8E-3</v>
      </c>
      <c r="L64" s="11">
        <f>'G7 Cross Input'!AA59</f>
        <v>3.5000000000000001E-3</v>
      </c>
      <c r="M64" s="11">
        <f>'G7 Cross Input'!AB59</f>
        <v>8.6999999999999994E-3</v>
      </c>
      <c r="O64" s="3" t="s">
        <v>1134</v>
      </c>
      <c r="P64" s="14" t="str">
        <f>_xll.PLContribFull(B64*100,"BID",O64,"Slot46","TICKER",3,,"Valid")</f>
        <v>2.985 (12:14:42.786167)</v>
      </c>
      <c r="Q64" s="5" t="str">
        <f>_xll.PLContribFull(I64*100,"ASK",O64,"Slot46","TICKER",3,,"Valid")</f>
        <v>4.815 (12:14:42.783166)</v>
      </c>
      <c r="R64" s="15" t="s">
        <v>1145</v>
      </c>
      <c r="S64" s="14" t="str">
        <f>_xll.PLContribFull(C64*100,"BID",R64,"Slot46","TICKER",3,,"Valid")</f>
        <v>-0.430 (12:14:42.753167)</v>
      </c>
      <c r="T64" s="14" t="str">
        <f>_xll.PLContribFull(J64*100,"ASK",R64,"Slot46","TICKER",3,,"Valid")</f>
        <v>0.070 (12:14:42.782167)</v>
      </c>
      <c r="U64" s="3" t="s">
        <v>1156</v>
      </c>
      <c r="V64" s="14" t="str">
        <f>_xll.PLContribFull(D64*100,"BID",U64,"Slot46","TICKER",3,,"Valid")</f>
        <v>-0.820 (12:14:42.795166)</v>
      </c>
      <c r="W64" s="5" t="str">
        <f>_xll.PLContribFull(K64*100,"ASK",U64,"Slot46","TICKER",3,,"Valid")</f>
        <v>0.180 (12:14:42.786167)</v>
      </c>
      <c r="X64" s="15" t="s">
        <v>1167</v>
      </c>
      <c r="Y64" s="14" t="str">
        <f>_xll.PLContribFull(E64*100,"BID",X64,"Slot46","TICKER",3,,"Valid")</f>
        <v>-0.050 (12:14:42.796169)</v>
      </c>
      <c r="Z64" s="14" t="str">
        <f>_xll.PLContribFull(L64*100,"ASK",X64,"Slot46","TICKER",3,,"Valid")</f>
        <v>0.350 (12:14:42.747168)</v>
      </c>
      <c r="AA64" s="3" t="s">
        <v>1178</v>
      </c>
      <c r="AB64" s="14" t="str">
        <f>_xll.PLContribFull(F64*100,"BID",AA64,"Slot46","TICKER",3,,"Valid")</f>
        <v>0.070 (12:14:42.752166)</v>
      </c>
      <c r="AC64" s="5" t="str">
        <f>_xll.PLContribFull(M64*100,"ASK",AA64,"Slot46","TICKER",3,,"Valid")</f>
        <v>0.870 (12:14:42.785170)</v>
      </c>
      <c r="AD64" s="16"/>
    </row>
    <row r="65" spans="1:30" s="1" customFormat="1" x14ac:dyDescent="0.2">
      <c r="A65" s="12" t="s">
        <v>7</v>
      </c>
      <c r="B65" s="11">
        <f>'G7 Cross Input'!Q60</f>
        <v>3.125E-2</v>
      </c>
      <c r="C65" s="11">
        <f>'G7 Cross Input'!R60</f>
        <v>-3.5000000000000001E-3</v>
      </c>
      <c r="D65" s="11">
        <f>'G7 Cross Input'!S60</f>
        <v>-6.8000000000000005E-3</v>
      </c>
      <c r="E65" s="11">
        <f>'G7 Cross Input'!T60</f>
        <v>-9.9999999999999829E-5</v>
      </c>
      <c r="F65" s="11">
        <f>'G7 Cross Input'!U60</f>
        <v>1.4000000000000002E-3</v>
      </c>
      <c r="H65" s="10" t="s">
        <v>7</v>
      </c>
      <c r="I65" s="11">
        <f>'G7 Cross Input'!X60</f>
        <v>4.095E-2</v>
      </c>
      <c r="J65" s="11">
        <f>'G7 Cross Input'!Y60</f>
        <v>5.0000000000000001E-4</v>
      </c>
      <c r="K65" s="11">
        <f>'G7 Cross Input'!Z60</f>
        <v>1.1999999999999997E-3</v>
      </c>
      <c r="L65" s="11">
        <f>'G7 Cross Input'!AA60</f>
        <v>2.9000000000000002E-3</v>
      </c>
      <c r="M65" s="11">
        <f>'G7 Cross Input'!AB60</f>
        <v>7.4000000000000003E-3</v>
      </c>
      <c r="O65" s="3" t="s">
        <v>1135</v>
      </c>
      <c r="P65" s="14" t="str">
        <f>_xll.PLContribFull(B65*100,"BID",O65,"Slot46","TICKER",3,,"Valid")</f>
        <v>3.125 (12:14:42.795166)</v>
      </c>
      <c r="Q65" s="5" t="str">
        <f>_xll.PLContribFull(I65*100,"ASK",O65,"Slot46","TICKER",3,,"Valid")</f>
        <v>4.095 (12:14:42.783166)</v>
      </c>
      <c r="R65" s="15" t="s">
        <v>1146</v>
      </c>
      <c r="S65" s="14" t="str">
        <f>_xll.PLContribFull(C65*100,"BID",R65,"Slot46","TICKER",3,,"Valid")</f>
        <v>-0.350 (12:14:42.795166)</v>
      </c>
      <c r="T65" s="14" t="str">
        <f>_xll.PLContribFull(J65*100,"ASK",R65,"Slot46","TICKER",3,,"Valid")</f>
        <v>0.050 (12:14:42.782167)</v>
      </c>
      <c r="U65" s="3" t="s">
        <v>1157</v>
      </c>
      <c r="V65" s="14" t="str">
        <f>_xll.PLContribFull(D65*100,"BID",U65,"Slot46","TICKER",3,,"Valid")</f>
        <v>-0.680 (12:14:42.780166)</v>
      </c>
      <c r="W65" s="5" t="str">
        <f>_xll.PLContribFull(K65*100,"ASK",U65,"Slot46","TICKER",3,,"Valid")</f>
        <v>0.120 (12:14:42.792167)</v>
      </c>
      <c r="X65" s="15" t="s">
        <v>1168</v>
      </c>
      <c r="Y65" s="14" t="str">
        <f>_xll.PLContribFull(E65*100,"BID",X65,"Slot46","TICKER",3,,"Valid")</f>
        <v>-0.010 (12:14:42.788167)</v>
      </c>
      <c r="Z65" s="14" t="str">
        <f>_xll.PLContribFull(L65*100,"ASK",X65,"Slot46","TICKER",3,,"Valid")</f>
        <v>0.290 (12:14:42.740168)</v>
      </c>
      <c r="AA65" s="3" t="s">
        <v>1179</v>
      </c>
      <c r="AB65" s="14" t="str">
        <f>_xll.PLContribFull(F65*100,"BID",AA65,"Slot46","TICKER",3,,"Valid")</f>
        <v>0.140 (12:14:42.750168)</v>
      </c>
      <c r="AC65" s="5" t="str">
        <f>_xll.PLContribFull(M65*100,"ASK",AA65,"Slot46","TICKER",3,,"Valid")</f>
        <v>0.740 (12:14:42.783166)</v>
      </c>
      <c r="AD65" s="16"/>
    </row>
    <row r="66" spans="1:30" s="1" customFormat="1" x14ac:dyDescent="0.2">
      <c r="A66" s="12" t="s">
        <v>8</v>
      </c>
      <c r="B66" s="11">
        <f>'G7 Cross Input'!Q61</f>
        <v>3.5099999999999999E-2</v>
      </c>
      <c r="C66" s="11">
        <f>'G7 Cross Input'!R61</f>
        <v>-2.7000000000000001E-3</v>
      </c>
      <c r="D66" s="11">
        <f>'G7 Cross Input'!S61</f>
        <v>-5.3E-3</v>
      </c>
      <c r="E66" s="11">
        <f>'G7 Cross Input'!T61</f>
        <v>5.0000000000000001E-4</v>
      </c>
      <c r="F66" s="11">
        <f>'G7 Cross Input'!U61</f>
        <v>2.6999999999999993E-3</v>
      </c>
      <c r="H66" s="10" t="s">
        <v>8</v>
      </c>
      <c r="I66" s="11">
        <f>'G7 Cross Input'!X61</f>
        <v>3.9299999999999995E-2</v>
      </c>
      <c r="J66" s="11">
        <f>'G7 Cross Input'!Y61</f>
        <v>3.0000000000000014E-4</v>
      </c>
      <c r="K66" s="11">
        <f>'G7 Cross Input'!Z61</f>
        <v>7.000000000000001E-4</v>
      </c>
      <c r="L66" s="11">
        <f>'G7 Cross Input'!AA61</f>
        <v>2.5000000000000001E-3</v>
      </c>
      <c r="M66" s="11">
        <f>'G7 Cross Input'!AB61</f>
        <v>6.6999999999999994E-3</v>
      </c>
      <c r="O66" s="3" t="s">
        <v>1136</v>
      </c>
      <c r="P66" s="14" t="str">
        <f>_xll.PLContribFull(B66*100,"BID",O66,"Slot46","TICKER",3,,"Valid")</f>
        <v>3.510 (12:14:42.790167)</v>
      </c>
      <c r="Q66" s="5" t="str">
        <f>_xll.PLContribFull(I66*100,"ASK",O66,"Slot46","TICKER",3,,"Valid")</f>
        <v>3.930 (12:14:42.788167)</v>
      </c>
      <c r="R66" s="15" t="s">
        <v>1154</v>
      </c>
      <c r="S66" s="14" t="str">
        <f>_xll.PLContribFull(C66*100,"BID",R66,"Slot46","TICKER",3,,"Valid")</f>
        <v>-0.270 (12:14:42.786167)</v>
      </c>
      <c r="T66" s="14" t="str">
        <f>_xll.PLContribFull(J66*100,"ASK",R66,"Slot46","TICKER",3,,"Valid")</f>
        <v>0.030 (12:14:42.755167)</v>
      </c>
      <c r="U66" s="3" t="s">
        <v>1158</v>
      </c>
      <c r="V66" s="14" t="str">
        <f>_xll.PLContribFull(D66*100,"BID",U66,"Slot46","TICKER",3,,"Valid")</f>
        <v>-0.530 (12:14:42.797167)</v>
      </c>
      <c r="W66" s="5" t="str">
        <f>_xll.PLContribFull(K66*100,"ASK",U66,"Slot46","TICKER",3,,"Valid")</f>
        <v>0.070 (12:14:42.793169)</v>
      </c>
      <c r="X66" s="15" t="s">
        <v>1169</v>
      </c>
      <c r="Y66" s="14" t="str">
        <f>_xll.PLContribFull(E66*100,"BID",X66,"Slot46","TICKER",3,,"Valid")</f>
        <v>0.050 (12:14:42.750168)</v>
      </c>
      <c r="Z66" s="14" t="str">
        <f>_xll.PLContribFull(L66*100,"ASK",X66,"Slot46","TICKER",3,,"Valid")</f>
        <v>0.250 (12:14:42.798166)</v>
      </c>
      <c r="AA66" s="3" t="s">
        <v>1180</v>
      </c>
      <c r="AB66" s="14" t="str">
        <f>_xll.PLContribFull(F66*100,"BID",AA66,"Slot46","TICKER",3,,"Valid")</f>
        <v>0.270 (12:14:42.782167)</v>
      </c>
      <c r="AC66" s="5" t="str">
        <f>_xll.PLContribFull(M66*100,"ASK",AA66,"Slot46","TICKER",3,,"Valid")</f>
        <v>0.670 (12:14:42.747168)</v>
      </c>
      <c r="AD66" s="16"/>
    </row>
    <row r="67" spans="1:30" s="1" customFormat="1" x14ac:dyDescent="0.2">
      <c r="A67" s="12" t="s">
        <v>9</v>
      </c>
      <c r="B67" s="11">
        <f>'G7 Cross Input'!Q62</f>
        <v>3.7650000000000003E-2</v>
      </c>
      <c r="C67" s="11">
        <f>'G7 Cross Input'!R62</f>
        <v>-2.5999999999999999E-3</v>
      </c>
      <c r="D67" s="11">
        <f>'G7 Cross Input'!S62</f>
        <v>-5.1000000000000004E-3</v>
      </c>
      <c r="E67" s="11">
        <f>'G7 Cross Input'!T62</f>
        <v>6.0000000000000006E-4</v>
      </c>
      <c r="F67" s="11">
        <f>'G7 Cross Input'!U62</f>
        <v>3.1000000000000003E-3</v>
      </c>
      <c r="H67" s="10" t="s">
        <v>9</v>
      </c>
      <c r="I67" s="11">
        <f>'G7 Cross Input'!X62</f>
        <v>4.1749999999999995E-2</v>
      </c>
      <c r="J67" s="11">
        <f>'G7 Cross Input'!Y62</f>
        <v>3.9999999999999996E-4</v>
      </c>
      <c r="K67" s="11">
        <f>'G7 Cross Input'!Z62</f>
        <v>9.0000000000000019E-4</v>
      </c>
      <c r="L67" s="11">
        <f>'G7 Cross Input'!AA62</f>
        <v>2.5999999999999999E-3</v>
      </c>
      <c r="M67" s="11">
        <f>'G7 Cross Input'!AB62</f>
        <v>7.1000000000000004E-3</v>
      </c>
      <c r="O67" s="3" t="s">
        <v>1137</v>
      </c>
      <c r="P67" s="14" t="str">
        <f>_xll.PLContribFull(B67*100,"BID",O67,"Slot46","TICKER",3,,"Valid")</f>
        <v>3.765 (12:14:42.797167)</v>
      </c>
      <c r="Q67" s="5" t="str">
        <f>_xll.PLContribFull(I67*100,"ASK",O67,"Slot46","TICKER",3,,"Valid")</f>
        <v>4.175 (12:14:42.789167)</v>
      </c>
      <c r="R67" s="15" t="s">
        <v>1147</v>
      </c>
      <c r="S67" s="14" t="str">
        <f>_xll.PLContribFull(C67*100,"BID",R67,"Slot46","TICKER",3,,"Valid")</f>
        <v>-0.260 (12:14:42.792167)</v>
      </c>
      <c r="T67" s="14" t="str">
        <f>_xll.PLContribFull(J67*100,"ASK",R67,"Slot46","TICKER",3,,"Valid")</f>
        <v>0.040 (12:14:42.797167)</v>
      </c>
      <c r="U67" s="3" t="s">
        <v>1159</v>
      </c>
      <c r="V67" s="14" t="str">
        <f>_xll.PLContribFull(D67*100,"BID",U67,"Slot46","TICKER",3,,"Valid")</f>
        <v>-0.510 (12:14:42.741170)</v>
      </c>
      <c r="W67" s="5" t="str">
        <f>_xll.PLContribFull(K67*100,"ASK",U67,"Slot46","TICKER",3,,"Valid")</f>
        <v>0.090 (12:14:42.781168)</v>
      </c>
      <c r="X67" s="15" t="s">
        <v>1170</v>
      </c>
      <c r="Y67" s="14" t="str">
        <f>_xll.PLContribFull(E67*100,"BID",X67,"Slot46","TICKER",3,,"Valid")</f>
        <v>0.060 (12:14:42.744167)</v>
      </c>
      <c r="Z67" s="14" t="str">
        <f>_xll.PLContribFull(L67*100,"ASK",X67,"Slot46","TICKER",3,,"Valid")</f>
        <v>0.260 (12:14:42.798166)</v>
      </c>
      <c r="AA67" s="3" t="s">
        <v>1181</v>
      </c>
      <c r="AB67" s="14" t="str">
        <f>_xll.PLContribFull(F67*100,"BID",AA67,"Slot46","TICKER",3,,"Valid")</f>
        <v>0.310 (12:14:42.785170)</v>
      </c>
      <c r="AC67" s="5" t="str">
        <f>_xll.PLContribFull(M67*100,"ASK",AA67,"Slot46","TICKER",3,,"Valid")</f>
        <v>0.710 (12:14:42.787167)</v>
      </c>
      <c r="AD67" s="16"/>
    </row>
    <row r="68" spans="1:30" s="1" customFormat="1" x14ac:dyDescent="0.2">
      <c r="A68" s="12" t="s">
        <v>10</v>
      </c>
      <c r="B68" s="11">
        <f>'G7 Cross Input'!Q63</f>
        <v>3.9050000000000001E-2</v>
      </c>
      <c r="C68" s="11">
        <f>'G7 Cross Input'!R63</f>
        <v>-2.5000000000000001E-3</v>
      </c>
      <c r="D68" s="11">
        <f>'G7 Cross Input'!S63</f>
        <v>-4.8000000000000004E-3</v>
      </c>
      <c r="E68" s="11">
        <f>'G7 Cross Input'!T63</f>
        <v>6.0000000000000006E-4</v>
      </c>
      <c r="F68" s="11">
        <f>'G7 Cross Input'!U63</f>
        <v>3.5000000000000005E-3</v>
      </c>
      <c r="H68" s="10" t="s">
        <v>10</v>
      </c>
      <c r="I68" s="11">
        <f>'G7 Cross Input'!X63</f>
        <v>4.335E-2</v>
      </c>
      <c r="J68" s="11">
        <f>'G7 Cross Input'!Y63</f>
        <v>5.0000000000000001E-4</v>
      </c>
      <c r="K68" s="11">
        <f>'G7 Cross Input'!Z63</f>
        <v>1.2000000000000001E-3</v>
      </c>
      <c r="L68" s="11">
        <f>'G7 Cross Input'!AA63</f>
        <v>2.5999999999999999E-3</v>
      </c>
      <c r="M68" s="11">
        <f>'G7 Cross Input'!AB63</f>
        <v>7.5000000000000006E-3</v>
      </c>
      <c r="O68" s="3" t="s">
        <v>1138</v>
      </c>
      <c r="P68" s="14" t="str">
        <f>_xll.PLContribFull(B68*100,"BID",O68,"Slot46","TICKER",3,,"Valid")</f>
        <v>3.905 (12:14:42.796169)</v>
      </c>
      <c r="Q68" s="5" t="str">
        <f>_xll.PLContribFull(I68*100,"ASK",O68,"Slot46","TICKER",3,,"Valid")</f>
        <v>4.335 (12:14:42.781168)</v>
      </c>
      <c r="R68" s="15" t="s">
        <v>1148</v>
      </c>
      <c r="S68" s="14" t="str">
        <f>_xll.PLContribFull(C68*100,"BID",R68,"Slot46","TICKER",3,,"Valid")</f>
        <v>-0.250 (12:14:42.793169)</v>
      </c>
      <c r="T68" s="14" t="str">
        <f>_xll.PLContribFull(J68*100,"ASK",R68,"Slot46","TICKER",3,,"Valid")</f>
        <v>0.050 (12:14:42.792167)</v>
      </c>
      <c r="U68" s="3" t="s">
        <v>1160</v>
      </c>
      <c r="V68" s="14" t="str">
        <f>_xll.PLContribFull(D68*100,"BID",U68,"Slot46","TICKER",3,,"Valid")</f>
        <v>-0.480 (12:14:42.788167)</v>
      </c>
      <c r="W68" s="5" t="str">
        <f>_xll.PLContribFull(K68*100,"ASK",U68,"Slot46","TICKER",3,,"Valid")</f>
        <v>0.120 (12:14:42.785170)</v>
      </c>
      <c r="X68" s="15" t="s">
        <v>1171</v>
      </c>
      <c r="Y68" s="14" t="str">
        <f>_xll.PLContribFull(E68*100,"BID",X68,"Slot46","TICKER",3,,"Valid")</f>
        <v>0.060 (12:14:42.795166)</v>
      </c>
      <c r="Z68" s="14" t="str">
        <f>_xll.PLContribFull(L68*100,"ASK",X68,"Slot46","TICKER",3,,"Valid")</f>
        <v>0.260 (12:14:42.790167)</v>
      </c>
      <c r="AA68" s="3" t="s">
        <v>1182</v>
      </c>
      <c r="AB68" s="14" t="str">
        <f>_xll.PLContribFull(F68*100,"BID",AA68,"Slot46","TICKER",3,,"Valid")</f>
        <v>0.350 (12:14:42.797167)</v>
      </c>
      <c r="AC68" s="5" t="str">
        <f>_xll.PLContribFull(M68*100,"ASK",AA68,"Slot46","TICKER",3,,"Valid")</f>
        <v>0.750 (12:14:42.790167)</v>
      </c>
      <c r="AD68" s="16"/>
    </row>
    <row r="69" spans="1:30" s="1" customFormat="1" x14ac:dyDescent="0.2">
      <c r="A69" s="12" t="s">
        <v>11</v>
      </c>
      <c r="B69" s="11">
        <f>'G7 Cross Input'!Q64</f>
        <v>4.2799999999999991E-2</v>
      </c>
      <c r="C69" s="11">
        <f>'G7 Cross Input'!R64</f>
        <v>-1.9E-3</v>
      </c>
      <c r="D69" s="11">
        <f>'G7 Cross Input'!S64</f>
        <v>-3.7000000000000002E-3</v>
      </c>
      <c r="E69" s="11">
        <f>'G7 Cross Input'!T64</f>
        <v>8.9999999999999998E-4</v>
      </c>
      <c r="F69" s="11">
        <f>'G7 Cross Input'!U64</f>
        <v>4.5000000000000005E-3</v>
      </c>
      <c r="H69" s="10" t="s">
        <v>11</v>
      </c>
      <c r="I69" s="11">
        <f>'G7 Cross Input'!X64</f>
        <v>4.6799999999999994E-2</v>
      </c>
      <c r="J69" s="11">
        <f>'G7 Cross Input'!Y64</f>
        <v>1.1000000000000001E-3</v>
      </c>
      <c r="K69" s="11">
        <f>'G7 Cross Input'!Z64</f>
        <v>2.3E-3</v>
      </c>
      <c r="L69" s="11">
        <f>'G7 Cross Input'!AA64</f>
        <v>2.8999999999999998E-3</v>
      </c>
      <c r="M69" s="11">
        <f>'G7 Cross Input'!AB64</f>
        <v>8.5000000000000006E-3</v>
      </c>
      <c r="O69" s="3" t="s">
        <v>1139</v>
      </c>
      <c r="P69" s="14" t="str">
        <f>_xll.PLContribFull(B69*100,"BID",O69,"Slot46","TICKER",3,,"Valid")</f>
        <v>4.280 (12:14:42.782167)</v>
      </c>
      <c r="Q69" s="5" t="str">
        <f>_xll.PLContribFull(I69*100,"ASK",O69,"Slot46","TICKER",3,,"Valid")</f>
        <v>4.680 (12:14:42.782167)</v>
      </c>
      <c r="R69" s="15" t="s">
        <v>1149</v>
      </c>
      <c r="S69" s="14" t="str">
        <f>_xll.PLContribFull(C69*100,"BID",R69,"Slot46","TICKER",3,,"Valid")</f>
        <v>-0.190 (12:14:42.782167)</v>
      </c>
      <c r="T69" s="14" t="str">
        <f>_xll.PLContribFull(J69*100,"ASK",R69,"Slot46","TICKER",3,,"Valid")</f>
        <v>0.110 (12:14:42.791166)</v>
      </c>
      <c r="U69" s="3" t="s">
        <v>1161</v>
      </c>
      <c r="V69" s="14" t="str">
        <f>_xll.PLContribFull(D69*100,"BID",U69,"Slot46","TICKER",3,,"Valid")</f>
        <v>-0.370 (12:14:42.793169)</v>
      </c>
      <c r="W69" s="5" t="str">
        <f>_xll.PLContribFull(K69*100,"ASK",U69,"Slot46","TICKER",3,,"Valid")</f>
        <v>0.230 (12:14:42.787167)</v>
      </c>
      <c r="X69" s="15" t="s">
        <v>1172</v>
      </c>
      <c r="Y69" s="14" t="str">
        <f>_xll.PLContribFull(E69*100,"BID",X69,"Slot46","TICKER",3,,"Valid")</f>
        <v>0.090 (12:14:42.787167)</v>
      </c>
      <c r="Z69" s="14" t="str">
        <f>_xll.PLContribFull(L69*100,"ASK",X69,"Slot46","TICKER",3,,"Valid")</f>
        <v>0.290 (12:14:42.783166)</v>
      </c>
      <c r="AA69" s="3" t="s">
        <v>1183</v>
      </c>
      <c r="AB69" s="14" t="str">
        <f>_xll.PLContribFull(F69*100,"BID",AA69,"Slot46","TICKER",3,,"Valid")</f>
        <v>0.450 (12:14:42.787167)</v>
      </c>
      <c r="AC69" s="5" t="str">
        <f>_xll.PLContribFull(M69*100,"ASK",AA69,"Slot46","TICKER",3,,"Valid")</f>
        <v>0.850 (12:14:42.746167)</v>
      </c>
      <c r="AD69" s="16"/>
    </row>
    <row r="70" spans="1:30" s="1" customFormat="1" x14ac:dyDescent="0.2">
      <c r="A70" s="12" t="s">
        <v>12</v>
      </c>
      <c r="B70" s="11">
        <f>'G7 Cross Input'!Q65</f>
        <v>4.7699999999999999E-2</v>
      </c>
      <c r="C70" s="11">
        <f>'G7 Cross Input'!R65</f>
        <v>-2E-3</v>
      </c>
      <c r="D70" s="11">
        <f>'G7 Cross Input'!S65</f>
        <v>-3.7000000000000002E-3</v>
      </c>
      <c r="E70" s="11">
        <f>'G7 Cross Input'!T65</f>
        <v>1.0999999999999998E-3</v>
      </c>
      <c r="F70" s="11">
        <f>'G7 Cross Input'!U65</f>
        <v>5.4999999999999997E-3</v>
      </c>
      <c r="H70" s="10" t="s">
        <v>12</v>
      </c>
      <c r="I70" s="11">
        <f>'G7 Cross Input'!X65</f>
        <v>5.1499999999999997E-2</v>
      </c>
      <c r="J70" s="11">
        <f>'G7 Cross Input'!Y65</f>
        <v>1E-3</v>
      </c>
      <c r="K70" s="11">
        <f>'G7 Cross Input'!Z65</f>
        <v>2.3E-3</v>
      </c>
      <c r="L70" s="11">
        <f>'G7 Cross Input'!AA65</f>
        <v>3.0999999999999999E-3</v>
      </c>
      <c r="M70" s="11">
        <f>'G7 Cross Input'!AB65</f>
        <v>9.4999999999999998E-3</v>
      </c>
      <c r="O70" s="3" t="s">
        <v>1140</v>
      </c>
      <c r="P70" s="14" t="str">
        <f>_xll.PLContribFull(B70*100,"BID",O70,"Slot46","TICKER",3,,"Valid")</f>
        <v>4.770 (12:14:42.797167)</v>
      </c>
      <c r="Q70" s="5" t="str">
        <f>_xll.PLContribFull(I70*100,"ASK",O70,"Slot46","TICKER",3,,"Valid")</f>
        <v>5.150 (12:14:42.795166)</v>
      </c>
      <c r="R70" s="15" t="s">
        <v>1150</v>
      </c>
      <c r="S70" s="14" t="str">
        <f>_xll.PLContribFull(C70*100,"BID",R70,"Slot46","TICKER",3,,"Valid")</f>
        <v>-0.200 (12:14:42.789167)</v>
      </c>
      <c r="T70" s="14" t="str">
        <f>_xll.PLContribFull(J70*100,"ASK",R70,"Slot46","TICKER",3,,"Valid")</f>
        <v>0.100 (12:14:42.794168)</v>
      </c>
      <c r="U70" s="3" t="s">
        <v>1162</v>
      </c>
      <c r="V70" s="14" t="str">
        <f>_xll.PLContribFull(D70*100,"BID",U70,"Slot46","TICKER",3,,"Valid")</f>
        <v>-0.370 (12:14:42.787167)</v>
      </c>
      <c r="W70" s="5" t="str">
        <f>_xll.PLContribFull(K70*100,"ASK",U70,"Slot46","TICKER",3,,"Valid")</f>
        <v>0.230 (12:14:42.781168)</v>
      </c>
      <c r="X70" s="15" t="s">
        <v>1173</v>
      </c>
      <c r="Y70" s="14" t="str">
        <f>_xll.PLContribFull(E70*100,"BID",X70,"Slot46","TICKER",3,,"Valid")</f>
        <v>0.110 (12:14:42.784167)</v>
      </c>
      <c r="Z70" s="14" t="str">
        <f>_xll.PLContribFull(L70*100,"ASK",X70,"Slot46","TICKER",3,,"Valid")</f>
        <v>0.310 (12:14:42.799167)</v>
      </c>
      <c r="AA70" s="3" t="s">
        <v>1184</v>
      </c>
      <c r="AB70" s="14" t="str">
        <f>_xll.PLContribFull(F70*100,"BID",AA70,"Slot46","TICKER",3,,"Valid")</f>
        <v>0.550 (12:14:42.788167)</v>
      </c>
      <c r="AC70" s="5" t="str">
        <f>_xll.PLContribFull(M70*100,"ASK",AA70,"Slot46","TICKER",3,,"Valid")</f>
        <v>0.950 (12:14:42.795166)</v>
      </c>
      <c r="AD70" s="16"/>
    </row>
    <row r="71" spans="1:30" s="1" customFormat="1" x14ac:dyDescent="0.2">
      <c r="A71" s="12" t="s">
        <v>13</v>
      </c>
      <c r="B71" s="11">
        <f>'G7 Cross Input'!Q66</f>
        <v>4.9999999999999996E-2</v>
      </c>
      <c r="C71" s="11">
        <f>'G7 Cross Input'!R66</f>
        <v>-2E-3</v>
      </c>
      <c r="D71" s="11">
        <f>'G7 Cross Input'!S66</f>
        <v>-3.7000000000000002E-3</v>
      </c>
      <c r="E71" s="11">
        <f>'G7 Cross Input'!T66</f>
        <v>1.2999999999999999E-3</v>
      </c>
      <c r="F71" s="11">
        <f>'G7 Cross Input'!U66</f>
        <v>6.1999999999999989E-3</v>
      </c>
      <c r="H71" s="10" t="s">
        <v>13</v>
      </c>
      <c r="I71" s="11">
        <f>'G7 Cross Input'!X66</f>
        <v>5.3799999999999994E-2</v>
      </c>
      <c r="J71" s="11">
        <f>'G7 Cross Input'!Y66</f>
        <v>1E-3</v>
      </c>
      <c r="K71" s="11">
        <f>'G7 Cross Input'!Z66</f>
        <v>2.3E-3</v>
      </c>
      <c r="L71" s="11">
        <f>'G7 Cross Input'!AA66</f>
        <v>3.3E-3</v>
      </c>
      <c r="M71" s="11">
        <f>'G7 Cross Input'!AB66</f>
        <v>1.0199999999999999E-2</v>
      </c>
      <c r="O71" s="3" t="s">
        <v>1141</v>
      </c>
      <c r="P71" s="14" t="str">
        <f>_xll.PLContribFull(B71*100,"BID",O71,"Slot46","TICKER",3,,"Valid")</f>
        <v>5.000 (12:14:42.793169)</v>
      </c>
      <c r="Q71" s="5" t="str">
        <f>_xll.PLContribFull(I71*100,"ASK",O71,"Slot46","TICKER",3,,"Valid")</f>
        <v>5.380 (12:14:42.781168)</v>
      </c>
      <c r="R71" s="15" t="s">
        <v>1151</v>
      </c>
      <c r="S71" s="14" t="str">
        <f>_xll.PLContribFull(C71*100,"BID",R71,"Slot46","TICKER",3,,"Valid")</f>
        <v>-0.200 (12:14:42.755167)</v>
      </c>
      <c r="T71" s="14" t="str">
        <f>_xll.PLContribFull(J71*100,"ASK",R71,"Slot46","TICKER",3,,"Valid")</f>
        <v>0.100 (12:14:42.782167)</v>
      </c>
      <c r="U71" s="3" t="s">
        <v>1163</v>
      </c>
      <c r="V71" s="14" t="str">
        <f>_xll.PLContribFull(D71*100,"BID",U71,"Slot46","TICKER",3,,"Valid")</f>
        <v>-0.370 (12:14:42.792167)</v>
      </c>
      <c r="W71" s="5" t="str">
        <f>_xll.PLContribFull(K71*100,"ASK",U71,"Slot46","TICKER",3,,"Valid")</f>
        <v>0.230 (12:14:42.795166)</v>
      </c>
      <c r="X71" s="15" t="s">
        <v>1174</v>
      </c>
      <c r="Y71" s="14" t="str">
        <f>_xll.PLContribFull(E71*100,"BID",X71,"Slot46","TICKER",3,,"Valid")</f>
        <v>0.130 (12:14:42.749167)</v>
      </c>
      <c r="Z71" s="14" t="str">
        <f>_xll.PLContribFull(L71*100,"ASK",X71,"Slot46","TICKER",3,,"Valid")</f>
        <v>0.330 (12:14:42.789167)</v>
      </c>
      <c r="AA71" s="3" t="s">
        <v>1185</v>
      </c>
      <c r="AB71" s="14" t="str">
        <f>_xll.PLContribFull(F71*100,"BID",AA71,"Slot46","TICKER",3,,"Valid")</f>
        <v>0.620 (12:14:42.786167)</v>
      </c>
      <c r="AC71" s="5" t="str">
        <f>_xll.PLContribFull(M71*100,"ASK",AA71,"Slot46","TICKER",3,,"Valid")</f>
        <v>1.020 (12:14:42.746167)</v>
      </c>
      <c r="AD71" s="16"/>
    </row>
    <row r="72" spans="1:30" s="1" customFormat="1" x14ac:dyDescent="0.2">
      <c r="A72" s="12" t="s">
        <v>14</v>
      </c>
      <c r="B72" s="11">
        <f>'G7 Cross Input'!Q67</f>
        <v>5.2400000000000002E-2</v>
      </c>
      <c r="C72" s="11">
        <f>'G7 Cross Input'!R67</f>
        <v>-9.0000000000000008E-4</v>
      </c>
      <c r="D72" s="11">
        <f>'G7 Cross Input'!S67</f>
        <v>-1.2999999999999999E-3</v>
      </c>
      <c r="E72" s="11">
        <f>'G7 Cross Input'!T67</f>
        <v>1.5E-3</v>
      </c>
      <c r="F72" s="11">
        <f>'G7 Cross Input'!U67</f>
        <v>7.3000000000000009E-3</v>
      </c>
      <c r="H72" s="10" t="s">
        <v>14</v>
      </c>
      <c r="I72" s="11">
        <f>'G7 Cross Input'!X67</f>
        <v>5.7999999999999996E-2</v>
      </c>
      <c r="J72" s="11">
        <f>'G7 Cross Input'!Y67</f>
        <v>2.0999999999999999E-3</v>
      </c>
      <c r="K72" s="11">
        <f>'G7 Cross Input'!Z67</f>
        <v>4.7000000000000002E-3</v>
      </c>
      <c r="L72" s="11">
        <f>'G7 Cross Input'!AA67</f>
        <v>3.5000000000000001E-3</v>
      </c>
      <c r="M72" s="11">
        <f>'G7 Cross Input'!AB67</f>
        <v>1.1300000000000001E-2</v>
      </c>
      <c r="O72" s="3" t="s">
        <v>1142</v>
      </c>
      <c r="P72" s="14" t="str">
        <f>_xll.PLContribFull(B72*100,"BID",O72,"Slot46","TICKER",3,,"Valid")</f>
        <v>5.240 (12:14:42.783166)</v>
      </c>
      <c r="Q72" s="5" t="str">
        <f>_xll.PLContribFull(I72*100,"ASK",O72,"Slot46","TICKER",3,,"Valid")</f>
        <v>5.800 (12:14:42.788167)</v>
      </c>
      <c r="R72" s="15" t="s">
        <v>1152</v>
      </c>
      <c r="S72" s="14" t="str">
        <f>_xll.PLContribFull(C72*100,"BID",R72,"Slot46","TICKER",3,,"Valid")</f>
        <v>-0.090 (12:14:42.754169)</v>
      </c>
      <c r="T72" s="14" t="str">
        <f>_xll.PLContribFull(J72*100,"ASK",R72,"Slot46","TICKER",3,,"Valid")</f>
        <v>0.210 (12:14:42.791166)</v>
      </c>
      <c r="U72" s="3" t="s">
        <v>1164</v>
      </c>
      <c r="V72" s="14" t="str">
        <f>_xll.PLContribFull(D72*100,"BID",U72,"Slot46","TICKER",3,,"Valid")</f>
        <v>-0.130 (12:14:42.750168)</v>
      </c>
      <c r="W72" s="5" t="str">
        <f>_xll.PLContribFull(K72*100,"ASK",U72,"Slot46","TICKER",3,,"Valid")</f>
        <v>0.470 (12:14:42.795166)</v>
      </c>
      <c r="X72" s="15" t="s">
        <v>1175</v>
      </c>
      <c r="Y72" s="14" t="str">
        <f>_xll.PLContribFull(E72*100,"BID",X72,"Slot46","TICKER",3,,"Valid")</f>
        <v>0.150 (12:14:42.790167)</v>
      </c>
      <c r="Z72" s="14" t="str">
        <f>_xll.PLContribFull(L72*100,"ASK",X72,"Slot46","TICKER",3,,"Valid")</f>
        <v>0.350 (12:14:42.783166)</v>
      </c>
      <c r="AA72" s="3" t="s">
        <v>1186</v>
      </c>
      <c r="AB72" s="14" t="str">
        <f>_xll.PLContribFull(F72*100,"BID",AA72,"Slot46","TICKER",3,,"Valid")</f>
        <v>0.730 (12:14:42.794168)</v>
      </c>
      <c r="AC72" s="5" t="str">
        <f>_xll.PLContribFull(M72*100,"ASK",AA72,"Slot46","TICKER",3,,"Valid")</f>
        <v>1.130 (12:14:42.788167)</v>
      </c>
      <c r="AD72" s="16"/>
    </row>
    <row r="73" spans="1:30" s="1" customFormat="1" x14ac:dyDescent="0.2">
      <c r="A73" s="12" t="s">
        <v>876</v>
      </c>
      <c r="B73" s="11">
        <f>'G7 Cross Input'!Q68</f>
        <v>5.775000000000001E-2</v>
      </c>
      <c r="C73" s="11">
        <f>'G7 Cross Input'!R68</f>
        <v>-9.0000000000000008E-4</v>
      </c>
      <c r="D73" s="11">
        <f>'G7 Cross Input'!S68</f>
        <v>-1.2000000000000001E-3</v>
      </c>
      <c r="E73" s="11">
        <f>'G7 Cross Input'!T68</f>
        <v>1.3999999999999998E-3</v>
      </c>
      <c r="F73" s="11">
        <f>'G7 Cross Input'!U68</f>
        <v>6.6999999999999994E-3</v>
      </c>
      <c r="H73" s="10" t="s">
        <v>876</v>
      </c>
      <c r="I73" s="11">
        <f>'G7 Cross Input'!X68</f>
        <v>6.3850000000000004E-2</v>
      </c>
      <c r="J73" s="11">
        <f>'G7 Cross Input'!Y68</f>
        <v>2.0999999999999999E-3</v>
      </c>
      <c r="K73" s="11">
        <f>'G7 Cross Input'!Z68</f>
        <v>4.8000000000000004E-3</v>
      </c>
      <c r="L73" s="11">
        <f>'G7 Cross Input'!AA68</f>
        <v>3.3999999999999998E-3</v>
      </c>
      <c r="M73" s="11">
        <f>'G7 Cross Input'!AB68</f>
        <v>1.0699999999999999E-2</v>
      </c>
      <c r="O73" s="3" t="s">
        <v>1143</v>
      </c>
      <c r="P73" s="14" t="str">
        <f>_xll.PLContribFull(B73*100,"BID",O73,"Slot46","TICKER",3,,"Valid")</f>
        <v>5.775 (12:14:42.784167)</v>
      </c>
      <c r="Q73" s="5" t="str">
        <f>_xll.PLContribFull(I73*100,"ASK",O73,"Slot46","TICKER",3,,"Valid")</f>
        <v>6.385 (12:14:42.790167)</v>
      </c>
      <c r="R73" s="15" t="s">
        <v>1153</v>
      </c>
      <c r="S73" s="14" t="str">
        <f>_xll.PLContribFull(C73*100,"BID",R73,"Slot46","TICKER",3,,"Valid")</f>
        <v>-0.090 (12:14:42.785170)</v>
      </c>
      <c r="T73" s="14" t="str">
        <f>_xll.PLContribFull(J73*100,"ASK",R73,"Slot46","TICKER",3,,"Valid")</f>
        <v>0.210 (12:14:42.795166)</v>
      </c>
      <c r="U73" s="3" t="s">
        <v>1165</v>
      </c>
      <c r="V73" s="14" t="str">
        <f>_xll.PLContribFull(D73*100,"BID",U73,"Slot46","TICKER",3,,"Valid")</f>
        <v>-0.120 (12:14:42.783166)</v>
      </c>
      <c r="W73" s="5" t="str">
        <f>_xll.PLContribFull(K73*100,"ASK",U73,"Slot46","TICKER",3,,"Valid")</f>
        <v>0.480 (12:14:42.791166)</v>
      </c>
      <c r="X73" s="15" t="s">
        <v>1176</v>
      </c>
      <c r="Y73" s="14" t="str">
        <f>_xll.PLContribFull(E73*100,"BID",X73,"Slot46","TICKER",3,,"Valid")</f>
        <v>0.140 (12:14:42.753167)</v>
      </c>
      <c r="Z73" s="14" t="str">
        <f>_xll.PLContribFull(L73*100,"ASK",X73,"Slot46","TICKER",3,,"Valid")</f>
        <v>0.340 (12:14:42.784167)</v>
      </c>
      <c r="AA73" s="3" t="s">
        <v>1187</v>
      </c>
      <c r="AB73" s="14" t="str">
        <f>_xll.PLContribFull(F73*100,"BID",AA73,"Slot46","TICKER",3,,"Valid")</f>
        <v>0.670 (12:14:42.794168)</v>
      </c>
      <c r="AC73" s="5" t="str">
        <f>_xll.PLContribFull(M73*100,"ASK",AA73,"Slot46","TICKER",3,,"Valid")</f>
        <v>1.070 (12:14:42.744167)</v>
      </c>
      <c r="AD73"/>
    </row>
    <row r="74" spans="1:30" s="1" customFormat="1" x14ac:dyDescent="0.2">
      <c r="A74" s="10"/>
      <c r="B74" s="10"/>
      <c r="C74" s="10"/>
      <c r="D74" s="10"/>
      <c r="E74" s="10"/>
      <c r="F74" s="10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8"/>
      <c r="AC74" s="18"/>
      <c r="AD74"/>
    </row>
    <row r="75" spans="1:30" s="1" customFormat="1" x14ac:dyDescent="0.25">
      <c r="A75" s="10"/>
      <c r="B75" s="10"/>
      <c r="C75" s="10"/>
      <c r="D75" s="10"/>
      <c r="E75" s="10"/>
      <c r="F75" s="10"/>
      <c r="P75" s="2"/>
      <c r="Q75" s="2"/>
      <c r="AD75"/>
    </row>
    <row r="76" spans="1:30" s="1" customFormat="1" x14ac:dyDescent="0.25">
      <c r="A76" s="10" t="s">
        <v>941</v>
      </c>
      <c r="B76" s="10"/>
      <c r="C76" s="10"/>
      <c r="D76" s="10"/>
      <c r="E76" s="10"/>
      <c r="F76" s="10"/>
      <c r="O76" s="3" t="s">
        <v>67</v>
      </c>
      <c r="P76" s="15" t="s">
        <v>68</v>
      </c>
      <c r="Q76" s="6"/>
      <c r="R76" s="15" t="s">
        <v>67</v>
      </c>
      <c r="S76" s="15" t="s">
        <v>68</v>
      </c>
      <c r="T76" s="15"/>
      <c r="U76" s="3" t="s">
        <v>67</v>
      </c>
      <c r="V76" s="15" t="s">
        <v>68</v>
      </c>
      <c r="W76" s="6"/>
      <c r="X76" s="15" t="s">
        <v>67</v>
      </c>
      <c r="Y76" s="15" t="s">
        <v>68</v>
      </c>
      <c r="Z76" s="15"/>
      <c r="AA76" s="3" t="s">
        <v>67</v>
      </c>
      <c r="AB76" s="15" t="s">
        <v>68</v>
      </c>
      <c r="AC76" s="6"/>
      <c r="AD76"/>
    </row>
    <row r="77" spans="1:30" s="1" customFormat="1" ht="14.25" x14ac:dyDescent="0.25">
      <c r="A77" s="12" t="s">
        <v>331</v>
      </c>
      <c r="B77" s="12" t="s">
        <v>0</v>
      </c>
      <c r="C77" s="12" t="s">
        <v>1</v>
      </c>
      <c r="D77" s="12" t="s">
        <v>2</v>
      </c>
      <c r="E77" s="12" t="s">
        <v>3</v>
      </c>
      <c r="F77" s="12" t="s">
        <v>4</v>
      </c>
      <c r="H77" s="10" t="s">
        <v>16</v>
      </c>
      <c r="I77" s="10" t="s">
        <v>0</v>
      </c>
      <c r="J77" s="10" t="s">
        <v>1</v>
      </c>
      <c r="K77" s="10" t="s">
        <v>2</v>
      </c>
      <c r="L77" s="10" t="s">
        <v>3</v>
      </c>
      <c r="M77" s="10" t="s">
        <v>4</v>
      </c>
      <c r="O77" s="3" t="s">
        <v>66</v>
      </c>
      <c r="P77" s="13" t="s">
        <v>15</v>
      </c>
      <c r="Q77" s="4" t="s">
        <v>16</v>
      </c>
      <c r="R77" s="15" t="s">
        <v>1</v>
      </c>
      <c r="S77" s="13" t="s">
        <v>15</v>
      </c>
      <c r="T77" s="13" t="s">
        <v>16</v>
      </c>
      <c r="U77" s="3" t="s">
        <v>2</v>
      </c>
      <c r="V77" s="13" t="s">
        <v>15</v>
      </c>
      <c r="W77" s="4" t="s">
        <v>16</v>
      </c>
      <c r="X77" s="15" t="s">
        <v>3</v>
      </c>
      <c r="Y77" s="13" t="s">
        <v>15</v>
      </c>
      <c r="Z77" s="13" t="s">
        <v>16</v>
      </c>
      <c r="AA77" s="3" t="s">
        <v>4</v>
      </c>
      <c r="AB77" s="13" t="s">
        <v>15</v>
      </c>
      <c r="AC77" s="4" t="s">
        <v>16</v>
      </c>
      <c r="AD77" s="2"/>
    </row>
    <row r="78" spans="1:30" s="1" customFormat="1" x14ac:dyDescent="0.2">
      <c r="A78" s="12" t="s">
        <v>5</v>
      </c>
      <c r="B78" s="11">
        <f>'G7 Cross Input'!Q72</f>
        <v>1.7899999999999999E-2</v>
      </c>
      <c r="C78" s="11">
        <f>'G7 Cross Input'!R72</f>
        <v>-3.3E-3</v>
      </c>
      <c r="D78" s="11">
        <f>'G7 Cross Input'!S72</f>
        <v>-6.8999999999999999E-3</v>
      </c>
      <c r="E78" s="11">
        <f>'G7 Cross Input'!T72</f>
        <v>-3.3E-3</v>
      </c>
      <c r="F78" s="11">
        <f>'G7 Cross Input'!U72</f>
        <v>-5.4000000000000003E-3</v>
      </c>
      <c r="H78" s="10" t="s">
        <v>5</v>
      </c>
      <c r="I78" s="11">
        <f>'G7 Cross Input'!X72</f>
        <v>3.2899999999999999E-2</v>
      </c>
      <c r="J78" s="11">
        <f>'G7 Cross Input'!Y72</f>
        <v>8.6999999999999994E-3</v>
      </c>
      <c r="K78" s="11">
        <f>'G7 Cross Input'!Z72</f>
        <v>1.7100000000000001E-2</v>
      </c>
      <c r="L78" s="11">
        <f>'G7 Cross Input'!AA72</f>
        <v>4.7000000000000002E-3</v>
      </c>
      <c r="M78" s="11">
        <f>'G7 Cross Input'!AB72</f>
        <v>1.06E-2</v>
      </c>
      <c r="O78" s="3" t="s">
        <v>1188</v>
      </c>
      <c r="P78" s="14" t="str">
        <f>_xll.PLContribFull(B78*100,"BID",O78,"Slot46","TICKER",3,,"Valid")</f>
        <v>1.790 (12:14:42.796169)</v>
      </c>
      <c r="Q78" s="5" t="str">
        <f>_xll.PLContribFull(I78*100,"ASK",O78,"Slot46","TICKER",3,,"Valid")</f>
        <v>3.290 (12:14:42.784167)</v>
      </c>
      <c r="R78" s="15" t="s">
        <v>1199</v>
      </c>
      <c r="S78" s="14" t="str">
        <f>_xll.PLContribFull(C78*100,"BID",R78,"Slot46","TICKER",3,,"Valid")</f>
        <v>-0.330 (12:14:42.798166)</v>
      </c>
      <c r="T78" s="14" t="str">
        <f>_xll.PLContribFull(J78*100,"ASK",R78,"Slot46","TICKER",3,,"Valid")</f>
        <v>0.870 (12:14:42.745167)</v>
      </c>
      <c r="U78" s="3" t="s">
        <v>1210</v>
      </c>
      <c r="V78" s="14" t="str">
        <f>_xll.PLContribFull(D78*100,"BID",U78,"Slot46","TICKER",3,,"Valid")</f>
        <v>-0.690 (12:14:42.786167)</v>
      </c>
      <c r="W78" s="5" t="str">
        <f>_xll.PLContribFull(K78*100,"ASK",U78,"Slot46","TICKER",3,,"Valid")</f>
        <v>1.710 (12:14:42.783166)</v>
      </c>
      <c r="X78" s="15" t="s">
        <v>1221</v>
      </c>
      <c r="Y78" s="14" t="str">
        <f>_xll.PLContribFull(E78*100,"BID",X78,"Slot46","TICKER",3,,"Valid")</f>
        <v>-0.330 (12:14:42.786167)</v>
      </c>
      <c r="Z78" s="14" t="str">
        <f>_xll.PLContribFull(L78*100,"ASK",X78,"Slot46","TICKER",3,,"Valid")</f>
        <v>0.470 (12:14:42.796169)</v>
      </c>
      <c r="AA78" s="3" t="s">
        <v>1232</v>
      </c>
      <c r="AB78" s="14" t="str">
        <f>_xll.PLContribFull(F78*100,"BID",AA78,"Slot46","TICKER",3,,"Valid")</f>
        <v>-0.540 (12:14:42.796169)</v>
      </c>
      <c r="AC78" s="5" t="str">
        <f>_xll.PLContribFull(M78*100,"ASK",AA78,"Slot46","TICKER",3,,"Valid")</f>
        <v>1.060 (12:14:42.788167)</v>
      </c>
      <c r="AD78" s="16"/>
    </row>
    <row r="79" spans="1:30" s="1" customFormat="1" x14ac:dyDescent="0.2">
      <c r="A79" s="12" t="s">
        <v>6</v>
      </c>
      <c r="B79" s="11">
        <f>'G7 Cross Input'!Q73</f>
        <v>2.1950000000000004E-2</v>
      </c>
      <c r="C79" s="11">
        <f>'G7 Cross Input'!R73</f>
        <v>2.0000000000000009E-4</v>
      </c>
      <c r="D79" s="11">
        <f>'G7 Cross Input'!S73</f>
        <v>0</v>
      </c>
      <c r="E79" s="11">
        <f>'G7 Cross Input'!T73</f>
        <v>-1.2999999999999999E-3</v>
      </c>
      <c r="F79" s="11">
        <f>'G7 Cross Input'!U73</f>
        <v>-1.5E-3</v>
      </c>
      <c r="H79" s="10" t="s">
        <v>6</v>
      </c>
      <c r="I79" s="11">
        <f>'G7 Cross Input'!X73</f>
        <v>2.8450000000000003E-2</v>
      </c>
      <c r="J79" s="11">
        <f>'G7 Cross Input'!Y73</f>
        <v>5.1999999999999998E-3</v>
      </c>
      <c r="K79" s="11">
        <f>'G7 Cross Input'!Z73</f>
        <v>0.01</v>
      </c>
      <c r="L79" s="11">
        <f>'G7 Cross Input'!AA73</f>
        <v>2.7000000000000001E-3</v>
      </c>
      <c r="M79" s="11">
        <f>'G7 Cross Input'!AB73</f>
        <v>6.5000000000000006E-3</v>
      </c>
      <c r="O79" s="3" t="s">
        <v>1189</v>
      </c>
      <c r="P79" s="14" t="str">
        <f>_xll.PLContribFull(B79*100,"BID",O79,"Slot46","TICKER",3,,"Valid")</f>
        <v>2.195 (12:14:42.798166)</v>
      </c>
      <c r="Q79" s="5" t="str">
        <f>_xll.PLContribFull(I79*100,"ASK",O79,"Slot46","TICKER",3,,"Valid")</f>
        <v>2.845 (12:14:42.790167)</v>
      </c>
      <c r="R79" s="15" t="s">
        <v>1200</v>
      </c>
      <c r="S79" s="14" t="str">
        <f>_xll.PLContribFull(C79*100,"BID",R79,"Slot46","TICKER",3,,"Valid")</f>
        <v>0.020 (12:14:42.781168)</v>
      </c>
      <c r="T79" s="14" t="str">
        <f>_xll.PLContribFull(J79*100,"ASK",R79,"Slot46","TICKER",3,,"Valid")</f>
        <v>0.520 (12:14:42.785170)</v>
      </c>
      <c r="U79" s="3" t="s">
        <v>1211</v>
      </c>
      <c r="V79" s="14" t="str">
        <f>_xll.PLContribFull(D79*100,"BID",U79,"Slot46","TICKER",3,,"Valid")</f>
        <v>0.000 (12:14:42.794168)</v>
      </c>
      <c r="W79" s="5" t="str">
        <f>_xll.PLContribFull(K79*100,"ASK",U79,"Slot46","TICKER",3,,"Valid")</f>
        <v>1.000 (12:14:42.790167)</v>
      </c>
      <c r="X79" s="15" t="s">
        <v>1222</v>
      </c>
      <c r="Y79" s="14" t="str">
        <f>_xll.PLContribFull(E79*100,"BID",X79,"Slot46","TICKER",3,,"Valid")</f>
        <v>-0.130 (12:14:42.780166)</v>
      </c>
      <c r="Z79" s="14" t="str">
        <f>_xll.PLContribFull(L79*100,"ASK",X79,"Slot46","TICKER",3,,"Valid")</f>
        <v>0.270 (12:14:42.752166)</v>
      </c>
      <c r="AA79" s="3" t="s">
        <v>1233</v>
      </c>
      <c r="AB79" s="14" t="str">
        <f>_xll.PLContribFull(F79*100,"BID",AA79,"Slot46","TICKER",3,,"Valid")</f>
        <v>-0.150 (12:14:42.786167)</v>
      </c>
      <c r="AC79" s="5" t="str">
        <f>_xll.PLContribFull(M79*100,"ASK",AA79,"Slot46","TICKER",3,,"Valid")</f>
        <v>0.650 (12:14:42.793169)</v>
      </c>
      <c r="AD79" s="16"/>
    </row>
    <row r="80" spans="1:30" s="1" customFormat="1" x14ac:dyDescent="0.2">
      <c r="A80" s="12" t="s">
        <v>7</v>
      </c>
      <c r="B80" s="11">
        <f>'G7 Cross Input'!Q74</f>
        <v>2.64E-2</v>
      </c>
      <c r="C80" s="11">
        <f>'G7 Cross Input'!R74</f>
        <v>1.2000000000000001E-3</v>
      </c>
      <c r="D80" s="11">
        <f>'G7 Cross Input'!S74</f>
        <v>2E-3</v>
      </c>
      <c r="E80" s="11">
        <f>'G7 Cross Input'!T74</f>
        <v>-6.0000000000000006E-4</v>
      </c>
      <c r="F80" s="11">
        <f>'G7 Cross Input'!U74</f>
        <v>0</v>
      </c>
      <c r="H80" s="10" t="s">
        <v>7</v>
      </c>
      <c r="I80" s="11">
        <f>'G7 Cross Input'!X74</f>
        <v>3.1E-2</v>
      </c>
      <c r="J80" s="11">
        <f>'G7 Cross Input'!Y74</f>
        <v>5.1999999999999998E-3</v>
      </c>
      <c r="K80" s="11">
        <f>'G7 Cross Input'!Z74</f>
        <v>0.01</v>
      </c>
      <c r="L80" s="11">
        <f>'G7 Cross Input'!AA74</f>
        <v>2.4000000000000002E-3</v>
      </c>
      <c r="M80" s="11">
        <f>'G7 Cross Input'!AB74</f>
        <v>6.0000000000000001E-3</v>
      </c>
      <c r="O80" s="3" t="s">
        <v>1190</v>
      </c>
      <c r="P80" s="14" t="str">
        <f>_xll.PLContribFull(B80*100,"BID",O80,"Slot46","TICKER",3,,"Valid")</f>
        <v>2.640 (12:14:42.795166)</v>
      </c>
      <c r="Q80" s="5" t="str">
        <f>_xll.PLContribFull(I80*100,"ASK",O80,"Slot46","TICKER",3,,"Valid")</f>
        <v>3.100 (12:14:42.794168)</v>
      </c>
      <c r="R80" s="15" t="s">
        <v>1201</v>
      </c>
      <c r="S80" s="14" t="str">
        <f>_xll.PLContribFull(C80*100,"BID",R80,"Slot46","TICKER",3,,"Valid")</f>
        <v>0.120 (12:14:42.743167)</v>
      </c>
      <c r="T80" s="14" t="str">
        <f>_xll.PLContribFull(J80*100,"ASK",R80,"Slot46","TICKER",3,,"Valid")</f>
        <v>0.520 (12:14:42.792167)</v>
      </c>
      <c r="U80" s="3" t="s">
        <v>1212</v>
      </c>
      <c r="V80" s="14" t="str">
        <f>_xll.PLContribFull(D80*100,"BID",U80,"Slot46","TICKER",3,,"Valid")</f>
        <v>0.200 (12:14:42.788167)</v>
      </c>
      <c r="W80" s="5" t="str">
        <f>_xll.PLContribFull(K80*100,"ASK",U80,"Slot46","TICKER",3,,"Valid")</f>
        <v>1.000 (12:14:42.785170)</v>
      </c>
      <c r="X80" s="15" t="s">
        <v>1223</v>
      </c>
      <c r="Y80" s="14" t="str">
        <f>_xll.PLContribFull(E80*100,"BID",X80,"Slot46","TICKER",3,,"Valid")</f>
        <v>-0.060 (12:14:42.791166)</v>
      </c>
      <c r="Z80" s="14" t="str">
        <f>_xll.PLContribFull(L80*100,"ASK",X80,"Slot46","TICKER",3,,"Valid")</f>
        <v>0.240 (12:14:42.782167)</v>
      </c>
      <c r="AA80" s="3" t="s">
        <v>1234</v>
      </c>
      <c r="AB80" s="14" t="str">
        <f>_xll.PLContribFull(F80*100,"BID",AA80,"Slot46","TICKER",3,,"Valid")</f>
        <v>0.000 (12:14:42.782167)</v>
      </c>
      <c r="AC80" s="5" t="str">
        <f>_xll.PLContribFull(M80*100,"ASK",AA80,"Slot46","TICKER",3,,"Valid")</f>
        <v>0.600 (12:14:42.785170)</v>
      </c>
      <c r="AD80" s="16"/>
    </row>
    <row r="81" spans="1:30" s="1" customFormat="1" x14ac:dyDescent="0.2">
      <c r="A81" s="12" t="s">
        <v>8</v>
      </c>
      <c r="B81" s="11">
        <f>'G7 Cross Input'!Q75</f>
        <v>2.7750000000000004E-2</v>
      </c>
      <c r="C81" s="11">
        <f>'G7 Cross Input'!R75</f>
        <v>2.0999999999999999E-3</v>
      </c>
      <c r="D81" s="11">
        <f>'G7 Cross Input'!S75</f>
        <v>3.7000000000000002E-3</v>
      </c>
      <c r="E81" s="11">
        <f>'G7 Cross Input'!T75</f>
        <v>0</v>
      </c>
      <c r="F81" s="11">
        <f>'G7 Cross Input'!U75</f>
        <v>1.2000000000000001E-3</v>
      </c>
      <c r="H81" s="10" t="s">
        <v>8</v>
      </c>
      <c r="I81" s="11">
        <f>'G7 Cross Input'!X75</f>
        <v>2.9850000000000002E-2</v>
      </c>
      <c r="J81" s="11">
        <f>'G7 Cross Input'!Y75</f>
        <v>5.1000000000000004E-3</v>
      </c>
      <c r="K81" s="11">
        <f>'G7 Cross Input'!Z75</f>
        <v>9.7000000000000003E-3</v>
      </c>
      <c r="L81" s="11">
        <f>'G7 Cross Input'!AA75</f>
        <v>2E-3</v>
      </c>
      <c r="M81" s="11">
        <f>'G7 Cross Input'!AB75</f>
        <v>5.1999999999999998E-3</v>
      </c>
      <c r="O81" s="3" t="s">
        <v>1191</v>
      </c>
      <c r="P81" s="14" t="str">
        <f>_xll.PLContribFull(B81*100,"BID",O81,"Slot46","TICKER",3,,"Valid")</f>
        <v>2.775 (12:14:42.780166)</v>
      </c>
      <c r="Q81" s="5" t="str">
        <f>_xll.PLContribFull(I81*100,"ASK",O81,"Slot46","TICKER",3,,"Valid")</f>
        <v>2.985 (12:14:42.799167)</v>
      </c>
      <c r="R81" s="15" t="s">
        <v>1209</v>
      </c>
      <c r="S81" s="14" t="str">
        <f>_xll.PLContribFull(C81*100,"BID",R81,"Slot46","TICKER",3,,"Valid")</f>
        <v>0.210 (12:14:42.780166)</v>
      </c>
      <c r="T81" s="14" t="str">
        <f>_xll.PLContribFull(J81*100,"ASK",R81,"Slot46","TICKER",3,,"Valid")</f>
        <v>0.510 (12:14:42.753167)</v>
      </c>
      <c r="U81" s="3" t="s">
        <v>1213</v>
      </c>
      <c r="V81" s="14" t="str">
        <f>_xll.PLContribFull(D81*100,"BID",U81,"Slot46","TICKER",3,,"Valid")</f>
        <v>0.370 (12:14:42.787167)</v>
      </c>
      <c r="W81" s="5" t="str">
        <f>_xll.PLContribFull(K81*100,"ASK",U81,"Slot46","TICKER",3,,"Valid")</f>
        <v>0.970 (12:14:42.798166)</v>
      </c>
      <c r="X81" s="15" t="s">
        <v>1224</v>
      </c>
      <c r="Y81" s="14" t="str">
        <f>_xll.PLContribFull(E81*100,"BID",X81,"Slot46","TICKER",3,,"Valid")</f>
        <v>0.000 (12:14:42.784167)</v>
      </c>
      <c r="Z81" s="14" t="str">
        <f>_xll.PLContribFull(L81*100,"ASK",X81,"Slot46","TICKER",3,,"Valid")</f>
        <v>0.200 (12:14:42.789167)</v>
      </c>
      <c r="AA81" s="3" t="s">
        <v>1235</v>
      </c>
      <c r="AB81" s="14" t="str">
        <f>_xll.PLContribFull(F81*100,"BID",AA81,"Slot46","TICKER",3,,"Valid")</f>
        <v>0.120 (12:14:42.788167)</v>
      </c>
      <c r="AC81" s="5" t="str">
        <f>_xll.PLContribFull(M81*100,"ASK",AA81,"Slot46","TICKER",3,,"Valid")</f>
        <v>0.520 (12:14:42.785170)</v>
      </c>
      <c r="AD81" s="16"/>
    </row>
    <row r="82" spans="1:30" s="1" customFormat="1" x14ac:dyDescent="0.2">
      <c r="A82" s="12" t="s">
        <v>9</v>
      </c>
      <c r="B82" s="11">
        <f>'G7 Cross Input'!Q76</f>
        <v>3.295E-2</v>
      </c>
      <c r="C82" s="11">
        <f>'G7 Cross Input'!R76</f>
        <v>3.6000000000000003E-3</v>
      </c>
      <c r="D82" s="11">
        <f>'G7 Cross Input'!S76</f>
        <v>6.4999999999999997E-3</v>
      </c>
      <c r="E82" s="11">
        <f>'G7 Cross Input'!T76</f>
        <v>1.9999999999999987E-4</v>
      </c>
      <c r="F82" s="11">
        <f>'G7 Cross Input'!U76</f>
        <v>2E-3</v>
      </c>
      <c r="H82" s="10" t="s">
        <v>9</v>
      </c>
      <c r="I82" s="11">
        <f>'G7 Cross Input'!X76</f>
        <v>3.4849999999999999E-2</v>
      </c>
      <c r="J82" s="11">
        <f>'G7 Cross Input'!Y76</f>
        <v>6.6E-3</v>
      </c>
      <c r="K82" s="11">
        <f>'G7 Cross Input'!Z76</f>
        <v>1.2500000000000001E-2</v>
      </c>
      <c r="L82" s="11">
        <f>'G7 Cross Input'!AA76</f>
        <v>2.1999999999999997E-3</v>
      </c>
      <c r="M82" s="11">
        <f>'G7 Cross Input'!AB76</f>
        <v>6.0000000000000001E-3</v>
      </c>
      <c r="O82" s="3" t="s">
        <v>1192</v>
      </c>
      <c r="P82" s="14" t="str">
        <f>_xll.PLContribFull(B82*100,"BID",O82,"Slot46","TICKER",3,,"Valid")</f>
        <v>3.295 (12:14:42.798166)</v>
      </c>
      <c r="Q82" s="5" t="str">
        <f>_xll.PLContribFull(I82*100,"ASK",O82,"Slot46","TICKER",3,,"Valid")</f>
        <v>3.485 (12:14:42.799167)</v>
      </c>
      <c r="R82" s="15" t="s">
        <v>1202</v>
      </c>
      <c r="S82" s="14" t="str">
        <f>_xll.PLContribFull(C82*100,"BID",R82,"Slot46","TICKER",3,,"Valid")</f>
        <v>0.360 (12:14:42.798166)</v>
      </c>
      <c r="T82" s="14" t="str">
        <f>_xll.PLContribFull(J82*100,"ASK",R82,"Slot46","TICKER",3,,"Valid")</f>
        <v>0.660 (12:14:42.756167)</v>
      </c>
      <c r="U82" s="3" t="s">
        <v>1214</v>
      </c>
      <c r="V82" s="14" t="str">
        <f>_xll.PLContribFull(D82*100,"BID",U82,"Slot46","TICKER",3,,"Valid")</f>
        <v>0.650 (12:14:42.790167)</v>
      </c>
      <c r="W82" s="5" t="str">
        <f>_xll.PLContribFull(K82*100,"ASK",U82,"Slot46","TICKER",3,,"Valid")</f>
        <v>1.250 (12:14:42.787167)</v>
      </c>
      <c r="X82" s="15" t="s">
        <v>1225</v>
      </c>
      <c r="Y82" s="14" t="str">
        <f>_xll.PLContribFull(E82*100,"BID",X82,"Slot46","TICKER",3,,"Valid")</f>
        <v>0.020 (12:14:42.792167)</v>
      </c>
      <c r="Z82" s="14" t="str">
        <f>_xll.PLContribFull(L82*100,"ASK",X82,"Slot46","TICKER",3,,"Valid")</f>
        <v>0.220 (12:14:42.794168)</v>
      </c>
      <c r="AA82" s="3" t="s">
        <v>1236</v>
      </c>
      <c r="AB82" s="14" t="str">
        <f>_xll.PLContribFull(F82*100,"BID",AA82,"Slot46","TICKER",3,,"Valid")</f>
        <v>0.200 (12:14:42.753167)</v>
      </c>
      <c r="AC82" s="5" t="str">
        <f>_xll.PLContribFull(M82*100,"ASK",AA82,"Slot46","TICKER",3,,"Valid")</f>
        <v>0.600 (12:14:42.785170)</v>
      </c>
      <c r="AD82" s="16"/>
    </row>
    <row r="83" spans="1:30" s="1" customFormat="1" x14ac:dyDescent="0.2">
      <c r="A83" s="12" t="s">
        <v>10</v>
      </c>
      <c r="B83" s="11">
        <f>'G7 Cross Input'!Q77</f>
        <v>3.3599999999999998E-2</v>
      </c>
      <c r="C83" s="11">
        <f>'G7 Cross Input'!R77</f>
        <v>4.5000000000000005E-3</v>
      </c>
      <c r="D83" s="11">
        <f>'G7 Cross Input'!S77</f>
        <v>8.0999999999999996E-3</v>
      </c>
      <c r="E83" s="11">
        <f>'G7 Cross Input'!T77</f>
        <v>2.9999999999999992E-4</v>
      </c>
      <c r="F83" s="11">
        <f>'G7 Cross Input'!U77</f>
        <v>2.4000000000000002E-3</v>
      </c>
      <c r="H83" s="10" t="s">
        <v>10</v>
      </c>
      <c r="I83" s="11">
        <f>'G7 Cross Input'!X77</f>
        <v>3.56E-2</v>
      </c>
      <c r="J83" s="11">
        <f>'G7 Cross Input'!Y77</f>
        <v>7.4999999999999997E-3</v>
      </c>
      <c r="K83" s="11">
        <f>'G7 Cross Input'!Z77</f>
        <v>1.4100000000000001E-2</v>
      </c>
      <c r="L83" s="11">
        <f>'G7 Cross Input'!AA77</f>
        <v>2.3E-3</v>
      </c>
      <c r="M83" s="11">
        <f>'G7 Cross Input'!AB77</f>
        <v>6.4000000000000003E-3</v>
      </c>
      <c r="O83" s="3" t="s">
        <v>1193</v>
      </c>
      <c r="P83" s="14" t="str">
        <f>_xll.PLContribFull(B83*100,"BID",O83,"Slot46","TICKER",3,,"Valid")</f>
        <v>3.360 (12:14:42.791166)</v>
      </c>
      <c r="Q83" s="5" t="str">
        <f>_xll.PLContribFull(I83*100,"ASK",O83,"Slot46","TICKER",3,,"Valid")</f>
        <v>3.560 (12:14:42.793169)</v>
      </c>
      <c r="R83" s="15" t="s">
        <v>1203</v>
      </c>
      <c r="S83" s="14" t="str">
        <f>_xll.PLContribFull(C83*100,"BID",R83,"Slot46","TICKER",3,,"Valid")</f>
        <v>0.450 (12:14:42.753167)</v>
      </c>
      <c r="T83" s="14" t="str">
        <f>_xll.PLContribFull(J83*100,"ASK",R83,"Slot46","TICKER",3,,"Valid")</f>
        <v>0.750 (12:14:42.783166)</v>
      </c>
      <c r="U83" s="3" t="s">
        <v>1215</v>
      </c>
      <c r="V83" s="14" t="str">
        <f>_xll.PLContribFull(D83*100,"BID",U83,"Slot46","TICKER",3,,"Valid")</f>
        <v>0.810 (12:14:42.751168)</v>
      </c>
      <c r="W83" s="5" t="str">
        <f>_xll.PLContribFull(K83*100,"ASK",U83,"Slot46","TICKER",3,,"Valid")</f>
        <v>1.410 (12:14:42.793169)</v>
      </c>
      <c r="X83" s="15" t="s">
        <v>1226</v>
      </c>
      <c r="Y83" s="14" t="str">
        <f>_xll.PLContribFull(E83*100,"BID",X83,"Slot46","TICKER",3,,"Valid")</f>
        <v>0.030 (12:14:42.799167)</v>
      </c>
      <c r="Z83" s="14" t="str">
        <f>_xll.PLContribFull(L83*100,"ASK",X83,"Slot46","TICKER",3,,"Valid")</f>
        <v>0.230 (12:14:42.790167)</v>
      </c>
      <c r="AA83" s="3" t="s">
        <v>1237</v>
      </c>
      <c r="AB83" s="14" t="str">
        <f>_xll.PLContribFull(F83*100,"BID",AA83,"Slot46","TICKER",3,,"Valid")</f>
        <v>0.240 (12:14:42.798166)</v>
      </c>
      <c r="AC83" s="5" t="str">
        <f>_xll.PLContribFull(M83*100,"ASK",AA83,"Slot46","TICKER",3,,"Valid")</f>
        <v>0.640 (12:14:42.796169)</v>
      </c>
      <c r="AD83" s="16"/>
    </row>
    <row r="84" spans="1:30" s="1" customFormat="1" x14ac:dyDescent="0.2">
      <c r="A84" s="12" t="s">
        <v>11</v>
      </c>
      <c r="B84" s="11">
        <f>'G7 Cross Input'!Q78</f>
        <v>3.78E-2</v>
      </c>
      <c r="C84" s="11">
        <f>'G7 Cross Input'!R78</f>
        <v>6.3E-3</v>
      </c>
      <c r="D84" s="11">
        <f>'G7 Cross Input'!S78</f>
        <v>1.1199999999999998E-2</v>
      </c>
      <c r="E84" s="11">
        <f>'G7 Cross Input'!T78</f>
        <v>7.000000000000001E-4</v>
      </c>
      <c r="F84" s="11">
        <f>'G7 Cross Input'!U78</f>
        <v>3.6999999999999993E-3</v>
      </c>
      <c r="H84" s="10" t="s">
        <v>11</v>
      </c>
      <c r="I84" s="11">
        <f>'G7 Cross Input'!X78</f>
        <v>3.9800000000000002E-2</v>
      </c>
      <c r="J84" s="11">
        <f>'G7 Cross Input'!Y78</f>
        <v>9.300000000000001E-3</v>
      </c>
      <c r="K84" s="11">
        <f>'G7 Cross Input'!Z78</f>
        <v>1.72E-2</v>
      </c>
      <c r="L84" s="11">
        <f>'G7 Cross Input'!AA78</f>
        <v>2.7000000000000001E-3</v>
      </c>
      <c r="M84" s="11">
        <f>'G7 Cross Input'!AB78</f>
        <v>7.6999999999999994E-3</v>
      </c>
      <c r="O84" s="3" t="s">
        <v>1194</v>
      </c>
      <c r="P84" s="14" t="str">
        <f>_xll.PLContribFull(B84*100,"BID",O84,"Slot46","TICKER",3,,"Valid")</f>
        <v>3.780 (12:14:42.794168)</v>
      </c>
      <c r="Q84" s="5" t="str">
        <f>_xll.PLContribFull(I84*100,"ASK",O84,"Slot46","TICKER",3,,"Valid")</f>
        <v>3.980 (12:14:42.781168)</v>
      </c>
      <c r="R84" s="15" t="s">
        <v>1204</v>
      </c>
      <c r="S84" s="14" t="str">
        <f>_xll.PLContribFull(C84*100,"BID",R84,"Slot46","TICKER",3,,"Valid")</f>
        <v>0.630 (12:14:42.795166)</v>
      </c>
      <c r="T84" s="14" t="str">
        <f>_xll.PLContribFull(J84*100,"ASK",R84,"Slot46","TICKER",3,,"Valid")</f>
        <v>0.930 (12:14:42.790167)</v>
      </c>
      <c r="U84" s="3" t="s">
        <v>1216</v>
      </c>
      <c r="V84" s="14" t="str">
        <f>_xll.PLContribFull(D84*100,"BID",U84,"Slot46","TICKER",3,,"Valid")</f>
        <v>1.120 (12:14:42.756167)</v>
      </c>
      <c r="W84" s="5" t="str">
        <f>_xll.PLContribFull(K84*100,"ASK",U84,"Slot46","TICKER",3,,"Valid")</f>
        <v>1.720 (12:14:42.785170)</v>
      </c>
      <c r="X84" s="15" t="s">
        <v>1227</v>
      </c>
      <c r="Y84" s="14" t="str">
        <f>_xll.PLContribFull(E84*100,"BID",X84,"Slot46","TICKER",3,,"Valid")</f>
        <v>0.070 (12:14:42.780166)</v>
      </c>
      <c r="Z84" s="14" t="str">
        <f>_xll.PLContribFull(L84*100,"ASK",X84,"Slot46","TICKER",3,,"Valid")</f>
        <v>0.270 (12:14:42.748167)</v>
      </c>
      <c r="AA84" s="3" t="s">
        <v>1238</v>
      </c>
      <c r="AB84" s="14" t="str">
        <f>_xll.PLContribFull(F84*100,"BID",AA84,"Slot46","TICKER",3,,"Valid")</f>
        <v>0.370 (12:14:42.780166)</v>
      </c>
      <c r="AC84" s="5" t="str">
        <f>_xll.PLContribFull(M84*100,"ASK",AA84,"Slot46","TICKER",3,,"Valid")</f>
        <v>0.770 (12:14:42.749167)</v>
      </c>
      <c r="AD84" s="16"/>
    </row>
    <row r="85" spans="1:30" s="1" customFormat="1" x14ac:dyDescent="0.2">
      <c r="A85" s="12" t="s">
        <v>12</v>
      </c>
      <c r="B85" s="11">
        <f>'G7 Cross Input'!Q79</f>
        <v>4.2649999999999993E-2</v>
      </c>
      <c r="C85" s="11">
        <f>'G7 Cross Input'!R79</f>
        <v>7.1999999999999998E-3</v>
      </c>
      <c r="D85" s="11">
        <f>'G7 Cross Input'!S79</f>
        <v>1.3000000000000001E-2</v>
      </c>
      <c r="E85" s="11">
        <f>'G7 Cross Input'!T79</f>
        <v>8.9999999999999998E-4</v>
      </c>
      <c r="F85" s="11">
        <f>'G7 Cross Input'!U79</f>
        <v>4.5000000000000005E-3</v>
      </c>
      <c r="H85" s="10" t="s">
        <v>12</v>
      </c>
      <c r="I85" s="11">
        <f>'G7 Cross Input'!X79</f>
        <v>4.4549999999999992E-2</v>
      </c>
      <c r="J85" s="11">
        <f>'G7 Cross Input'!Y79</f>
        <v>1.0199999999999999E-2</v>
      </c>
      <c r="K85" s="11">
        <f>'G7 Cross Input'!Z79</f>
        <v>1.9E-2</v>
      </c>
      <c r="L85" s="11">
        <f>'G7 Cross Input'!AA79</f>
        <v>2.8999999999999998E-3</v>
      </c>
      <c r="M85" s="11">
        <f>'G7 Cross Input'!AB79</f>
        <v>8.5000000000000006E-3</v>
      </c>
      <c r="O85" s="3" t="s">
        <v>1195</v>
      </c>
      <c r="P85" s="14" t="str">
        <f>_xll.PLContribFull(B85*100,"BID",O85,"Slot46","TICKER",3,,"Valid")</f>
        <v>4.265 (12:14:42.791166)</v>
      </c>
      <c r="Q85" s="5" t="str">
        <f>_xll.PLContribFull(I85*100,"ASK",O85,"Slot46","TICKER",3,,"Valid")</f>
        <v>4.455 (12:14:42.787167)</v>
      </c>
      <c r="R85" s="15" t="s">
        <v>1205</v>
      </c>
      <c r="S85" s="14" t="str">
        <f>_xll.PLContribFull(C85*100,"BID",R85,"Slot46","TICKER",3,,"Valid")</f>
        <v>0.720 (12:14:42.783166)</v>
      </c>
      <c r="T85" s="14" t="str">
        <f>_xll.PLContribFull(J85*100,"ASK",R85,"Slot46","TICKER",3,,"Valid")</f>
        <v>1.020 (12:14:42.754169)</v>
      </c>
      <c r="U85" s="3" t="s">
        <v>1217</v>
      </c>
      <c r="V85" s="14" t="str">
        <f>_xll.PLContribFull(D85*100,"BID",U85,"Slot46","TICKER",3,,"Valid")</f>
        <v>1.300 (12:14:42.784167)</v>
      </c>
      <c r="W85" s="5" t="str">
        <f>_xll.PLContribFull(K85*100,"ASK",U85,"Slot46","TICKER",3,,"Valid")</f>
        <v>1.900 (12:14:42.781168)</v>
      </c>
      <c r="X85" s="15" t="s">
        <v>1228</v>
      </c>
      <c r="Y85" s="14" t="str">
        <f>_xll.PLContribFull(E85*100,"BID",X85,"Slot46","TICKER",3,,"Valid")</f>
        <v>0.090 (12:14:42.753167)</v>
      </c>
      <c r="Z85" s="14" t="str">
        <f>_xll.PLContribFull(L85*100,"ASK",X85,"Slot46","TICKER",3,,"Valid")</f>
        <v>0.290 (12:14:42.791166)</v>
      </c>
      <c r="AA85" s="3" t="s">
        <v>1239</v>
      </c>
      <c r="AB85" s="14" t="str">
        <f>_xll.PLContribFull(F85*100,"BID",AA85,"Slot46","TICKER",3,,"Valid")</f>
        <v>0.450 (12:14:42.787167)</v>
      </c>
      <c r="AC85" s="5" t="str">
        <f>_xll.PLContribFull(M85*100,"ASK",AA85,"Slot46","TICKER",3,,"Valid")</f>
        <v>0.850 (12:14:42.793169)</v>
      </c>
      <c r="AD85" s="16"/>
    </row>
    <row r="86" spans="1:30" s="1" customFormat="1" x14ac:dyDescent="0.2">
      <c r="A86" s="12" t="s">
        <v>13</v>
      </c>
      <c r="B86" s="11">
        <f>'G7 Cross Input'!Q80</f>
        <v>4.4450000000000003E-2</v>
      </c>
      <c r="C86" s="11">
        <f>'G7 Cross Input'!R80</f>
        <v>8.0000000000000002E-3</v>
      </c>
      <c r="D86" s="11">
        <f>'G7 Cross Input'!S80</f>
        <v>1.4700000000000001E-2</v>
      </c>
      <c r="E86" s="11">
        <f>'G7 Cross Input'!T80</f>
        <v>1.0999999999999998E-3</v>
      </c>
      <c r="F86" s="11">
        <f>'G7 Cross Input'!U80</f>
        <v>5.0999999999999995E-3</v>
      </c>
      <c r="H86" s="10" t="s">
        <v>13</v>
      </c>
      <c r="I86" s="11">
        <f>'G7 Cross Input'!X80</f>
        <v>4.6350000000000002E-2</v>
      </c>
      <c r="J86" s="11">
        <f>'G7 Cross Input'!Y80</f>
        <v>1.0999999999999999E-2</v>
      </c>
      <c r="K86" s="11">
        <f>'G7 Cross Input'!Z80</f>
        <v>2.07E-2</v>
      </c>
      <c r="L86" s="11">
        <f>'G7 Cross Input'!AA80</f>
        <v>3.0999999999999999E-3</v>
      </c>
      <c r="M86" s="11">
        <f>'G7 Cross Input'!AB80</f>
        <v>9.1000000000000004E-3</v>
      </c>
      <c r="O86" s="3" t="s">
        <v>1196</v>
      </c>
      <c r="P86" s="14" t="str">
        <f>_xll.PLContribFull(B86*100,"BID",O86,"Slot46","TICKER",3,,"Valid")</f>
        <v>4.445 (12:14:42.793169)</v>
      </c>
      <c r="Q86" s="5" t="str">
        <f>_xll.PLContribFull(I86*100,"ASK",O86,"Slot46","TICKER",3,,"Valid")</f>
        <v>4.635 (12:14:42.789167)</v>
      </c>
      <c r="R86" s="15" t="s">
        <v>1206</v>
      </c>
      <c r="S86" s="14" t="str">
        <f>_xll.PLContribFull(C86*100,"BID",R86,"Slot46","TICKER",3,,"Valid")</f>
        <v>0.800 (12:14:42.781168)</v>
      </c>
      <c r="T86" s="14" t="str">
        <f>_xll.PLContribFull(J86*100,"ASK",R86,"Slot46","TICKER",3,,"Valid")</f>
        <v>1.100 (12:14:42.790167)</v>
      </c>
      <c r="U86" s="3" t="s">
        <v>1218</v>
      </c>
      <c r="V86" s="14" t="str">
        <f>_xll.PLContribFull(D86*100,"BID",U86,"Slot46","TICKER",3,,"Valid")</f>
        <v>1.470 (12:14:42.791166)</v>
      </c>
      <c r="W86" s="5" t="str">
        <f>_xll.PLContribFull(K86*100,"ASK",U86,"Slot46","TICKER",3,,"Valid")</f>
        <v>2.070 (12:14:42.780166)</v>
      </c>
      <c r="X86" s="15" t="s">
        <v>1229</v>
      </c>
      <c r="Y86" s="14" t="str">
        <f>_xll.PLContribFull(E86*100,"BID",X86,"Slot46","TICKER",3,,"Valid")</f>
        <v>0.110 (12:14:42.786167)</v>
      </c>
      <c r="Z86" s="14" t="str">
        <f>_xll.PLContribFull(L86*100,"ASK",X86,"Slot46","TICKER",3,,"Valid")</f>
        <v>0.310 (12:14:42.790167)</v>
      </c>
      <c r="AA86" s="3" t="s">
        <v>1240</v>
      </c>
      <c r="AB86" s="14" t="str">
        <f>_xll.PLContribFull(F86*100,"BID",AA86,"Slot46","TICKER",3,,"Valid")</f>
        <v>0.510 (12:14:42.793169)</v>
      </c>
      <c r="AC86" s="5" t="str">
        <f>_xll.PLContribFull(M86*100,"ASK",AA86,"Slot46","TICKER",3,,"Valid")</f>
        <v>0.910 (12:14:42.795166)</v>
      </c>
      <c r="AD86" s="16"/>
    </row>
    <row r="87" spans="1:30" s="1" customFormat="1" x14ac:dyDescent="0.2">
      <c r="A87" s="12" t="s">
        <v>14</v>
      </c>
      <c r="B87" s="11">
        <f>'G7 Cross Input'!Q81</f>
        <v>4.7550000000000002E-2</v>
      </c>
      <c r="C87" s="11">
        <f>'G7 Cross Input'!R81</f>
        <v>9.2000000000000016E-3</v>
      </c>
      <c r="D87" s="11">
        <f>'G7 Cross Input'!S81</f>
        <v>1.6799999999999999E-2</v>
      </c>
      <c r="E87" s="11">
        <f>'G7 Cross Input'!T81</f>
        <v>1.5E-3</v>
      </c>
      <c r="F87" s="11">
        <f>'G7 Cross Input'!U81</f>
        <v>6.3999999999999994E-3</v>
      </c>
      <c r="H87" s="10" t="s">
        <v>14</v>
      </c>
      <c r="I87" s="11">
        <f>'G7 Cross Input'!X81</f>
        <v>5.0249999999999996E-2</v>
      </c>
      <c r="J87" s="11">
        <f>'G7 Cross Input'!Y81</f>
        <v>1.2200000000000001E-2</v>
      </c>
      <c r="K87" s="11">
        <f>'G7 Cross Input'!Z81</f>
        <v>2.2799999999999997E-2</v>
      </c>
      <c r="L87" s="11">
        <f>'G7 Cross Input'!AA81</f>
        <v>3.5000000000000001E-3</v>
      </c>
      <c r="M87" s="11">
        <f>'G7 Cross Input'!AB81</f>
        <v>1.04E-2</v>
      </c>
      <c r="O87" s="3" t="s">
        <v>1197</v>
      </c>
      <c r="P87" s="14" t="str">
        <f>_xll.PLContribFull(B87*100,"BID",O87,"Slot46","TICKER",3,,"Valid")</f>
        <v>4.755 (12:14:42.795166)</v>
      </c>
      <c r="Q87" s="5" t="str">
        <f>_xll.PLContribFull(I87*100,"ASK",O87,"Slot46","TICKER",3,,"Valid")</f>
        <v>5.025 (12:14:42.797167)</v>
      </c>
      <c r="R87" s="15" t="s">
        <v>1207</v>
      </c>
      <c r="S87" s="14" t="str">
        <f>_xll.PLContribFull(C87*100,"BID",R87,"Slot46","TICKER",3,,"Valid")</f>
        <v>0.920 (12:14:42.790167)</v>
      </c>
      <c r="T87" s="14" t="str">
        <f>_xll.PLContribFull(J87*100,"ASK",R87,"Slot46","TICKER",3,,"Valid")</f>
        <v>1.220 (12:14:42.780166)</v>
      </c>
      <c r="U87" s="3" t="s">
        <v>1219</v>
      </c>
      <c r="V87" s="14" t="str">
        <f>_xll.PLContribFull(D87*100,"BID",U87,"Slot46","TICKER",3,,"Valid")</f>
        <v>1.680 (12:14:42.783166)</v>
      </c>
      <c r="W87" s="5" t="str">
        <f>_xll.PLContribFull(K87*100,"ASK",U87,"Slot46","TICKER",3,,"Valid")</f>
        <v>2.280 (12:14:42.795166)</v>
      </c>
      <c r="X87" s="15" t="s">
        <v>1230</v>
      </c>
      <c r="Y87" s="14" t="str">
        <f>_xll.PLContribFull(E87*100,"BID",X87,"Slot46","TICKER",3,,"Valid")</f>
        <v>0.150 (12:14:42.788167)</v>
      </c>
      <c r="Z87" s="14" t="str">
        <f>_xll.PLContribFull(L87*100,"ASK",X87,"Slot46","TICKER",3,,"Valid")</f>
        <v>0.350 (12:14:42.798166)</v>
      </c>
      <c r="AA87" s="3" t="s">
        <v>1241</v>
      </c>
      <c r="AB87" s="14" t="str">
        <f>_xll.PLContribFull(F87*100,"BID",AA87,"Slot46","TICKER",3,,"Valid")</f>
        <v>0.640 (12:14:42.795166)</v>
      </c>
      <c r="AC87" s="5" t="str">
        <f>_xll.PLContribFull(M87*100,"ASK",AA87,"Slot46","TICKER",3,,"Valid")</f>
        <v>1.040 (12:14:42.784167)</v>
      </c>
      <c r="AD87" s="16"/>
    </row>
    <row r="88" spans="1:30" s="1" customFormat="1" x14ac:dyDescent="0.2">
      <c r="A88" s="12" t="s">
        <v>876</v>
      </c>
      <c r="B88" s="11">
        <f>'G7 Cross Input'!Q82</f>
        <v>4.9549999999999997E-2</v>
      </c>
      <c r="C88" s="11">
        <f>'G7 Cross Input'!R82</f>
        <v>9.700000000000002E-3</v>
      </c>
      <c r="D88" s="11">
        <f>'G7 Cross Input'!S82</f>
        <v>1.7899999999999999E-2</v>
      </c>
      <c r="E88" s="11">
        <f>'G7 Cross Input'!T82</f>
        <v>1.7000000000000001E-3</v>
      </c>
      <c r="F88" s="11">
        <f>'G7 Cross Input'!U82</f>
        <v>7.1000000000000004E-3</v>
      </c>
      <c r="H88" s="10" t="s">
        <v>876</v>
      </c>
      <c r="I88" s="11">
        <f>'G7 Cross Input'!X82</f>
        <v>5.3849999999999995E-2</v>
      </c>
      <c r="J88" s="11">
        <f>'G7 Cross Input'!Y82</f>
        <v>1.2700000000000001E-2</v>
      </c>
      <c r="K88" s="11">
        <f>'G7 Cross Input'!Z82</f>
        <v>2.3899999999999998E-2</v>
      </c>
      <c r="L88" s="11">
        <f>'G7 Cross Input'!AA82</f>
        <v>3.7000000000000002E-3</v>
      </c>
      <c r="M88" s="11">
        <f>'G7 Cross Input'!AB82</f>
        <v>1.11E-2</v>
      </c>
      <c r="O88" s="3" t="s">
        <v>1198</v>
      </c>
      <c r="P88" s="14" t="str">
        <f>_xll.PLContribFull(B88*100,"BID",O88,"Slot46","TICKER",3,,"Valid")</f>
        <v>4.955 (12:14:42.782167)</v>
      </c>
      <c r="Q88" s="5" t="str">
        <f>_xll.PLContribFull(I88*100,"ASK",O88,"Slot46","TICKER",3,,"Valid")</f>
        <v>5.385 (12:14:42.789167)</v>
      </c>
      <c r="R88" s="15" t="s">
        <v>1208</v>
      </c>
      <c r="S88" s="14" t="str">
        <f>_xll.PLContribFull(C88*100,"BID",R88,"Slot46","TICKER",3,,"Valid")</f>
        <v>0.970 (12:14:42.799167)</v>
      </c>
      <c r="T88" s="14" t="str">
        <f>_xll.PLContribFull(J88*100,"ASK",R88,"Slot46","TICKER",3,,"Valid")</f>
        <v>1.270 (12:14:42.745167)</v>
      </c>
      <c r="U88" s="3" t="s">
        <v>1220</v>
      </c>
      <c r="V88" s="14" t="str">
        <f>_xll.PLContribFull(D88*100,"BID",U88,"Slot46","TICKER",3,,"Valid")</f>
        <v>1.790 (12:14:42.782167)</v>
      </c>
      <c r="W88" s="5" t="str">
        <f>_xll.PLContribFull(K88*100,"ASK",U88,"Slot46","TICKER",3,,"Valid")</f>
        <v>2.390 (12:14:42.780166)</v>
      </c>
      <c r="X88" s="15" t="s">
        <v>1231</v>
      </c>
      <c r="Y88" s="14" t="str">
        <f>_xll.PLContribFull(E88*100,"BID",X88,"Slot46","TICKER",3,,"Valid")</f>
        <v>0.170 (12:14:42.787167)</v>
      </c>
      <c r="Z88" s="14" t="str">
        <f>_xll.PLContribFull(L88*100,"ASK",X88,"Slot46","TICKER",3,,"Valid")</f>
        <v>0.370 (12:14:42.796169)</v>
      </c>
      <c r="AA88" s="3" t="s">
        <v>1242</v>
      </c>
      <c r="AB88" s="14" t="str">
        <f>_xll.PLContribFull(F88*100,"BID",AA88,"Slot46","TICKER",3,,"Valid")</f>
        <v>0.710 (12:14:42.795166)</v>
      </c>
      <c r="AC88" s="5" t="str">
        <f>_xll.PLContribFull(M88*100,"ASK",AA88,"Slot46","TICKER",3,,"Valid")</f>
        <v>1.110 (12:14:42.791166)</v>
      </c>
      <c r="AD88"/>
    </row>
    <row r="89" spans="1:30" s="1" customFormat="1" x14ac:dyDescent="0.2">
      <c r="A89" s="10"/>
      <c r="B89" s="10"/>
      <c r="C89" s="10"/>
      <c r="D89" s="10"/>
      <c r="E89" s="10"/>
      <c r="F89" s="10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8"/>
      <c r="AC89" s="18"/>
      <c r="AD89"/>
    </row>
    <row r="90" spans="1:30" s="1" customFormat="1" x14ac:dyDescent="0.25">
      <c r="A90" s="10"/>
      <c r="B90" s="10"/>
      <c r="C90" s="10"/>
      <c r="D90" s="10"/>
      <c r="E90" s="10"/>
      <c r="F90" s="10"/>
      <c r="P90" s="2"/>
      <c r="Q90" s="2"/>
      <c r="AD90"/>
    </row>
    <row r="91" spans="1:30" s="1" customFormat="1" x14ac:dyDescent="0.25">
      <c r="A91" s="10" t="s">
        <v>359</v>
      </c>
      <c r="B91" s="10"/>
      <c r="C91" s="10"/>
      <c r="D91" s="10"/>
      <c r="E91" s="10"/>
      <c r="F91" s="10"/>
      <c r="O91" s="3" t="s">
        <v>67</v>
      </c>
      <c r="P91" s="15" t="s">
        <v>68</v>
      </c>
      <c r="Q91" s="6"/>
      <c r="R91" s="15" t="s">
        <v>67</v>
      </c>
      <c r="S91" s="15" t="s">
        <v>68</v>
      </c>
      <c r="T91" s="15"/>
      <c r="U91" s="3" t="s">
        <v>67</v>
      </c>
      <c r="V91" s="15" t="s">
        <v>68</v>
      </c>
      <c r="W91" s="6"/>
      <c r="X91" s="15" t="s">
        <v>67</v>
      </c>
      <c r="Y91" s="15" t="s">
        <v>68</v>
      </c>
      <c r="Z91" s="15"/>
      <c r="AA91" s="3" t="s">
        <v>67</v>
      </c>
      <c r="AB91" s="15" t="s">
        <v>68</v>
      </c>
      <c r="AC91" s="6"/>
      <c r="AD91"/>
    </row>
    <row r="92" spans="1:30" s="1" customFormat="1" ht="14.25" x14ac:dyDescent="0.25">
      <c r="A92" s="12" t="s">
        <v>331</v>
      </c>
      <c r="B92" s="12" t="s">
        <v>0</v>
      </c>
      <c r="C92" s="12" t="s">
        <v>1</v>
      </c>
      <c r="D92" s="12" t="s">
        <v>2</v>
      </c>
      <c r="E92" s="12" t="s">
        <v>3</v>
      </c>
      <c r="F92" s="12" t="s">
        <v>4</v>
      </c>
      <c r="H92" s="10" t="s">
        <v>16</v>
      </c>
      <c r="I92" s="10" t="s">
        <v>0</v>
      </c>
      <c r="J92" s="10" t="s">
        <v>1</v>
      </c>
      <c r="K92" s="10" t="s">
        <v>2</v>
      </c>
      <c r="L92" s="10" t="s">
        <v>3</v>
      </c>
      <c r="M92" s="10" t="s">
        <v>4</v>
      </c>
      <c r="O92" s="3" t="s">
        <v>66</v>
      </c>
      <c r="P92" s="13" t="s">
        <v>15</v>
      </c>
      <c r="Q92" s="4" t="s">
        <v>16</v>
      </c>
      <c r="R92" s="15" t="s">
        <v>1</v>
      </c>
      <c r="S92" s="13" t="s">
        <v>15</v>
      </c>
      <c r="T92" s="13" t="s">
        <v>16</v>
      </c>
      <c r="U92" s="3" t="s">
        <v>2</v>
      </c>
      <c r="V92" s="13" t="s">
        <v>15</v>
      </c>
      <c r="W92" s="4" t="s">
        <v>16</v>
      </c>
      <c r="X92" s="15" t="s">
        <v>3</v>
      </c>
      <c r="Y92" s="13" t="s">
        <v>15</v>
      </c>
      <c r="Z92" s="13" t="s">
        <v>16</v>
      </c>
      <c r="AA92" s="3" t="s">
        <v>4</v>
      </c>
      <c r="AB92" s="13" t="s">
        <v>15</v>
      </c>
      <c r="AC92" s="4" t="s">
        <v>16</v>
      </c>
      <c r="AD92" s="2"/>
    </row>
    <row r="93" spans="1:30" s="1" customFormat="1" x14ac:dyDescent="0.2">
      <c r="A93" s="12" t="s">
        <v>5</v>
      </c>
      <c r="B93" s="11">
        <f>'G7 Cross Input'!Q86</f>
        <v>0.123</v>
      </c>
      <c r="C93" s="11">
        <f>'G7 Cross Input'!R86</f>
        <v>-3.8199999999999998E-2</v>
      </c>
      <c r="D93" s="11">
        <f>'G7 Cross Input'!S86</f>
        <v>-7.5299999999999992E-2</v>
      </c>
      <c r="E93" s="11">
        <f>'G7 Cross Input'!T86</f>
        <v>-9.9999999999999829E-5</v>
      </c>
      <c r="F93" s="11">
        <f>'G7 Cross Input'!U86</f>
        <v>7.1999999999999998E-3</v>
      </c>
      <c r="H93" s="10" t="s">
        <v>5</v>
      </c>
      <c r="I93" s="11">
        <f>'G7 Cross Input'!X86</f>
        <v>0.16339999999999999</v>
      </c>
      <c r="J93" s="11">
        <f>'G7 Cross Input'!Y86</f>
        <v>-2.6200000000000001E-2</v>
      </c>
      <c r="K93" s="11">
        <f>'G7 Cross Input'!Z86</f>
        <v>-5.1299999999999998E-2</v>
      </c>
      <c r="L93" s="11">
        <f>'G7 Cross Input'!AA86</f>
        <v>7.9000000000000008E-3</v>
      </c>
      <c r="M93" s="11">
        <f>'G7 Cross Input'!AB86</f>
        <v>2.3199999999999998E-2</v>
      </c>
      <c r="O93" s="3" t="s">
        <v>776</v>
      </c>
      <c r="P93" s="14" t="str">
        <f>_xll.PLContribFull(B93*100,"BID",O93,"Slot46","TICKER",3,,"Valid")</f>
        <v>12.300 (12:14:42.794168)</v>
      </c>
      <c r="Q93" s="5" t="str">
        <f>_xll.PLContribFull(I93*100,"ASK",O93,"Slot46","TICKER",3,,"Valid")</f>
        <v>16.340 (12:14:42.797167)</v>
      </c>
      <c r="R93" s="15" t="s">
        <v>786</v>
      </c>
      <c r="S93" s="14" t="str">
        <f>_xll.PLContribFull(C93*100,"BID",R93,"Slot46","TICKER",3,,"Valid")</f>
        <v>-3.820 (12:14:42.786167)</v>
      </c>
      <c r="T93" s="14" t="str">
        <f>_xll.PLContribFull(J93*100,"ASK",R93,"Slot46","TICKER",3,,"Valid")</f>
        <v>-2.620 (12:14:42.795166)</v>
      </c>
      <c r="U93" s="3" t="s">
        <v>796</v>
      </c>
      <c r="V93" s="14" t="str">
        <f>_xll.PLContribFull(D93*100,"BID",U93,"Slot46","TICKER",3,,"Valid")</f>
        <v>-7.530 (12:14:42.748167)</v>
      </c>
      <c r="W93" s="5" t="str">
        <f>_xll.PLContribFull(K93*100,"ASK",U93,"Slot46","TICKER",3,,"Valid")</f>
        <v>-5.130 (12:14:42.796169)</v>
      </c>
      <c r="X93" s="15" t="s">
        <v>806</v>
      </c>
      <c r="Y93" s="14" t="str">
        <f>_xll.PLContribFull(E93*100,"BID",X93,"Slot46","TICKER",3,,"Valid")</f>
        <v>-0.010 (12:14:42.740168)</v>
      </c>
      <c r="Z93" s="14" t="str">
        <f>_xll.PLContribFull(L93*100,"ASK",X93,"Slot46","TICKER",3,,"Valid")</f>
        <v>0.790 (12:14:42.796169)</v>
      </c>
      <c r="AA93" s="3" t="s">
        <v>816</v>
      </c>
      <c r="AB93" s="14" t="str">
        <f>_xll.PLContribFull(F93*100,"BID",AA93,"Slot46","TICKER",3,,"Valid")</f>
        <v>0.720 (12:14:42.789167)</v>
      </c>
      <c r="AC93" s="5" t="str">
        <f>_xll.PLContribFull(M93*100,"ASK",AA93,"Slot46","TICKER",3,,"Valid")</f>
        <v>2.320 (12:14:42.795166)</v>
      </c>
      <c r="AD93" s="16"/>
    </row>
    <row r="94" spans="1:30" s="1" customFormat="1" x14ac:dyDescent="0.2">
      <c r="A94" s="12" t="s">
        <v>6</v>
      </c>
      <c r="B94" s="11">
        <f>'G7 Cross Input'!Q87</f>
        <v>9.8000000000000004E-2</v>
      </c>
      <c r="C94" s="11">
        <f>'G7 Cross Input'!R87</f>
        <v>-2.6599999999999999E-2</v>
      </c>
      <c r="D94" s="11">
        <f>'G7 Cross Input'!S87</f>
        <v>-5.2400000000000002E-2</v>
      </c>
      <c r="E94" s="11">
        <f>'G7 Cross Input'!T87</f>
        <v>1.4000000000000002E-3</v>
      </c>
      <c r="F94" s="11">
        <f>'G7 Cross Input'!U87</f>
        <v>7.2000000000000015E-3</v>
      </c>
      <c r="H94" s="10" t="s">
        <v>6</v>
      </c>
      <c r="I94" s="11">
        <f>'G7 Cross Input'!X87</f>
        <v>0.11599999999999999</v>
      </c>
      <c r="J94" s="11">
        <f>'G7 Cross Input'!Y87</f>
        <v>-2.1600000000000001E-2</v>
      </c>
      <c r="K94" s="11">
        <f>'G7 Cross Input'!Z87</f>
        <v>-4.2400000000000007E-2</v>
      </c>
      <c r="L94" s="11">
        <f>'G7 Cross Input'!AA87</f>
        <v>5.4000000000000003E-3</v>
      </c>
      <c r="M94" s="11">
        <f>'G7 Cross Input'!AB87</f>
        <v>1.5200000000000002E-2</v>
      </c>
      <c r="O94" s="3" t="s">
        <v>777</v>
      </c>
      <c r="P94" s="14" t="str">
        <f>_xll.PLContribFull(B94*100,"BID",O94,"Slot46","TICKER",3,,"Valid")</f>
        <v>9.800 (12:14:42.794168)</v>
      </c>
      <c r="Q94" s="5" t="str">
        <f>_xll.PLContribFull(I94*100,"ASK",O94,"Slot46","TICKER",3,,"Valid")</f>
        <v>11.600 (12:14:42.797167)</v>
      </c>
      <c r="R94" s="15" t="s">
        <v>787</v>
      </c>
      <c r="S94" s="14" t="str">
        <f>_xll.PLContribFull(C94*100,"BID",R94,"Slot46","TICKER",3,,"Valid")</f>
        <v>-2.660 (12:14:42.744167)</v>
      </c>
      <c r="T94" s="14" t="str">
        <f>_xll.PLContribFull(J94*100,"ASK",R94,"Slot46","TICKER",3,,"Valid")</f>
        <v>-2.160 (12:14:42.798166)</v>
      </c>
      <c r="U94" s="3" t="s">
        <v>797</v>
      </c>
      <c r="V94" s="14" t="str">
        <f>_xll.PLContribFull(D94*100,"BID",U94,"Slot46","TICKER",3,,"Valid")</f>
        <v>-5.240 (12:14:42.751168)</v>
      </c>
      <c r="W94" s="5" t="str">
        <f>_xll.PLContribFull(K94*100,"ASK",U94,"Slot46","TICKER",3,,"Valid")</f>
        <v>-4.240 (12:14:42.785170)</v>
      </c>
      <c r="X94" s="15" t="s">
        <v>807</v>
      </c>
      <c r="Y94" s="14" t="str">
        <f>_xll.PLContribFull(E94*100,"BID",X94,"Slot46","TICKER",3,,"Valid")</f>
        <v>0.140 (12:14:42.791166)</v>
      </c>
      <c r="Z94" s="14" t="str">
        <f>_xll.PLContribFull(L94*100,"ASK",X94,"Slot46","TICKER",3,,"Valid")</f>
        <v>0.540 (12:14:42.786167)</v>
      </c>
      <c r="AA94" s="3" t="s">
        <v>817</v>
      </c>
      <c r="AB94" s="14" t="str">
        <f>_xll.PLContribFull(F94*100,"BID",AA94,"Slot46","TICKER",3,,"Valid")</f>
        <v>0.720 (12:14:42.793169)</v>
      </c>
      <c r="AC94" s="5" t="str">
        <f>_xll.PLContribFull(M94*100,"ASK",AA94,"Slot46","TICKER",3,,"Valid")</f>
        <v>1.520 (12:14:42.780166)</v>
      </c>
      <c r="AD94" s="16"/>
    </row>
    <row r="95" spans="1:30" s="1" customFormat="1" x14ac:dyDescent="0.2">
      <c r="A95" s="12" t="s">
        <v>7</v>
      </c>
      <c r="B95" s="11">
        <f>'G7 Cross Input'!Q88</f>
        <v>9.7899999999999987E-2</v>
      </c>
      <c r="C95" s="11">
        <f>'G7 Cross Input'!R88</f>
        <v>-2.5700000000000001E-2</v>
      </c>
      <c r="D95" s="11">
        <f>'G7 Cross Input'!S88</f>
        <v>-4.9299999999999997E-2</v>
      </c>
      <c r="E95" s="11">
        <f>'G7 Cross Input'!T88</f>
        <v>1.7000000000000001E-3</v>
      </c>
      <c r="F95" s="11">
        <f>'G7 Cross Input'!U88</f>
        <v>7.8000000000000005E-3</v>
      </c>
      <c r="H95" s="10" t="s">
        <v>7</v>
      </c>
      <c r="I95" s="11">
        <f>'G7 Cross Input'!X88</f>
        <v>0.1129</v>
      </c>
      <c r="J95" s="11">
        <f>'G7 Cross Input'!Y88</f>
        <v>-2.1700000000000004E-2</v>
      </c>
      <c r="K95" s="11">
        <f>'G7 Cross Input'!Z88</f>
        <v>-4.1300000000000003E-2</v>
      </c>
      <c r="L95" s="11">
        <f>'G7 Cross Input'!AA88</f>
        <v>4.7000000000000002E-3</v>
      </c>
      <c r="M95" s="11">
        <f>'G7 Cross Input'!AB88</f>
        <v>1.38E-2</v>
      </c>
      <c r="O95" s="3" t="s">
        <v>778</v>
      </c>
      <c r="P95" s="14" t="str">
        <f>_xll.PLContribFull(B95*100,"BID",O95,"Slot46","TICKER",3,,"Valid")</f>
        <v>9.790 (12:14:42.792167)</v>
      </c>
      <c r="Q95" s="5" t="str">
        <f>_xll.PLContribFull(I95*100,"ASK",O95,"Slot46","TICKER",3,,"Valid")</f>
        <v>11.290 (12:14:42.796169)</v>
      </c>
      <c r="R95" s="15" t="s">
        <v>788</v>
      </c>
      <c r="S95" s="14" t="str">
        <f>_xll.PLContribFull(C95*100,"BID",R95,"Slot46","TICKER",3,,"Valid")</f>
        <v>-2.570 (12:14:42.793169)</v>
      </c>
      <c r="T95" s="14" t="str">
        <f>_xll.PLContribFull(J95*100,"ASK",R95,"Slot46","TICKER",3,,"Valid")</f>
        <v>-2.170 (12:14:42.743167)</v>
      </c>
      <c r="U95" s="3" t="s">
        <v>798</v>
      </c>
      <c r="V95" s="14" t="str">
        <f>_xll.PLContribFull(D95*100,"BID",U95,"Slot46","TICKER",3,,"Valid")</f>
        <v>-4.930 (12:14:42.799167)</v>
      </c>
      <c r="W95" s="5" t="str">
        <f>_xll.PLContribFull(K95*100,"ASK",U95,"Slot46","TICKER",3,,"Valid")</f>
        <v>-4.130 (12:14:42.750168)</v>
      </c>
      <c r="X95" s="15" t="s">
        <v>808</v>
      </c>
      <c r="Y95" s="14" t="str">
        <f>_xll.PLContribFull(E95*100,"BID",X95,"Slot46","TICKER",3,,"Valid")</f>
        <v>0.170 (12:14:42.794168)</v>
      </c>
      <c r="Z95" s="14" t="str">
        <f>_xll.PLContribFull(L95*100,"ASK",X95,"Slot46","TICKER",3,,"Valid")</f>
        <v>0.470 (12:14:42.795166)</v>
      </c>
      <c r="AA95" s="3" t="s">
        <v>818</v>
      </c>
      <c r="AB95" s="14" t="str">
        <f>_xll.PLContribFull(F95*100,"BID",AA95,"Slot46","TICKER",3,,"Valid")</f>
        <v>0.780 (12:14:42.798166)</v>
      </c>
      <c r="AC95" s="5" t="str">
        <f>_xll.PLContribFull(M95*100,"ASK",AA95,"Slot46","TICKER",3,,"Valid")</f>
        <v>1.380 (12:14:42.781168)</v>
      </c>
      <c r="AD95" s="16"/>
    </row>
    <row r="96" spans="1:30" s="1" customFormat="1" x14ac:dyDescent="0.2">
      <c r="A96" s="12" t="s">
        <v>8</v>
      </c>
      <c r="B96" s="11">
        <f>'G7 Cross Input'!Q89</f>
        <v>9.3100000000000002E-2</v>
      </c>
      <c r="C96" s="11">
        <f>'G7 Cross Input'!R89</f>
        <v>-2.4200000000000003E-2</v>
      </c>
      <c r="D96" s="11">
        <f>'G7 Cross Input'!S89</f>
        <v>-4.3199999999999995E-2</v>
      </c>
      <c r="E96" s="11">
        <f>'G7 Cross Input'!T89</f>
        <v>1.7000000000000001E-3</v>
      </c>
      <c r="F96" s="11">
        <f>'G7 Cross Input'!U89</f>
        <v>7.5999999999999991E-3</v>
      </c>
      <c r="H96" s="10" t="s">
        <v>8</v>
      </c>
      <c r="I96" s="11">
        <f>'G7 Cross Input'!X89</f>
        <v>9.9100000000000008E-2</v>
      </c>
      <c r="J96" s="11">
        <f>'G7 Cross Input'!Y89</f>
        <v>-2.12E-2</v>
      </c>
      <c r="K96" s="11">
        <f>'G7 Cross Input'!Z89</f>
        <v>-3.719999999999999E-2</v>
      </c>
      <c r="L96" s="11">
        <f>'G7 Cross Input'!AA89</f>
        <v>3.7000000000000002E-3</v>
      </c>
      <c r="M96" s="11">
        <f>'G7 Cross Input'!AB89</f>
        <v>1.1599999999999999E-2</v>
      </c>
      <c r="O96" s="3" t="s">
        <v>779</v>
      </c>
      <c r="P96" s="14" t="str">
        <f>_xll.PLContribFull(B96*100,"BID",O96,"Slot46","TICKER",3,,"Valid")</f>
        <v>9.310 (12:14:42.780166)</v>
      </c>
      <c r="Q96" s="5" t="str">
        <f>_xll.PLContribFull(I96*100,"ASK",O96,"Slot46","TICKER",3,,"Valid")</f>
        <v>9.910 (12:14:42.790167)</v>
      </c>
      <c r="R96" s="15" t="s">
        <v>789</v>
      </c>
      <c r="S96" s="14" t="str">
        <f>_xll.PLContribFull(C96*100,"BID",R96,"Slot46","TICKER",3,,"Valid")</f>
        <v>-2.420 (12:14:42.754169)</v>
      </c>
      <c r="T96" s="14" t="str">
        <f>_xll.PLContribFull(J96*100,"ASK",R96,"Slot46","TICKER",3,,"Valid")</f>
        <v>-2.120 (12:14:42.797167)</v>
      </c>
      <c r="U96" s="3" t="s">
        <v>799</v>
      </c>
      <c r="V96" s="14" t="str">
        <f>_xll.PLContribFull(D96*100,"BID",U96,"Slot46","TICKER",3,,"Valid")</f>
        <v>-4.320 (12:14:42.786167)</v>
      </c>
      <c r="W96" s="5" t="str">
        <f>_xll.PLContribFull(K96*100,"ASK",U96,"Slot46","TICKER",3,,"Valid")</f>
        <v>-3.720 (12:14:42.791166)</v>
      </c>
      <c r="X96" s="15" t="s">
        <v>809</v>
      </c>
      <c r="Y96" s="14" t="str">
        <f>_xll.PLContribFull(E96*100,"BID",X96,"Slot46","TICKER",3,,"Valid")</f>
        <v>0.170 (12:14:42.789167)</v>
      </c>
      <c r="Z96" s="14" t="str">
        <f>_xll.PLContribFull(L96*100,"ASK",X96,"Slot46","TICKER",3,,"Valid")</f>
        <v>0.370 (12:14:42.796169)</v>
      </c>
      <c r="AA96" s="3" t="s">
        <v>819</v>
      </c>
      <c r="AB96" s="14" t="str">
        <f>_xll.PLContribFull(F96*100,"BID",AA96,"Slot46","TICKER",3,,"Valid")</f>
        <v>0.760 (12:14:42.797167)</v>
      </c>
      <c r="AC96" s="5" t="str">
        <f>_xll.PLContribFull(M96*100,"ASK",AA96,"Slot46","TICKER",3,,"Valid")</f>
        <v>1.160 (12:14:42.787167)</v>
      </c>
      <c r="AD96" s="16"/>
    </row>
    <row r="97" spans="1:30" s="1" customFormat="1" x14ac:dyDescent="0.2">
      <c r="A97" s="12" t="s">
        <v>9</v>
      </c>
      <c r="B97" s="11">
        <f>'G7 Cross Input'!Q90</f>
        <v>8.6999999999999994E-2</v>
      </c>
      <c r="C97" s="11">
        <f>'G7 Cross Input'!R90</f>
        <v>-2.2200000000000001E-2</v>
      </c>
      <c r="D97" s="11">
        <f>'G7 Cross Input'!S90</f>
        <v>-4.0200000000000007E-2</v>
      </c>
      <c r="E97" s="11">
        <f>'G7 Cross Input'!T90</f>
        <v>1.8000000000000004E-3</v>
      </c>
      <c r="F97" s="11">
        <f>'G7 Cross Input'!U90</f>
        <v>7.7999999999999996E-3</v>
      </c>
      <c r="H97" s="10" t="s">
        <v>9</v>
      </c>
      <c r="I97" s="11">
        <f>'G7 Cross Input'!X90</f>
        <v>9.1999999999999998E-2</v>
      </c>
      <c r="J97" s="11">
        <f>'G7 Cross Input'!Y90</f>
        <v>-1.9199999999999998E-2</v>
      </c>
      <c r="K97" s="11">
        <f>'G7 Cross Input'!Z90</f>
        <v>-3.4200000000000001E-2</v>
      </c>
      <c r="L97" s="11">
        <f>'G7 Cross Input'!AA90</f>
        <v>3.8000000000000004E-3</v>
      </c>
      <c r="M97" s="11">
        <f>'G7 Cross Input'!AB90</f>
        <v>1.18E-2</v>
      </c>
      <c r="O97" s="3" t="s">
        <v>780</v>
      </c>
      <c r="P97" s="14" t="str">
        <f>_xll.PLContribFull(B97*100,"BID",O97,"Slot46","TICKER",3,,"Valid")</f>
        <v>8.700 (12:14:42.780166)</v>
      </c>
      <c r="Q97" s="5" t="str">
        <f>_xll.PLContribFull(I97*100,"ASK",O97,"Slot46","TICKER",3,,"Valid")</f>
        <v>9.200 (12:14:42.793169)</v>
      </c>
      <c r="R97" s="15" t="s">
        <v>790</v>
      </c>
      <c r="S97" s="14" t="str">
        <f>_xll.PLContribFull(C97*100,"BID",R97,"Slot46","TICKER",3,,"Valid")</f>
        <v>-2.220 (12:14:42.795166)</v>
      </c>
      <c r="T97" s="14" t="str">
        <f>_xll.PLContribFull(J97*100,"ASK",R97,"Slot46","TICKER",3,,"Valid")</f>
        <v>-1.920 (12:14:42.784167)</v>
      </c>
      <c r="U97" s="3" t="s">
        <v>800</v>
      </c>
      <c r="V97" s="14" t="str">
        <f>_xll.PLContribFull(D97*100,"BID",U97,"Slot46","TICKER",3,,"Valid")</f>
        <v>-4.020 (12:14:42.740168)</v>
      </c>
      <c r="W97" s="5" t="str">
        <f>_xll.PLContribFull(K97*100,"ASK",U97,"Slot46","TICKER",3,,"Valid")</f>
        <v>-3.420 (12:14:42.798166)</v>
      </c>
      <c r="X97" s="15" t="s">
        <v>810</v>
      </c>
      <c r="Y97" s="14" t="str">
        <f>_xll.PLContribFull(E97*100,"BID",X97,"Slot46","TICKER",3,,"Valid")</f>
        <v>0.180 (12:14:42.798166)</v>
      </c>
      <c r="Z97" s="14" t="str">
        <f>_xll.PLContribFull(L97*100,"ASK",X97,"Slot46","TICKER",3,,"Valid")</f>
        <v>0.380 (12:14:42.749167)</v>
      </c>
      <c r="AA97" s="3" t="s">
        <v>820</v>
      </c>
      <c r="AB97" s="14" t="str">
        <f>_xll.PLContribFull(F97*100,"BID",AA97,"Slot46","TICKER",3,,"Valid")</f>
        <v>0.780 (12:14:42.782167)</v>
      </c>
      <c r="AC97" s="5" t="str">
        <f>_xll.PLContribFull(M97*100,"ASK",AA97,"Slot46","TICKER",3,,"Valid")</f>
        <v>1.180 (12:14:42.795166)</v>
      </c>
      <c r="AD97" s="16"/>
    </row>
    <row r="98" spans="1:30" s="1" customFormat="1" x14ac:dyDescent="0.2">
      <c r="A98" s="12" t="s">
        <v>10</v>
      </c>
      <c r="B98" s="11">
        <f>'G7 Cross Input'!Q91</f>
        <v>8.43E-2</v>
      </c>
      <c r="C98" s="11">
        <f>'G7 Cross Input'!R91</f>
        <v>-2.07E-2</v>
      </c>
      <c r="D98" s="11">
        <f>'G7 Cross Input'!S91</f>
        <v>-3.8200000000000005E-2</v>
      </c>
      <c r="E98" s="11">
        <f>'G7 Cross Input'!T91</f>
        <v>2E-3</v>
      </c>
      <c r="F98" s="11">
        <f>'G7 Cross Input'!U91</f>
        <v>8.3000000000000001E-3</v>
      </c>
      <c r="H98" s="10" t="s">
        <v>10</v>
      </c>
      <c r="I98" s="11">
        <f>'G7 Cross Input'!X91</f>
        <v>8.8699999999999987E-2</v>
      </c>
      <c r="J98" s="11">
        <f>'G7 Cross Input'!Y91</f>
        <v>-1.7699999999999997E-2</v>
      </c>
      <c r="K98" s="11">
        <f>'G7 Cross Input'!Z91</f>
        <v>-3.2199999999999999E-2</v>
      </c>
      <c r="L98" s="11">
        <f>'G7 Cross Input'!AA91</f>
        <v>4.0000000000000001E-3</v>
      </c>
      <c r="M98" s="11">
        <f>'G7 Cross Input'!AB91</f>
        <v>1.23E-2</v>
      </c>
      <c r="O98" s="3" t="s">
        <v>781</v>
      </c>
      <c r="P98" s="14" t="str">
        <f>_xll.PLContribFull(B98*100,"BID",O98,"Slot46","TICKER",3,,"Valid")</f>
        <v>8.430 (12:14:42.783166)</v>
      </c>
      <c r="Q98" s="5" t="str">
        <f>_xll.PLContribFull(I98*100,"ASK",O98,"Slot46","TICKER",3,,"Valid")</f>
        <v>8.870 (12:14:42.792167)</v>
      </c>
      <c r="R98" s="15" t="s">
        <v>791</v>
      </c>
      <c r="S98" s="14" t="str">
        <f>_xll.PLContribFull(C98*100,"BID",R98,"Slot46","TICKER",3,,"Valid")</f>
        <v>-2.070 (12:14:42.794168)</v>
      </c>
      <c r="T98" s="14" t="str">
        <f>_xll.PLContribFull(J98*100,"ASK",R98,"Slot46","TICKER",3,,"Valid")</f>
        <v>-1.770 (12:14:42.799167)</v>
      </c>
      <c r="U98" s="3" t="s">
        <v>801</v>
      </c>
      <c r="V98" s="14" t="str">
        <f>_xll.PLContribFull(D98*100,"BID",U98,"Slot46","TICKER",3,,"Valid")</f>
        <v>-3.820 (12:14:42.798166)</v>
      </c>
      <c r="W98" s="5" t="str">
        <f>_xll.PLContribFull(K98*100,"ASK",U98,"Slot46","TICKER",3,,"Valid")</f>
        <v>-3.220 (12:14:42.794168)</v>
      </c>
      <c r="X98" s="15" t="s">
        <v>811</v>
      </c>
      <c r="Y98" s="14" t="str">
        <f>_xll.PLContribFull(E98*100,"BID",X98,"Slot46","TICKER",3,,"Valid")</f>
        <v>0.200 (12:14:42.798166)</v>
      </c>
      <c r="Z98" s="14" t="str">
        <f>_xll.PLContribFull(L98*100,"ASK",X98,"Slot46","TICKER",3,,"Valid")</f>
        <v>0.400 (12:14:42.797167)</v>
      </c>
      <c r="AA98" s="3" t="s">
        <v>821</v>
      </c>
      <c r="AB98" s="14" t="str">
        <f>_xll.PLContribFull(F98*100,"BID",AA98,"Slot46","TICKER",3,,"Valid")</f>
        <v>0.830 (12:14:42.787167)</v>
      </c>
      <c r="AC98" s="5" t="str">
        <f>_xll.PLContribFull(M98*100,"ASK",AA98,"Slot46","TICKER",3,,"Valid")</f>
        <v>1.230 (12:14:42.799167)</v>
      </c>
      <c r="AD98" s="16"/>
    </row>
    <row r="99" spans="1:30" s="1" customFormat="1" x14ac:dyDescent="0.2">
      <c r="A99" s="12" t="s">
        <v>11</v>
      </c>
      <c r="B99" s="11">
        <f>'G7 Cross Input'!Q92</f>
        <v>8.115E-2</v>
      </c>
      <c r="C99" s="11">
        <f>'G7 Cross Input'!R92</f>
        <v>-1.5699999999999999E-2</v>
      </c>
      <c r="D99" s="11">
        <f>'G7 Cross Input'!S92</f>
        <v>-3.0200000000000001E-2</v>
      </c>
      <c r="E99" s="11">
        <f>'G7 Cross Input'!T92</f>
        <v>2.3E-3</v>
      </c>
      <c r="F99" s="11">
        <f>'G7 Cross Input'!U92</f>
        <v>9.4999999999999998E-3</v>
      </c>
      <c r="H99" s="10" t="s">
        <v>11</v>
      </c>
      <c r="I99" s="11">
        <f>'G7 Cross Input'!X92</f>
        <v>8.5249999999999992E-2</v>
      </c>
      <c r="J99" s="11">
        <f>'G7 Cross Input'!Y92</f>
        <v>-1.2699999999999999E-2</v>
      </c>
      <c r="K99" s="11">
        <f>'G7 Cross Input'!Z92</f>
        <v>-2.4200000000000003E-2</v>
      </c>
      <c r="L99" s="11">
        <f>'G7 Cross Input'!AA92</f>
        <v>4.3E-3</v>
      </c>
      <c r="M99" s="11">
        <f>'G7 Cross Input'!AB92</f>
        <v>1.35E-2</v>
      </c>
      <c r="O99" s="3" t="s">
        <v>782</v>
      </c>
      <c r="P99" s="14" t="str">
        <f>_xll.PLContribFull(B99*100,"BID",O99,"Slot46","TICKER",3,,"Valid")</f>
        <v>8.115 (12:14:42.782167)</v>
      </c>
      <c r="Q99" s="5" t="str">
        <f>_xll.PLContribFull(I99*100,"ASK",O99,"Slot46","TICKER",3,,"Valid")</f>
        <v>8.525 (12:14:42.788167)</v>
      </c>
      <c r="R99" s="15" t="s">
        <v>792</v>
      </c>
      <c r="S99" s="14" t="str">
        <f>_xll.PLContribFull(C99*100,"BID",R99,"Slot46","TICKER",3,,"Valid")</f>
        <v>-1.570 (12:14:42.785170)</v>
      </c>
      <c r="T99" s="14" t="str">
        <f>_xll.PLContribFull(J99*100,"ASK",R99,"Slot46","TICKER",3,,"Valid")</f>
        <v>-1.270 (12:14:42.743167)</v>
      </c>
      <c r="U99" s="3" t="s">
        <v>802</v>
      </c>
      <c r="V99" s="14" t="str">
        <f>_xll.PLContribFull(D99*100,"BID",U99,"Slot46","TICKER",3,,"Valid")</f>
        <v>-3.020 (12:14:42.786167)</v>
      </c>
      <c r="W99" s="5" t="str">
        <f>_xll.PLContribFull(K99*100,"ASK",U99,"Slot46","TICKER",3,,"Valid")</f>
        <v>-2.420 (12:14:42.798166)</v>
      </c>
      <c r="X99" s="15" t="s">
        <v>812</v>
      </c>
      <c r="Y99" s="14" t="str">
        <f>_xll.PLContribFull(E99*100,"BID",X99,"Slot46","TICKER",3,,"Valid")</f>
        <v>0.230 (12:14:42.791166)</v>
      </c>
      <c r="Z99" s="14" t="str">
        <f>_xll.PLContribFull(L99*100,"ASK",X99,"Slot46","TICKER",3,,"Valid")</f>
        <v>0.430 (12:14:42.789167)</v>
      </c>
      <c r="AA99" s="3" t="s">
        <v>822</v>
      </c>
      <c r="AB99" s="14" t="str">
        <f>_xll.PLContribFull(F99*100,"BID",AA99,"Slot46","TICKER",3,,"Valid")</f>
        <v>0.950 (12:14:42.756167)</v>
      </c>
      <c r="AC99" s="5" t="str">
        <f>_xll.PLContribFull(M99*100,"ASK",AA99,"Slot46","TICKER",3,,"Valid")</f>
        <v>1.350 (12:14:42.785170)</v>
      </c>
      <c r="AD99" s="16"/>
    </row>
    <row r="100" spans="1:30" s="1" customFormat="1" x14ac:dyDescent="0.2">
      <c r="A100" s="12" t="s">
        <v>12</v>
      </c>
      <c r="B100" s="11">
        <f>'G7 Cross Input'!Q93</f>
        <v>8.1550000000000011E-2</v>
      </c>
      <c r="C100" s="11">
        <f>'G7 Cross Input'!R93</f>
        <v>-1.1599999999999999E-2</v>
      </c>
      <c r="D100" s="11">
        <f>'G7 Cross Input'!S93</f>
        <v>-2.3199999999999998E-2</v>
      </c>
      <c r="E100" s="11">
        <f>'G7 Cross Input'!T93</f>
        <v>2.4000000000000002E-3</v>
      </c>
      <c r="F100" s="11">
        <f>'G7 Cross Input'!U93</f>
        <v>9.8999999999999991E-3</v>
      </c>
      <c r="H100" s="10" t="s">
        <v>12</v>
      </c>
      <c r="I100" s="11">
        <f>'G7 Cross Input'!X93</f>
        <v>8.5449999999999998E-2</v>
      </c>
      <c r="J100" s="11">
        <f>'G7 Cross Input'!Y93</f>
        <v>-8.6E-3</v>
      </c>
      <c r="K100" s="11">
        <f>'G7 Cross Input'!Z93</f>
        <v>-1.72E-2</v>
      </c>
      <c r="L100" s="11">
        <f>'G7 Cross Input'!AA93</f>
        <v>4.4000000000000003E-3</v>
      </c>
      <c r="M100" s="11">
        <f>'G7 Cross Input'!AB93</f>
        <v>1.3899999999999999E-2</v>
      </c>
      <c r="O100" s="3" t="s">
        <v>783</v>
      </c>
      <c r="P100" s="14" t="str">
        <f>_xll.PLContribFull(B100*100,"BID",O100,"Slot46","TICKER",3,,"Valid")</f>
        <v>8.155 (12:14:42.795166)</v>
      </c>
      <c r="Q100" s="5" t="str">
        <f>_xll.PLContribFull(I100*100,"ASK",O100,"Slot46","TICKER",3,,"Valid")</f>
        <v>8.545 (12:14:42.788167)</v>
      </c>
      <c r="R100" s="15" t="s">
        <v>793</v>
      </c>
      <c r="S100" s="14" t="str">
        <f>_xll.PLContribFull(C100*100,"BID",R100,"Slot46","TICKER",3,,"Valid")</f>
        <v>-1.160 (12:14:42.790167)</v>
      </c>
      <c r="T100" s="14" t="str">
        <f>_xll.PLContribFull(J100*100,"ASK",R100,"Slot46","TICKER",3,,"Valid")</f>
        <v>-0.860 (12:14:42.781168)</v>
      </c>
      <c r="U100" s="3" t="s">
        <v>803</v>
      </c>
      <c r="V100" s="14" t="str">
        <f>_xll.PLContribFull(D100*100,"BID",U100,"Slot46","TICKER",3,,"Valid")</f>
        <v>-2.320 (12:14:42.799167)</v>
      </c>
      <c r="W100" s="5" t="str">
        <f>_xll.PLContribFull(K100*100,"ASK",U100,"Slot46","TICKER",3,,"Valid")</f>
        <v>-1.720 (12:14:42.792167)</v>
      </c>
      <c r="X100" s="15" t="s">
        <v>813</v>
      </c>
      <c r="Y100" s="14" t="str">
        <f>_xll.PLContribFull(E100*100,"BID",X100,"Slot46","TICKER",3,,"Valid")</f>
        <v>0.240 (12:14:42.790167)</v>
      </c>
      <c r="Z100" s="14" t="str">
        <f>_xll.PLContribFull(L100*100,"ASK",X100,"Slot46","TICKER",3,,"Valid")</f>
        <v>0.440 (12:14:42.796169)</v>
      </c>
      <c r="AA100" s="3" t="s">
        <v>823</v>
      </c>
      <c r="AB100" s="14" t="str">
        <f>_xll.PLContribFull(F100*100,"BID",AA100,"Slot46","TICKER",3,,"Valid")</f>
        <v>0.990 (12:14:42.799167)</v>
      </c>
      <c r="AC100" s="5" t="str">
        <f>_xll.PLContribFull(M100*100,"ASK",AA100,"Slot46","TICKER",3,,"Valid")</f>
        <v>1.390 (12:14:42.797167)</v>
      </c>
      <c r="AD100" s="16"/>
    </row>
    <row r="101" spans="1:30" s="1" customFormat="1" x14ac:dyDescent="0.2">
      <c r="A101" s="12" t="s">
        <v>13</v>
      </c>
      <c r="B101" s="11">
        <f>'G7 Cross Input'!Q94</f>
        <v>8.0649999999999999E-2</v>
      </c>
      <c r="C101" s="11">
        <f>'G7 Cross Input'!R94</f>
        <v>-9.1999999999999998E-3</v>
      </c>
      <c r="D101" s="11">
        <f>'G7 Cross Input'!S94</f>
        <v>-1.8700000000000001E-2</v>
      </c>
      <c r="E101" s="11">
        <f>'G7 Cross Input'!T94</f>
        <v>2.4000000000000002E-3</v>
      </c>
      <c r="F101" s="11">
        <f>'G7 Cross Input'!U94</f>
        <v>1.0199999999999999E-2</v>
      </c>
      <c r="H101" s="10" t="s">
        <v>13</v>
      </c>
      <c r="I101" s="11">
        <f>'G7 Cross Input'!X94</f>
        <v>8.4949999999999998E-2</v>
      </c>
      <c r="J101" s="11">
        <f>'G7 Cross Input'!Y94</f>
        <v>-6.2000000000000006E-3</v>
      </c>
      <c r="K101" s="11">
        <f>'G7 Cross Input'!Z94</f>
        <v>-1.2700000000000003E-2</v>
      </c>
      <c r="L101" s="11">
        <f>'G7 Cross Input'!AA94</f>
        <v>4.4000000000000003E-3</v>
      </c>
      <c r="M101" s="11">
        <f>'G7 Cross Input'!AB94</f>
        <v>1.4199999999999999E-2</v>
      </c>
      <c r="O101" s="3" t="s">
        <v>784</v>
      </c>
      <c r="P101" s="14" t="str">
        <f>_xll.PLContribFull(B101*100,"BID",O101,"Slot46","TICKER",3,,"Valid")</f>
        <v>8.065 (12:14:42.783166)</v>
      </c>
      <c r="Q101" s="5" t="str">
        <f>_xll.PLContribFull(I101*100,"ASK",O101,"Slot46","TICKER",3,,"Valid")</f>
        <v>8.495 (12:14:42.799167)</v>
      </c>
      <c r="R101" s="15" t="s">
        <v>794</v>
      </c>
      <c r="S101" s="14" t="str">
        <f>_xll.PLContribFull(C101*100,"BID",R101,"Slot46","TICKER",3,,"Valid")</f>
        <v>-0.920 (12:14:42.754169)</v>
      </c>
      <c r="T101" s="14" t="str">
        <f>_xll.PLContribFull(J101*100,"ASK",R101,"Slot46","TICKER",3,,"Valid")</f>
        <v>-0.620 (12:14:42.784167)</v>
      </c>
      <c r="U101" s="3" t="s">
        <v>804</v>
      </c>
      <c r="V101" s="14" t="str">
        <f>_xll.PLContribFull(D101*100,"BID",U101,"Slot46","TICKER",3,,"Valid")</f>
        <v>-1.870 (12:14:42.751168)</v>
      </c>
      <c r="W101" s="5" t="str">
        <f>_xll.PLContribFull(K101*100,"ASK",U101,"Slot46","TICKER",3,,"Valid")</f>
        <v>-1.270 (12:14:42.784167)</v>
      </c>
      <c r="X101" s="15" t="s">
        <v>814</v>
      </c>
      <c r="Y101" s="14" t="str">
        <f>_xll.PLContribFull(E101*100,"BID",X101,"Slot46","TICKER",3,,"Valid")</f>
        <v>0.240 (12:14:42.789167)</v>
      </c>
      <c r="Z101" s="14" t="str">
        <f>_xll.PLContribFull(L101*100,"ASK",X101,"Slot46","TICKER",3,,"Valid")</f>
        <v>0.440 (12:14:42.744167)</v>
      </c>
      <c r="AA101" s="3" t="s">
        <v>824</v>
      </c>
      <c r="AB101" s="14" t="str">
        <f>_xll.PLContribFull(F101*100,"BID",AA101,"Slot46","TICKER",3,,"Valid")</f>
        <v>1.020 (12:14:42.797167)</v>
      </c>
      <c r="AC101" s="5" t="str">
        <f>_xll.PLContribFull(M101*100,"ASK",AA101,"Slot46","TICKER",3,,"Valid")</f>
        <v>1.420 (12:14:42.742167)</v>
      </c>
      <c r="AD101" s="16"/>
    </row>
    <row r="102" spans="1:30" s="1" customFormat="1" x14ac:dyDescent="0.2">
      <c r="A102" s="12" t="s">
        <v>14</v>
      </c>
      <c r="B102" s="11">
        <f>'G7 Cross Input'!Q95</f>
        <v>8.0250000000000016E-2</v>
      </c>
      <c r="C102" s="11">
        <f>'G7 Cross Input'!R95</f>
        <v>-8.8000000000000005E-3</v>
      </c>
      <c r="D102" s="11">
        <f>'G7 Cross Input'!S95</f>
        <v>-1.6899999999999998E-2</v>
      </c>
      <c r="E102" s="11">
        <f>'G7 Cross Input'!T95</f>
        <v>3.0999999999999995E-3</v>
      </c>
      <c r="F102" s="11">
        <f>'G7 Cross Input'!U95</f>
        <v>1.1899999999999999E-2</v>
      </c>
      <c r="H102" s="10" t="s">
        <v>14</v>
      </c>
      <c r="I102" s="11">
        <f>'G7 Cross Input'!X95</f>
        <v>8.5150000000000003E-2</v>
      </c>
      <c r="J102" s="11">
        <f>'G7 Cross Input'!Y95</f>
        <v>-5.7999999999999996E-3</v>
      </c>
      <c r="K102" s="11">
        <f>'G7 Cross Input'!Z95</f>
        <v>-1.09E-2</v>
      </c>
      <c r="L102" s="11">
        <f>'G7 Cross Input'!AA95</f>
        <v>5.0999999999999995E-3</v>
      </c>
      <c r="M102" s="11">
        <f>'G7 Cross Input'!AB95</f>
        <v>1.5899999999999997E-2</v>
      </c>
      <c r="O102" s="3" t="s">
        <v>785</v>
      </c>
      <c r="P102" s="14" t="str">
        <f>_xll.PLContribFull(B102*100,"BID",O102,"Slot46","TICKER",3,,"Valid")</f>
        <v>8.025 (12:14:42.796169)</v>
      </c>
      <c r="Q102" s="5" t="str">
        <f>_xll.PLContribFull(I102*100,"ASK",O102,"Slot46","TICKER",3,,"Valid")</f>
        <v>8.515 (12:14:42.796169)</v>
      </c>
      <c r="R102" s="15" t="s">
        <v>795</v>
      </c>
      <c r="S102" s="14" t="str">
        <f>_xll.PLContribFull(C102*100,"BID",R102,"Slot46","TICKER",3,,"Valid")</f>
        <v>-0.880 (12:14:42.799167)</v>
      </c>
      <c r="T102" s="14" t="str">
        <f>_xll.PLContribFull(J102*100,"ASK",R102,"Slot46","TICKER",3,,"Valid")</f>
        <v>-0.580 (12:14:42.746167)</v>
      </c>
      <c r="U102" s="3" t="s">
        <v>805</v>
      </c>
      <c r="V102" s="14" t="str">
        <f>_xll.PLContribFull(D102*100,"BID",U102,"Slot46","TICKER",3,,"Valid")</f>
        <v>-1.690 (12:14:42.788167)</v>
      </c>
      <c r="W102" s="5" t="str">
        <f>_xll.PLContribFull(K102*100,"ASK",U102,"Slot46","TICKER",3,,"Valid")</f>
        <v>-1.090 (12:14:42.783166)</v>
      </c>
      <c r="X102" s="15" t="s">
        <v>815</v>
      </c>
      <c r="Y102" s="14" t="str">
        <f>_xll.PLContribFull(E102*100,"BID",X102,"Slot46","TICKER",3,,"Valid")</f>
        <v>0.310 (12:14:42.788167)</v>
      </c>
      <c r="Z102" s="14" t="str">
        <f>_xll.PLContribFull(L102*100,"ASK",X102,"Slot46","TICKER",3,,"Valid")</f>
        <v>0.510 (12:14:42.796169)</v>
      </c>
      <c r="AA102" s="3" t="s">
        <v>825</v>
      </c>
      <c r="AB102" s="14" t="str">
        <f>_xll.PLContribFull(F102*100,"BID",AA102,"Slot46","TICKER",3,,"Valid")</f>
        <v>1.190 (12:14:42.784167)</v>
      </c>
      <c r="AC102" s="5" t="str">
        <f>_xll.PLContribFull(M102*100,"ASK",AA102,"Slot46","TICKER",3,,"Valid")</f>
        <v>1.590 (12:14:42.792167)</v>
      </c>
      <c r="AD102" s="16"/>
    </row>
    <row r="103" spans="1:30" s="1" customFormat="1" x14ac:dyDescent="0.2">
      <c r="A103" s="12" t="s">
        <v>876</v>
      </c>
      <c r="B103" s="11">
        <f>'G7 Cross Input'!Q96</f>
        <v>8.0449999999999994E-2</v>
      </c>
      <c r="C103" s="11">
        <f>'G7 Cross Input'!R96</f>
        <v>-8.3999999999999995E-3</v>
      </c>
      <c r="D103" s="11">
        <f>'G7 Cross Input'!S96</f>
        <v>-1.54E-2</v>
      </c>
      <c r="E103" s="11">
        <f>'G7 Cross Input'!T96</f>
        <v>3.3E-3</v>
      </c>
      <c r="F103" s="11">
        <f>'G7 Cross Input'!U96</f>
        <v>1.2999999999999999E-2</v>
      </c>
      <c r="H103" s="10" t="s">
        <v>876</v>
      </c>
      <c r="I103" s="11">
        <f>'G7 Cross Input'!X96</f>
        <v>8.5749999999999993E-2</v>
      </c>
      <c r="J103" s="11">
        <f>'G7 Cross Input'!Y96</f>
        <v>-5.4000000000000003E-3</v>
      </c>
      <c r="K103" s="11">
        <f>'G7 Cross Input'!Z96</f>
        <v>-9.3999999999999986E-3</v>
      </c>
      <c r="L103" s="11">
        <f>'G7 Cross Input'!AA96</f>
        <v>5.3E-3</v>
      </c>
      <c r="M103" s="11">
        <f>'G7 Cross Input'!AB96</f>
        <v>1.7000000000000001E-2</v>
      </c>
      <c r="O103" s="3" t="s">
        <v>952</v>
      </c>
      <c r="P103" s="14" t="str">
        <f>_xll.PLContribFull(B103*100,"BID",O103,"Slot46","TICKER",3,,"Valid")</f>
        <v>8.045 (12:14:42.788167)</v>
      </c>
      <c r="Q103" s="5" t="str">
        <f>_xll.PLContribFull(I103*100,"ASK",O103,"Slot46","TICKER",3,,"Valid")</f>
        <v>8.575 (12:14:42.797167)</v>
      </c>
      <c r="R103" s="15" t="s">
        <v>953</v>
      </c>
      <c r="S103" s="14" t="str">
        <f>_xll.PLContribFull(C103*100,"BID",R103,"Slot46","TICKER",3,,"Valid")</f>
        <v>-0.840 (12:14:42.798166)</v>
      </c>
      <c r="T103" s="14" t="str">
        <f>_xll.PLContribFull(J103*100,"ASK",R103,"Slot46","TICKER",3,,"Valid")</f>
        <v>-0.540 (12:14:42.791166)</v>
      </c>
      <c r="U103" s="3" t="s">
        <v>954</v>
      </c>
      <c r="V103" s="14" t="str">
        <f>_xll.PLContribFull(D103*100,"BID",U103,"Slot46","TICKER",3,,"Valid")</f>
        <v>-1.540 (12:14:42.795166)</v>
      </c>
      <c r="W103" s="5" t="str">
        <f>_xll.PLContribFull(K103*100,"ASK",U103,"Slot46","TICKER",3,,"Valid")</f>
        <v>-0.940 (12:14:42.783166)</v>
      </c>
      <c r="X103" s="15" t="s">
        <v>955</v>
      </c>
      <c r="Y103" s="14" t="str">
        <f>_xll.PLContribFull(E103*100,"BID",X103,"Slot46","TICKER",3,,"Valid")</f>
        <v>0.330 (12:14:42.756167)</v>
      </c>
      <c r="Z103" s="14" t="str">
        <f>_xll.PLContribFull(L103*100,"ASK",X103,"Slot46","TICKER",3,,"Valid")</f>
        <v>0.530 (12:14:42.784167)</v>
      </c>
      <c r="AA103" s="3" t="s">
        <v>956</v>
      </c>
      <c r="AB103" s="14" t="str">
        <f>_xll.PLContribFull(F103*100,"BID",AA103,"Slot46","TICKER",3,,"Valid")</f>
        <v>1.300 (12:14:42.746167)</v>
      </c>
      <c r="AC103" s="5" t="str">
        <f>_xll.PLContribFull(M103*100,"ASK",AA103,"Slot46","TICKER",3,,"Valid")</f>
        <v>1.700 (12:14:42.798166)</v>
      </c>
      <c r="AD103"/>
    </row>
    <row r="104" spans="1:30" s="1" customFormat="1" x14ac:dyDescent="0.2">
      <c r="A104" s="10"/>
      <c r="B104" s="10"/>
      <c r="C104" s="10"/>
      <c r="D104" s="10"/>
      <c r="E104" s="10"/>
      <c r="F104" s="10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8"/>
      <c r="AC104" s="18"/>
      <c r="AD104"/>
    </row>
    <row r="105" spans="1:30" s="1" customFormat="1" x14ac:dyDescent="0.25">
      <c r="A105" s="10"/>
      <c r="B105" s="10"/>
      <c r="C105" s="10"/>
      <c r="D105" s="10"/>
      <c r="E105" s="10"/>
      <c r="F105" s="10"/>
      <c r="P105" s="2"/>
      <c r="Q105" s="2"/>
      <c r="AD105"/>
    </row>
    <row r="106" spans="1:30" s="1" customFormat="1" x14ac:dyDescent="0.25">
      <c r="A106" s="10" t="s">
        <v>943</v>
      </c>
      <c r="B106" s="10"/>
      <c r="C106" s="10"/>
      <c r="D106" s="10"/>
      <c r="E106" s="10"/>
      <c r="F106" s="10"/>
      <c r="O106" s="3" t="s">
        <v>67</v>
      </c>
      <c r="P106" s="15" t="s">
        <v>68</v>
      </c>
      <c r="Q106" s="6"/>
      <c r="R106" s="15" t="s">
        <v>67</v>
      </c>
      <c r="S106" s="15" t="s">
        <v>68</v>
      </c>
      <c r="T106" s="15"/>
      <c r="U106" s="3" t="s">
        <v>67</v>
      </c>
      <c r="V106" s="15" t="s">
        <v>68</v>
      </c>
      <c r="W106" s="6"/>
      <c r="X106" s="15" t="s">
        <v>67</v>
      </c>
      <c r="Y106" s="15" t="s">
        <v>68</v>
      </c>
      <c r="Z106" s="15"/>
      <c r="AA106" s="3" t="s">
        <v>67</v>
      </c>
      <c r="AB106" s="15" t="s">
        <v>68</v>
      </c>
      <c r="AC106" s="6"/>
      <c r="AD106"/>
    </row>
    <row r="107" spans="1:30" s="1" customFormat="1" ht="14.25" x14ac:dyDescent="0.25">
      <c r="A107" s="12" t="s">
        <v>331</v>
      </c>
      <c r="B107" s="12" t="s">
        <v>0</v>
      </c>
      <c r="C107" s="12" t="s">
        <v>1</v>
      </c>
      <c r="D107" s="12" t="s">
        <v>2</v>
      </c>
      <c r="E107" s="12" t="s">
        <v>3</v>
      </c>
      <c r="F107" s="12" t="s">
        <v>4</v>
      </c>
      <c r="H107" s="10" t="s">
        <v>16</v>
      </c>
      <c r="I107" s="10" t="s">
        <v>0</v>
      </c>
      <c r="J107" s="10" t="s">
        <v>1</v>
      </c>
      <c r="K107" s="10" t="s">
        <v>2</v>
      </c>
      <c r="L107" s="10" t="s">
        <v>3</v>
      </c>
      <c r="M107" s="10" t="s">
        <v>4</v>
      </c>
      <c r="O107" s="3" t="s">
        <v>66</v>
      </c>
      <c r="P107" s="13" t="s">
        <v>15</v>
      </c>
      <c r="Q107" s="4" t="s">
        <v>16</v>
      </c>
      <c r="R107" s="15" t="s">
        <v>1</v>
      </c>
      <c r="S107" s="13" t="s">
        <v>15</v>
      </c>
      <c r="T107" s="13" t="s">
        <v>16</v>
      </c>
      <c r="U107" s="3" t="s">
        <v>2</v>
      </c>
      <c r="V107" s="13" t="s">
        <v>15</v>
      </c>
      <c r="W107" s="4" t="s">
        <v>16</v>
      </c>
      <c r="X107" s="15" t="s">
        <v>3</v>
      </c>
      <c r="Y107" s="13" t="s">
        <v>15</v>
      </c>
      <c r="Z107" s="13" t="s">
        <v>16</v>
      </c>
      <c r="AA107" s="3" t="s">
        <v>4</v>
      </c>
      <c r="AB107" s="13" t="s">
        <v>15</v>
      </c>
      <c r="AC107" s="4" t="s">
        <v>16</v>
      </c>
      <c r="AD107" s="2"/>
    </row>
    <row r="108" spans="1:30" s="1" customFormat="1" x14ac:dyDescent="0.2">
      <c r="A108" s="12" t="s">
        <v>5</v>
      </c>
      <c r="B108" s="11">
        <f>'G7 Cross Input'!Q100</f>
        <v>4.2000000000000003E-2</v>
      </c>
      <c r="C108" s="11">
        <f>'G7 Cross Input'!R100</f>
        <v>-3.9000000000000003E-3</v>
      </c>
      <c r="D108" s="11">
        <f>'G7 Cross Input'!S100</f>
        <v>-7.9000000000000008E-3</v>
      </c>
      <c r="E108" s="11">
        <f>'G7 Cross Input'!T100</f>
        <v>-2.8999999999999998E-3</v>
      </c>
      <c r="F108" s="11">
        <f>'G7 Cross Input'!U100</f>
        <v>-4.2000000000000006E-3</v>
      </c>
      <c r="H108" s="10" t="s">
        <v>5</v>
      </c>
      <c r="I108" s="11">
        <f>'G7 Cross Input'!X100</f>
        <v>8.299999999999999E-2</v>
      </c>
      <c r="J108" s="11">
        <f>'G7 Cross Input'!Y100</f>
        <v>8.0999999999999996E-3</v>
      </c>
      <c r="K108" s="11">
        <f>'G7 Cross Input'!Z100</f>
        <v>1.61E-2</v>
      </c>
      <c r="L108" s="11">
        <f>'G7 Cross Input'!AA100</f>
        <v>5.1000000000000004E-3</v>
      </c>
      <c r="M108" s="11">
        <f>'G7 Cross Input'!AB100</f>
        <v>1.18E-2</v>
      </c>
      <c r="O108" s="3" t="s">
        <v>1243</v>
      </c>
      <c r="P108" s="14" t="str">
        <f>_xll.PLContribFull(B108*100,"BID",O108,"Slot46","TICKER",3,,"Valid")</f>
        <v>4.200 (12:14:42.782167)</v>
      </c>
      <c r="Q108" s="5" t="str">
        <f>_xll.PLContribFull(I108*100,"ASK",O108,"Slot46","TICKER",3,,"Valid")</f>
        <v>8.300 (12:14:42.790167)</v>
      </c>
      <c r="R108" s="15" t="s">
        <v>1254</v>
      </c>
      <c r="S108" s="14" t="str">
        <f>_xll.PLContribFull(C108*100,"BID",R108,"Slot46","TICKER",3,,"Valid")</f>
        <v>-0.390 (12:14:42.796169)</v>
      </c>
      <c r="T108" s="14" t="str">
        <f>_xll.PLContribFull(J108*100,"ASK",R108,"Slot46","TICKER",3,,"Valid")</f>
        <v>0.810 (12:14:42.790167)</v>
      </c>
      <c r="U108" s="3" t="s">
        <v>1265</v>
      </c>
      <c r="V108" s="14" t="str">
        <f>_xll.PLContribFull(D108*100,"BID",U108,"Slot46","TICKER",3,,"Valid")</f>
        <v>-0.790 (12:14:42.795166)</v>
      </c>
      <c r="W108" s="5" t="str">
        <f>_xll.PLContribFull(K108*100,"ASK",U108,"Slot46","TICKER",3,,"Valid")</f>
        <v>1.610 (12:14:42.782167)</v>
      </c>
      <c r="X108" s="15" t="s">
        <v>1276</v>
      </c>
      <c r="Y108" s="14" t="str">
        <f>_xll.PLContribFull(E108*100,"BID",X108,"Slot46","TICKER",3,,"Valid")</f>
        <v>-0.290 (12:14:42.782167)</v>
      </c>
      <c r="Z108" s="14" t="str">
        <f>_xll.PLContribFull(L108*100,"ASK",X108,"Slot46","TICKER",3,,"Valid")</f>
        <v>0.510 (12:14:42.797167)</v>
      </c>
      <c r="AA108" s="3" t="s">
        <v>1287</v>
      </c>
      <c r="AB108" s="14" t="str">
        <f>_xll.PLContribFull(F108*100,"BID",AA108,"Slot46","TICKER",3,,"Valid")</f>
        <v>-0.420 (12:14:42.789167)</v>
      </c>
      <c r="AC108" s="5" t="str">
        <f>_xll.PLContribFull(M108*100,"ASK",AA108,"Slot46","TICKER",3,,"Valid")</f>
        <v>1.180 (12:14:42.753167)</v>
      </c>
      <c r="AD108" s="16"/>
    </row>
    <row r="109" spans="1:30" s="1" customFormat="1" x14ac:dyDescent="0.2">
      <c r="A109" s="12" t="s">
        <v>6</v>
      </c>
      <c r="B109" s="11">
        <f>'G7 Cross Input'!Q101</f>
        <v>4.5099999999999994E-2</v>
      </c>
      <c r="C109" s="11">
        <f>'G7 Cross Input'!R101</f>
        <v>-4.0000000000000018E-4</v>
      </c>
      <c r="D109" s="11">
        <f>'G7 Cross Input'!S101</f>
        <v>-1.2999999999999999E-3</v>
      </c>
      <c r="E109" s="11">
        <f>'G7 Cross Input'!T101</f>
        <v>-1E-3</v>
      </c>
      <c r="F109" s="11">
        <f>'G7 Cross Input'!U101</f>
        <v>-9.0000000000000019E-4</v>
      </c>
      <c r="H109" s="10" t="s">
        <v>6</v>
      </c>
      <c r="I109" s="11">
        <f>'G7 Cross Input'!X101</f>
        <v>5.79E-2</v>
      </c>
      <c r="J109" s="11">
        <f>'G7 Cross Input'!Y101</f>
        <v>4.5999999999999999E-3</v>
      </c>
      <c r="K109" s="11">
        <f>'G7 Cross Input'!Z101</f>
        <v>8.6999999999999994E-3</v>
      </c>
      <c r="L109" s="11">
        <f>'G7 Cross Input'!AA101</f>
        <v>3.0000000000000001E-3</v>
      </c>
      <c r="M109" s="11">
        <f>'G7 Cross Input'!AB101</f>
        <v>7.1000000000000004E-3</v>
      </c>
      <c r="O109" s="3" t="s">
        <v>1244</v>
      </c>
      <c r="P109" s="14" t="str">
        <f>_xll.PLContribFull(B109*100,"BID",O109,"Slot46","TICKER",3,,"Valid")</f>
        <v>4.510 (12:14:42.793169)</v>
      </c>
      <c r="Q109" s="5" t="str">
        <f>_xll.PLContribFull(I109*100,"ASK",O109,"Slot46","TICKER",3,,"Valid")</f>
        <v>5.790 (12:14:42.794168)</v>
      </c>
      <c r="R109" s="15" t="s">
        <v>1255</v>
      </c>
      <c r="S109" s="14" t="str">
        <f>_xll.PLContribFull(C109*100,"BID",R109,"Slot46","TICKER",3,,"Valid")</f>
        <v>-0.040 (12:14:42.791166)</v>
      </c>
      <c r="T109" s="14" t="str">
        <f>_xll.PLContribFull(J109*100,"ASK",R109,"Slot46","TICKER",3,,"Valid")</f>
        <v>0.460 (12:14:42.784167)</v>
      </c>
      <c r="U109" s="3" t="s">
        <v>1266</v>
      </c>
      <c r="V109" s="14" t="str">
        <f>_xll.PLContribFull(D109*100,"BID",U109,"Slot46","TICKER",3,,"Valid")</f>
        <v>-0.130 (12:14:42.798166)</v>
      </c>
      <c r="W109" s="5" t="str">
        <f>_xll.PLContribFull(K109*100,"ASK",U109,"Slot46","TICKER",3,,"Valid")</f>
        <v>0.870 (12:14:42.785170)</v>
      </c>
      <c r="X109" s="15" t="s">
        <v>1277</v>
      </c>
      <c r="Y109" s="14" t="str">
        <f>_xll.PLContribFull(E109*100,"BID",X109,"Slot46","TICKER",3,,"Valid")</f>
        <v>-0.100 (12:14:42.796169)</v>
      </c>
      <c r="Z109" s="14" t="str">
        <f>_xll.PLContribFull(L109*100,"ASK",X109,"Slot46","TICKER",3,,"Valid")</f>
        <v>0.300 (12:14:42.754169)</v>
      </c>
      <c r="AA109" s="3" t="s">
        <v>1288</v>
      </c>
      <c r="AB109" s="14" t="str">
        <f>_xll.PLContribFull(F109*100,"BID",AA109,"Slot46","TICKER",3,,"Valid")</f>
        <v>-0.090 (12:14:42.780166)</v>
      </c>
      <c r="AC109" s="5" t="str">
        <f>_xll.PLContribFull(M109*100,"ASK",AA109,"Slot46","TICKER",3,,"Valid")</f>
        <v>0.710 (12:14:42.785170)</v>
      </c>
      <c r="AD109" s="16"/>
    </row>
    <row r="110" spans="1:30" s="1" customFormat="1" x14ac:dyDescent="0.2">
      <c r="A110" s="12" t="s">
        <v>7</v>
      </c>
      <c r="B110" s="11">
        <f>'G7 Cross Input'!Q102</f>
        <v>4.5600000000000002E-2</v>
      </c>
      <c r="C110" s="11">
        <f>'G7 Cross Input'!R102</f>
        <v>2.9999999999999992E-4</v>
      </c>
      <c r="D110" s="11">
        <f>'G7 Cross Input'!S102</f>
        <v>9.9999999999999395E-5</v>
      </c>
      <c r="E110" s="11">
        <f>'G7 Cross Input'!T102</f>
        <v>-6.0000000000000006E-4</v>
      </c>
      <c r="F110" s="11">
        <f>'G7 Cross Input'!U102</f>
        <v>9.9999999999999829E-5</v>
      </c>
      <c r="H110" s="10" t="s">
        <v>7</v>
      </c>
      <c r="I110" s="11">
        <f>'G7 Cross Input'!X102</f>
        <v>5.3400000000000003E-2</v>
      </c>
      <c r="J110" s="11">
        <f>'G7 Cross Input'!Y102</f>
        <v>4.3E-3</v>
      </c>
      <c r="K110" s="11">
        <f>'G7 Cross Input'!Z102</f>
        <v>8.0999999999999996E-3</v>
      </c>
      <c r="L110" s="11">
        <f>'G7 Cross Input'!AA102</f>
        <v>2.4000000000000002E-3</v>
      </c>
      <c r="M110" s="11">
        <f>'G7 Cross Input'!AB102</f>
        <v>6.0999999999999995E-3</v>
      </c>
      <c r="O110" s="3" t="s">
        <v>1245</v>
      </c>
      <c r="P110" s="14" t="str">
        <f>_xll.PLContribFull(B110*100,"BID",O110,"Slot46","TICKER",3,,"Valid")</f>
        <v>4.560 (12:14:42.792167)</v>
      </c>
      <c r="Q110" s="5" t="str">
        <f>_xll.PLContribFull(I110*100,"ASK",O110,"Slot46","TICKER",3,,"Valid")</f>
        <v>5.340 (12:14:42.782167)</v>
      </c>
      <c r="R110" s="15" t="s">
        <v>1256</v>
      </c>
      <c r="S110" s="14" t="str">
        <f>_xll.PLContribFull(C110*100,"BID",R110,"Slot46","TICKER",3,,"Valid")</f>
        <v>0.030 (12:14:42.781168)</v>
      </c>
      <c r="T110" s="14" t="str">
        <f>_xll.PLContribFull(J110*100,"ASK",R110,"Slot46","TICKER",3,,"Valid")</f>
        <v>0.430 (12:14:42.793169)</v>
      </c>
      <c r="U110" s="3" t="s">
        <v>1267</v>
      </c>
      <c r="V110" s="14" t="str">
        <f>_xll.PLContribFull(D110*100,"BID",U110,"Slot46","TICKER",3,,"Valid")</f>
        <v>0.010 (12:14:42.795166)</v>
      </c>
      <c r="W110" s="5" t="str">
        <f>_xll.PLContribFull(K110*100,"ASK",U110,"Slot46","TICKER",3,,"Valid")</f>
        <v>0.810 (12:14:42.795166)</v>
      </c>
      <c r="X110" s="15" t="s">
        <v>1278</v>
      </c>
      <c r="Y110" s="14" t="str">
        <f>_xll.PLContribFull(E110*100,"BID",X110,"Slot46","TICKER",3,,"Valid")</f>
        <v>-0.060 (12:14:42.796169)</v>
      </c>
      <c r="Z110" s="14" t="str">
        <f>_xll.PLContribFull(L110*100,"ASK",X110,"Slot46","TICKER",3,,"Valid")</f>
        <v>0.240 (12:14:42.786167)</v>
      </c>
      <c r="AA110" s="3" t="s">
        <v>1289</v>
      </c>
      <c r="AB110" s="14" t="str">
        <f>_xll.PLContribFull(F110*100,"BID",AA110,"Slot46","TICKER",3,,"Valid")</f>
        <v>0.010 (12:14:42.786167)</v>
      </c>
      <c r="AC110" s="5" t="str">
        <f>_xll.PLContribFull(M110*100,"ASK",AA110,"Slot46","TICKER",3,,"Valid")</f>
        <v>0.610 (12:14:42.753167)</v>
      </c>
      <c r="AD110" s="16"/>
    </row>
    <row r="111" spans="1:30" s="1" customFormat="1" x14ac:dyDescent="0.2">
      <c r="A111" s="12" t="s">
        <v>8</v>
      </c>
      <c r="B111" s="11">
        <f>'G7 Cross Input'!Q103</f>
        <v>4.9349999999999998E-2</v>
      </c>
      <c r="C111" s="11">
        <f>'G7 Cross Input'!R103</f>
        <v>1.3000000000000004E-3</v>
      </c>
      <c r="D111" s="11">
        <f>'G7 Cross Input'!S103</f>
        <v>2.6000000000000007E-3</v>
      </c>
      <c r="E111" s="11">
        <f>'G7 Cross Input'!T103</f>
        <v>1.0000000000000005E-4</v>
      </c>
      <c r="F111" s="11">
        <f>'G7 Cross Input'!U103</f>
        <v>1.4999999999999996E-3</v>
      </c>
      <c r="H111" s="10" t="s">
        <v>8</v>
      </c>
      <c r="I111" s="11">
        <f>'G7 Cross Input'!X103</f>
        <v>5.425E-2</v>
      </c>
      <c r="J111" s="11">
        <f>'G7 Cross Input'!Y103</f>
        <v>4.3E-3</v>
      </c>
      <c r="K111" s="11">
        <f>'G7 Cross Input'!Z103</f>
        <v>8.6E-3</v>
      </c>
      <c r="L111" s="11">
        <f>'G7 Cross Input'!AA103</f>
        <v>2.1000000000000003E-3</v>
      </c>
      <c r="M111" s="11">
        <f>'G7 Cross Input'!AB103</f>
        <v>5.4999999999999997E-3</v>
      </c>
      <c r="O111" s="3" t="s">
        <v>1246</v>
      </c>
      <c r="P111" s="14" t="str">
        <f>_xll.PLContribFull(B111*100,"BID",O111,"Slot46","TICKER",3,,"Valid")</f>
        <v>4.935 (12:14:42.781168)</v>
      </c>
      <c r="Q111" s="5" t="str">
        <f>_xll.PLContribFull(I111*100,"ASK",O111,"Slot46","TICKER",3,,"Valid")</f>
        <v>5.425 (12:14:42.786167)</v>
      </c>
      <c r="R111" s="15" t="s">
        <v>1264</v>
      </c>
      <c r="S111" s="14" t="str">
        <f>_xll.PLContribFull(C111*100,"BID",R111,"Slot46","TICKER",3,,"Valid")</f>
        <v>0.130 (12:14:42.793169)</v>
      </c>
      <c r="T111" s="14" t="str">
        <f>_xll.PLContribFull(J111*100,"ASK",R111,"Slot46","TICKER",3,,"Valid")</f>
        <v>0.430 (12:14:42.785170)</v>
      </c>
      <c r="U111" s="3" t="s">
        <v>1268</v>
      </c>
      <c r="V111" s="14" t="str">
        <f>_xll.PLContribFull(D111*100,"BID",U111,"Slot46","TICKER",3,,"Valid")</f>
        <v>0.260 (12:14:42.788167)</v>
      </c>
      <c r="W111" s="5" t="str">
        <f>_xll.PLContribFull(K111*100,"ASK",U111,"Slot46","TICKER",3,,"Valid")</f>
        <v>0.860 (12:14:42.781168)</v>
      </c>
      <c r="X111" s="15" t="s">
        <v>1279</v>
      </c>
      <c r="Y111" s="14" t="str">
        <f>_xll.PLContribFull(E111*100,"BID",X111,"Slot46","TICKER",3,,"Valid")</f>
        <v>0.010 (12:14:42.783166)</v>
      </c>
      <c r="Z111" s="14" t="str">
        <f>_xll.PLContribFull(L111*100,"ASK",X111,"Slot46","TICKER",3,,"Valid")</f>
        <v>0.210 (12:14:42.795166)</v>
      </c>
      <c r="AA111" s="3" t="s">
        <v>1290</v>
      </c>
      <c r="AB111" s="14" t="str">
        <f>_xll.PLContribFull(F111*100,"BID",AA111,"Slot46","TICKER",3,,"Valid")</f>
        <v>0.150 (12:14:42.793169)</v>
      </c>
      <c r="AC111" s="5" t="str">
        <f>_xll.PLContribFull(M111*100,"ASK",AA111,"Slot46","TICKER",3,,"Valid")</f>
        <v>0.550 (12:14:42.797167)</v>
      </c>
      <c r="AD111" s="16"/>
    </row>
    <row r="112" spans="1:30" s="1" customFormat="1" x14ac:dyDescent="0.2">
      <c r="A112" s="12" t="s">
        <v>9</v>
      </c>
      <c r="B112" s="11">
        <f>'G7 Cross Input'!Q104</f>
        <v>5.3649999999999996E-2</v>
      </c>
      <c r="C112" s="11">
        <f>'G7 Cross Input'!R104</f>
        <v>1.9000000000000002E-3</v>
      </c>
      <c r="D112" s="11">
        <f>'G7 Cross Input'!S104</f>
        <v>3.8999999999999998E-3</v>
      </c>
      <c r="E112" s="11">
        <f>'G7 Cross Input'!T104</f>
        <v>2.9999999999999992E-4</v>
      </c>
      <c r="F112" s="11">
        <f>'G7 Cross Input'!U104</f>
        <v>2.3E-3</v>
      </c>
      <c r="H112" s="10" t="s">
        <v>9</v>
      </c>
      <c r="I112" s="11">
        <f>'G7 Cross Input'!X104</f>
        <v>5.815E-2</v>
      </c>
      <c r="J112" s="11">
        <f>'G7 Cross Input'!Y104</f>
        <v>4.8999999999999998E-3</v>
      </c>
      <c r="K112" s="11">
        <f>'G7 Cross Input'!Z104</f>
        <v>9.8999999999999991E-3</v>
      </c>
      <c r="L112" s="11">
        <f>'G7 Cross Input'!AA104</f>
        <v>2.3E-3</v>
      </c>
      <c r="M112" s="11">
        <f>'G7 Cross Input'!AB104</f>
        <v>6.3E-3</v>
      </c>
      <c r="O112" s="3" t="s">
        <v>1247</v>
      </c>
      <c r="P112" s="14" t="str">
        <f>_xll.PLContribFull(B112*100,"BID",O112,"Slot46","TICKER",3,,"Valid")</f>
        <v>5.365 (12:14:42.796169)</v>
      </c>
      <c r="Q112" s="5" t="str">
        <f>_xll.PLContribFull(I112*100,"ASK",O112,"Slot46","TICKER",3,,"Valid")</f>
        <v>5.815 (12:14:42.786167)</v>
      </c>
      <c r="R112" s="15" t="s">
        <v>1257</v>
      </c>
      <c r="S112" s="14" t="str">
        <f>_xll.PLContribFull(C112*100,"BID",R112,"Slot46","TICKER",3,,"Valid")</f>
        <v>0.190 (12:14:42.790167)</v>
      </c>
      <c r="T112" s="14" t="str">
        <f>_xll.PLContribFull(J112*100,"ASK",R112,"Slot46","TICKER",3,,"Valid")</f>
        <v>0.490 (12:14:42.748167)</v>
      </c>
      <c r="U112" s="3" t="s">
        <v>1269</v>
      </c>
      <c r="V112" s="14" t="str">
        <f>_xll.PLContribFull(D112*100,"BID",U112,"Slot46","TICKER",3,,"Valid")</f>
        <v>0.390 (12:14:42.780166)</v>
      </c>
      <c r="W112" s="5" t="str">
        <f>_xll.PLContribFull(K112*100,"ASK",U112,"Slot46","TICKER",3,,"Valid")</f>
        <v>0.990 (12:14:42.786167)</v>
      </c>
      <c r="X112" s="15" t="s">
        <v>1280</v>
      </c>
      <c r="Y112" s="14" t="str">
        <f>_xll.PLContribFull(E112*100,"BID",X112,"Slot46","TICKER",3,,"Valid")</f>
        <v>0.030 (12:14:42.794168)</v>
      </c>
      <c r="Z112" s="14" t="str">
        <f>_xll.PLContribFull(L112*100,"ASK",X112,"Slot46","TICKER",3,,"Valid")</f>
        <v>0.230 (12:14:42.741170)</v>
      </c>
      <c r="AA112" s="3" t="s">
        <v>1291</v>
      </c>
      <c r="AB112" s="14" t="str">
        <f>_xll.PLContribFull(F112*100,"BID",AA112,"Slot46","TICKER",3,,"Valid")</f>
        <v>0.230 (12:14:42.781168)</v>
      </c>
      <c r="AC112" s="5" t="str">
        <f>_xll.PLContribFull(M112*100,"ASK",AA112,"Slot46","TICKER",3,,"Valid")</f>
        <v>0.630 (12:14:42.794168)</v>
      </c>
      <c r="AD112" s="16"/>
    </row>
    <row r="113" spans="1:30" s="1" customFormat="1" x14ac:dyDescent="0.2">
      <c r="A113" s="12" t="s">
        <v>10</v>
      </c>
      <c r="B113" s="11">
        <f>'G7 Cross Input'!Q105</f>
        <v>5.4549999999999994E-2</v>
      </c>
      <c r="C113" s="11">
        <f>'G7 Cross Input'!R105</f>
        <v>2.3E-3</v>
      </c>
      <c r="D113" s="11">
        <f>'G7 Cross Input'!S105</f>
        <v>4.8000000000000004E-3</v>
      </c>
      <c r="E113" s="11">
        <f>'G7 Cross Input'!T105</f>
        <v>5.0000000000000001E-4</v>
      </c>
      <c r="F113" s="11">
        <f>'G7 Cross Input'!U105</f>
        <v>3.0000000000000001E-3</v>
      </c>
      <c r="H113" s="10" t="s">
        <v>10</v>
      </c>
      <c r="I113" s="11">
        <f>'G7 Cross Input'!X105</f>
        <v>5.9049999999999998E-2</v>
      </c>
      <c r="J113" s="11">
        <f>'G7 Cross Input'!Y105</f>
        <v>5.3E-3</v>
      </c>
      <c r="K113" s="11">
        <f>'G7 Cross Input'!Z105</f>
        <v>1.0800000000000001E-2</v>
      </c>
      <c r="L113" s="11">
        <f>'G7 Cross Input'!AA105</f>
        <v>2.5000000000000001E-3</v>
      </c>
      <c r="M113" s="11">
        <f>'G7 Cross Input'!AB105</f>
        <v>7.0000000000000001E-3</v>
      </c>
      <c r="O113" s="3" t="s">
        <v>1248</v>
      </c>
      <c r="P113" s="14" t="str">
        <f>_xll.PLContribFull(B113*100,"BID",O113,"Slot46","TICKER",3,,"Valid")</f>
        <v>5.455 (12:14:42.792167)</v>
      </c>
      <c r="Q113" s="5" t="str">
        <f>_xll.PLContribFull(I113*100,"ASK",O113,"Slot46","TICKER",3,,"Valid")</f>
        <v>5.905 (12:14:42.783166)</v>
      </c>
      <c r="R113" s="15" t="s">
        <v>1258</v>
      </c>
      <c r="S113" s="14" t="str">
        <f>_xll.PLContribFull(C113*100,"BID",R113,"Slot46","TICKER",3,,"Valid")</f>
        <v>0.230 (12:14:42.797167)</v>
      </c>
      <c r="T113" s="14" t="str">
        <f>_xll.PLContribFull(J113*100,"ASK",R113,"Slot46","TICKER",3,,"Valid")</f>
        <v>0.530 (12:14:42.741170)</v>
      </c>
      <c r="U113" s="3" t="s">
        <v>1270</v>
      </c>
      <c r="V113" s="14" t="str">
        <f>_xll.PLContribFull(D113*100,"BID",U113,"Slot46","TICKER",3,,"Valid")</f>
        <v>0.480 (12:14:42.751168)</v>
      </c>
      <c r="W113" s="5" t="str">
        <f>_xll.PLContribFull(K113*100,"ASK",U113,"Slot46","TICKER",3,,"Valid")</f>
        <v>1.080 (12:14:42.794168)</v>
      </c>
      <c r="X113" s="15" t="s">
        <v>1281</v>
      </c>
      <c r="Y113" s="14" t="str">
        <f>_xll.PLContribFull(E113*100,"BID",X113,"Slot46","TICKER",3,,"Valid")</f>
        <v>0.050 (12:14:42.750168)</v>
      </c>
      <c r="Z113" s="14" t="str">
        <f>_xll.PLContribFull(L113*100,"ASK",X113,"Slot46","TICKER",3,,"Valid")</f>
        <v>0.250 (12:14:42.788167)</v>
      </c>
      <c r="AA113" s="3" t="s">
        <v>1292</v>
      </c>
      <c r="AB113" s="14" t="str">
        <f>_xll.PLContribFull(F113*100,"BID",AA113,"Slot46","TICKER",3,,"Valid")</f>
        <v>0.300 (12:14:42.791166)</v>
      </c>
      <c r="AC113" s="5" t="str">
        <f>_xll.PLContribFull(M113*100,"ASK",AA113,"Slot46","TICKER",3,,"Valid")</f>
        <v>0.700 (12:14:42.785170)</v>
      </c>
      <c r="AD113" s="16"/>
    </row>
    <row r="114" spans="1:30" s="1" customFormat="1" x14ac:dyDescent="0.2">
      <c r="A114" s="12" t="s">
        <v>11</v>
      </c>
      <c r="B114" s="11">
        <f>'G7 Cross Input'!Q106</f>
        <v>5.5900000000000005E-2</v>
      </c>
      <c r="C114" s="11">
        <f>'G7 Cross Input'!R106</f>
        <v>3.1999999999999993E-3</v>
      </c>
      <c r="D114" s="11">
        <f>'G7 Cross Input'!S106</f>
        <v>6.7000000000000002E-3</v>
      </c>
      <c r="E114" s="11">
        <f>'G7 Cross Input'!T106</f>
        <v>8.9999999999999998E-4</v>
      </c>
      <c r="F114" s="11">
        <f>'G7 Cross Input'!U106</f>
        <v>4.5999999999999999E-3</v>
      </c>
      <c r="H114" s="10" t="s">
        <v>11</v>
      </c>
      <c r="I114" s="11">
        <f>'G7 Cross Input'!X106</f>
        <v>6.1499999999999999E-2</v>
      </c>
      <c r="J114" s="11">
        <f>'G7 Cross Input'!Y106</f>
        <v>6.1999999999999989E-3</v>
      </c>
      <c r="K114" s="11">
        <f>'G7 Cross Input'!Z106</f>
        <v>1.2699999999999999E-2</v>
      </c>
      <c r="L114" s="11">
        <f>'G7 Cross Input'!AA106</f>
        <v>2.8999999999999998E-3</v>
      </c>
      <c r="M114" s="11">
        <f>'G7 Cross Input'!AB106</f>
        <v>8.6E-3</v>
      </c>
      <c r="O114" s="3" t="s">
        <v>1249</v>
      </c>
      <c r="P114" s="14" t="str">
        <f>_xll.PLContribFull(B114*100,"BID",O114,"Slot46","TICKER",3,,"Valid")</f>
        <v>5.590 (12:14:42.794168)</v>
      </c>
      <c r="Q114" s="5" t="str">
        <f>_xll.PLContribFull(I114*100,"ASK",O114,"Slot46","TICKER",3,,"Valid")</f>
        <v>6.150 (12:14:42.785170)</v>
      </c>
      <c r="R114" s="15" t="s">
        <v>1259</v>
      </c>
      <c r="S114" s="14" t="str">
        <f>_xll.PLContribFull(C114*100,"BID",R114,"Slot46","TICKER",3,,"Valid")</f>
        <v>0.320 (12:14:42.791166)</v>
      </c>
      <c r="T114" s="14" t="str">
        <f>_xll.PLContribFull(J114*100,"ASK",R114,"Slot46","TICKER",3,,"Valid")</f>
        <v>0.620 (12:14:42.786167)</v>
      </c>
      <c r="U114" s="3" t="s">
        <v>1271</v>
      </c>
      <c r="V114" s="14" t="str">
        <f>_xll.PLContribFull(D114*100,"BID",U114,"Slot46","TICKER",3,,"Valid")</f>
        <v>0.670 (12:14:42.780166)</v>
      </c>
      <c r="W114" s="5" t="str">
        <f>_xll.PLContribFull(K114*100,"ASK",U114,"Slot46","TICKER",3,,"Valid")</f>
        <v>1.270 (12:14:42.753167)</v>
      </c>
      <c r="X114" s="15" t="s">
        <v>1282</v>
      </c>
      <c r="Y114" s="14" t="str">
        <f>_xll.PLContribFull(E114*100,"BID",X114,"Slot46","TICKER",3,,"Valid")</f>
        <v>0.090 (12:14:42.795166)</v>
      </c>
      <c r="Z114" s="14" t="str">
        <f>_xll.PLContribFull(L114*100,"ASK",X114,"Slot46","TICKER",3,,"Valid")</f>
        <v>0.290 (12:14:42.793169)</v>
      </c>
      <c r="AA114" s="3" t="s">
        <v>1293</v>
      </c>
      <c r="AB114" s="14" t="str">
        <f>_xll.PLContribFull(F114*100,"BID",AA114,"Slot46","TICKER",3,,"Valid")</f>
        <v>0.460 (12:14:42.796169)</v>
      </c>
      <c r="AC114" s="5" t="str">
        <f>_xll.PLContribFull(M114*100,"ASK",AA114,"Slot46","TICKER",3,,"Valid")</f>
        <v>0.860 (12:14:42.745167)</v>
      </c>
      <c r="AD114" s="16"/>
    </row>
    <row r="115" spans="1:30" s="1" customFormat="1" x14ac:dyDescent="0.2">
      <c r="A115" s="12" t="s">
        <v>12</v>
      </c>
      <c r="B115" s="11">
        <f>'G7 Cross Input'!Q107</f>
        <v>5.9549999999999992E-2</v>
      </c>
      <c r="C115" s="11">
        <f>'G7 Cross Input'!R107</f>
        <v>4.5999999999999999E-3</v>
      </c>
      <c r="D115" s="11">
        <f>'G7 Cross Input'!S107</f>
        <v>9.5000000000000015E-3</v>
      </c>
      <c r="E115" s="11">
        <f>'G7 Cross Input'!T107</f>
        <v>1.2000000000000001E-3</v>
      </c>
      <c r="F115" s="11">
        <f>'G7 Cross Input'!U107</f>
        <v>5.7000000000000002E-3</v>
      </c>
      <c r="H115" s="10" t="s">
        <v>12</v>
      </c>
      <c r="I115" s="11">
        <f>'G7 Cross Input'!X107</f>
        <v>6.4849999999999991E-2</v>
      </c>
      <c r="J115" s="11">
        <f>'G7 Cross Input'!Y107</f>
        <v>7.5999999999999991E-3</v>
      </c>
      <c r="K115" s="11">
        <f>'G7 Cross Input'!Z107</f>
        <v>1.55E-2</v>
      </c>
      <c r="L115" s="11">
        <f>'G7 Cross Input'!AA107</f>
        <v>3.2000000000000002E-3</v>
      </c>
      <c r="M115" s="11">
        <f>'G7 Cross Input'!AB107</f>
        <v>9.7000000000000003E-3</v>
      </c>
      <c r="O115" s="3" t="s">
        <v>1250</v>
      </c>
      <c r="P115" s="14" t="str">
        <f>_xll.PLContribFull(B115*100,"BID",O115,"Slot46","TICKER",3,,"Valid")</f>
        <v>5.955 (12:14:42.790167)</v>
      </c>
      <c r="Q115" s="5" t="str">
        <f>_xll.PLContribFull(I115*100,"ASK",O115,"Slot46","TICKER",3,,"Valid")</f>
        <v>6.485 (12:14:42.799167)</v>
      </c>
      <c r="R115" s="15" t="s">
        <v>1260</v>
      </c>
      <c r="S115" s="14" t="str">
        <f>_xll.PLContribFull(C115*100,"BID",R115,"Slot46","TICKER",3,,"Valid")</f>
        <v>0.460 (12:14:42.742167)</v>
      </c>
      <c r="T115" s="14" t="str">
        <f>_xll.PLContribFull(J115*100,"ASK",R115,"Slot46","TICKER",3,,"Valid")</f>
        <v>0.760 (12:14:42.792167)</v>
      </c>
      <c r="U115" s="3" t="s">
        <v>1272</v>
      </c>
      <c r="V115" s="14" t="str">
        <f>_xll.PLContribFull(D115*100,"BID",U115,"Slot46","TICKER",3,,"Valid")</f>
        <v>0.950 (12:14:42.782167)</v>
      </c>
      <c r="W115" s="5" t="str">
        <f>_xll.PLContribFull(K115*100,"ASK",U115,"Slot46","TICKER",3,,"Valid")</f>
        <v>1.550 (12:14:42.748167)</v>
      </c>
      <c r="X115" s="15" t="s">
        <v>1283</v>
      </c>
      <c r="Y115" s="14" t="str">
        <f>_xll.PLContribFull(E115*100,"BID",X115,"Slot46","TICKER",3,,"Valid")</f>
        <v>0.120 (12:14:42.795166)</v>
      </c>
      <c r="Z115" s="14" t="str">
        <f>_xll.PLContribFull(L115*100,"ASK",X115,"Slot46","TICKER",3,,"Valid")</f>
        <v>0.320 (12:14:42.740168)</v>
      </c>
      <c r="AA115" s="3" t="s">
        <v>1294</v>
      </c>
      <c r="AB115" s="14" t="str">
        <f>_xll.PLContribFull(F115*100,"BID",AA115,"Slot46","TICKER",3,,"Valid")</f>
        <v>0.570 (12:14:42.792167)</v>
      </c>
      <c r="AC115" s="5" t="str">
        <f>_xll.PLContribFull(M115*100,"ASK",AA115,"Slot46","TICKER",3,,"Valid")</f>
        <v>0.970 (12:14:42.794168)</v>
      </c>
      <c r="AD115" s="16"/>
    </row>
    <row r="116" spans="1:30" s="1" customFormat="1" x14ac:dyDescent="0.2">
      <c r="A116" s="12" t="s">
        <v>13</v>
      </c>
      <c r="B116" s="11">
        <f>'G7 Cross Input'!Q108</f>
        <v>6.1249999999999999E-2</v>
      </c>
      <c r="C116" s="11">
        <f>'G7 Cross Input'!R108</f>
        <v>6.6999999999999994E-3</v>
      </c>
      <c r="D116" s="11">
        <f>'G7 Cross Input'!S108</f>
        <v>1.4000000000000002E-2</v>
      </c>
      <c r="E116" s="11">
        <f>'G7 Cross Input'!T108</f>
        <v>1.5999999999999999E-3</v>
      </c>
      <c r="F116" s="11">
        <f>'G7 Cross Input'!U108</f>
        <v>7.1000000000000004E-3</v>
      </c>
      <c r="H116" s="10" t="s">
        <v>13</v>
      </c>
      <c r="I116" s="11">
        <f>'G7 Cross Input'!X108</f>
        <v>6.6549999999999998E-2</v>
      </c>
      <c r="J116" s="11">
        <f>'G7 Cross Input'!Y108</f>
        <v>9.6999999999999986E-3</v>
      </c>
      <c r="K116" s="11">
        <f>'G7 Cross Input'!Z108</f>
        <v>0.02</v>
      </c>
      <c r="L116" s="11">
        <f>'G7 Cross Input'!AA108</f>
        <v>3.5999999999999999E-3</v>
      </c>
      <c r="M116" s="11">
        <f>'G7 Cross Input'!AB108</f>
        <v>1.11E-2</v>
      </c>
      <c r="O116" s="3" t="s">
        <v>1251</v>
      </c>
      <c r="P116" s="14" t="str">
        <f>_xll.PLContribFull(B116*100,"BID",O116,"Slot46","TICKER",3,,"Valid")</f>
        <v>6.125 (12:14:42.783166)</v>
      </c>
      <c r="Q116" s="5" t="str">
        <f>_xll.PLContribFull(I116*100,"ASK",O116,"Slot46","TICKER",3,,"Valid")</f>
        <v>6.655 (12:14:42.792167)</v>
      </c>
      <c r="R116" s="15" t="s">
        <v>1261</v>
      </c>
      <c r="S116" s="14" t="str">
        <f>_xll.PLContribFull(C116*100,"BID",R116,"Slot46","TICKER",3,,"Valid")</f>
        <v>0.670 (12:14:42.783166)</v>
      </c>
      <c r="T116" s="14" t="str">
        <f>_xll.PLContribFull(J116*100,"ASK",R116,"Slot46","TICKER",3,,"Valid")</f>
        <v>0.970 (12:14:42.799167)</v>
      </c>
      <c r="U116" s="3" t="s">
        <v>1273</v>
      </c>
      <c r="V116" s="14" t="str">
        <f>_xll.PLContribFull(D116*100,"BID",U116,"Slot46","TICKER",3,,"Valid")</f>
        <v>1.400 (12:14:42.797167)</v>
      </c>
      <c r="W116" s="5" t="str">
        <f>_xll.PLContribFull(K116*100,"ASK",U116,"Slot46","TICKER",3,,"Valid")</f>
        <v>2.000 (12:14:42.783166)</v>
      </c>
      <c r="X116" s="15" t="s">
        <v>1284</v>
      </c>
      <c r="Y116" s="14" t="str">
        <f>_xll.PLContribFull(E116*100,"BID",X116,"Slot46","TICKER",3,,"Valid")</f>
        <v>0.160 (12:14:42.796169)</v>
      </c>
      <c r="Z116" s="14" t="str">
        <f>_xll.PLContribFull(L116*100,"ASK",X116,"Slot46","TICKER",3,,"Valid")</f>
        <v>0.360 (12:14:42.785170)</v>
      </c>
      <c r="AA116" s="3" t="s">
        <v>1295</v>
      </c>
      <c r="AB116" s="14" t="str">
        <f>_xll.PLContribFull(F116*100,"BID",AA116,"Slot46","TICKER",3,,"Valid")</f>
        <v>0.710 (12:14:42.791166)</v>
      </c>
      <c r="AC116" s="5" t="str">
        <f>_xll.PLContribFull(M116*100,"ASK",AA116,"Slot46","TICKER",3,,"Valid")</f>
        <v>1.110 (12:14:42.796169)</v>
      </c>
      <c r="AD116" s="16"/>
    </row>
    <row r="117" spans="1:30" s="1" customFormat="1" x14ac:dyDescent="0.2">
      <c r="A117" s="12" t="s">
        <v>14</v>
      </c>
      <c r="B117" s="11">
        <f>'G7 Cross Input'!Q109</f>
        <v>6.3449999999999993E-2</v>
      </c>
      <c r="C117" s="11">
        <f>'G7 Cross Input'!R109</f>
        <v>7.1000000000000004E-3</v>
      </c>
      <c r="D117" s="11">
        <f>'G7 Cross Input'!S109</f>
        <v>1.4500000000000002E-2</v>
      </c>
      <c r="E117" s="11">
        <f>'G7 Cross Input'!T109</f>
        <v>1.7000000000000001E-3</v>
      </c>
      <c r="F117" s="11">
        <f>'G7 Cross Input'!U109</f>
        <v>7.4999999999999997E-3</v>
      </c>
      <c r="H117" s="10" t="s">
        <v>14</v>
      </c>
      <c r="I117" s="11">
        <f>'G7 Cross Input'!X109</f>
        <v>6.8949999999999997E-2</v>
      </c>
      <c r="J117" s="11">
        <f>'G7 Cross Input'!Y109</f>
        <v>1.01E-2</v>
      </c>
      <c r="K117" s="11">
        <f>'G7 Cross Input'!Z109</f>
        <v>2.0500000000000001E-2</v>
      </c>
      <c r="L117" s="11">
        <f>'G7 Cross Input'!AA109</f>
        <v>3.7000000000000002E-3</v>
      </c>
      <c r="M117" s="11">
        <f>'G7 Cross Input'!AB109</f>
        <v>1.15E-2</v>
      </c>
      <c r="O117" s="3" t="s">
        <v>1252</v>
      </c>
      <c r="P117" s="14" t="str">
        <f>_xll.PLContribFull(B117*100,"BID",O117,"Slot46","TICKER",3,,"Valid")</f>
        <v>6.345 (12:14:42.797167)</v>
      </c>
      <c r="Q117" s="5" t="str">
        <f>_xll.PLContribFull(I117*100,"ASK",O117,"Slot46","TICKER",3,,"Valid")</f>
        <v>6.895 (12:14:42.795166)</v>
      </c>
      <c r="R117" s="15" t="s">
        <v>1262</v>
      </c>
      <c r="S117" s="14" t="str">
        <f>_xll.PLContribFull(C117*100,"BID",R117,"Slot46","TICKER",3,,"Valid")</f>
        <v>0.710 (12:14:42.791166)</v>
      </c>
      <c r="T117" s="14" t="str">
        <f>_xll.PLContribFull(J117*100,"ASK",R117,"Slot46","TICKER",3,,"Valid")</f>
        <v>1.010 (12:14:42.756167)</v>
      </c>
      <c r="U117" s="3" t="s">
        <v>1274</v>
      </c>
      <c r="V117" s="14" t="str">
        <f>_xll.PLContribFull(D117*100,"BID",U117,"Slot46","TICKER",3,,"Valid")</f>
        <v>1.450 (12:14:42.750168)</v>
      </c>
      <c r="W117" s="5" t="str">
        <f>_xll.PLContribFull(K117*100,"ASK",U117,"Slot46","TICKER",3,,"Valid")</f>
        <v>2.050 (12:14:42.795166)</v>
      </c>
      <c r="X117" s="15" t="s">
        <v>1285</v>
      </c>
      <c r="Y117" s="14" t="str">
        <f>_xll.PLContribFull(E117*100,"BID",X117,"Slot46","TICKER",3,,"Valid")</f>
        <v>0.170 (12:14:42.780166)</v>
      </c>
      <c r="Z117" s="14" t="str">
        <f>_xll.PLContribFull(L117*100,"ASK",X117,"Slot46","TICKER",3,,"Valid")</f>
        <v>0.370 (12:14:42.749167)</v>
      </c>
      <c r="AA117" s="3" t="s">
        <v>1296</v>
      </c>
      <c r="AB117" s="14" t="str">
        <f>_xll.PLContribFull(F117*100,"BID",AA117,"Slot46","TICKER",3,,"Valid")</f>
        <v>0.750 (12:14:42.796169)</v>
      </c>
      <c r="AC117" s="5" t="str">
        <f>_xll.PLContribFull(M117*100,"ASK",AA117,"Slot46","TICKER",3,,"Valid")</f>
        <v>1.150 (12:14:42.798166)</v>
      </c>
      <c r="AD117" s="16"/>
    </row>
    <row r="118" spans="1:30" s="1" customFormat="1" x14ac:dyDescent="0.2">
      <c r="A118" s="12" t="s">
        <v>876</v>
      </c>
      <c r="B118" s="11">
        <f>'G7 Cross Input'!Q110</f>
        <v>6.2149999999999997E-2</v>
      </c>
      <c r="C118" s="11">
        <f>'G7 Cross Input'!R110</f>
        <v>7.1999999999999998E-3</v>
      </c>
      <c r="D118" s="11">
        <f>'G7 Cross Input'!S110</f>
        <v>1.4800000000000001E-2</v>
      </c>
      <c r="E118" s="11">
        <f>'G7 Cross Input'!T110</f>
        <v>1.8000000000000004E-3</v>
      </c>
      <c r="F118" s="11">
        <f>'G7 Cross Input'!U110</f>
        <v>7.7000000000000002E-3</v>
      </c>
      <c r="H118" s="10" t="s">
        <v>876</v>
      </c>
      <c r="I118" s="11">
        <f>'G7 Cross Input'!X110</f>
        <v>7.2049999999999989E-2</v>
      </c>
      <c r="J118" s="11">
        <f>'G7 Cross Input'!Y110</f>
        <v>1.0199999999999999E-2</v>
      </c>
      <c r="K118" s="11">
        <f>'G7 Cross Input'!Z110</f>
        <v>2.0799999999999999E-2</v>
      </c>
      <c r="L118" s="11">
        <f>'G7 Cross Input'!AA110</f>
        <v>3.8000000000000004E-3</v>
      </c>
      <c r="M118" s="11">
        <f>'G7 Cross Input'!AB110</f>
        <v>1.17E-2</v>
      </c>
      <c r="O118" s="3" t="s">
        <v>1253</v>
      </c>
      <c r="P118" s="14" t="str">
        <f>_xll.PLContribFull(B118*100,"BID",O118,"Slot46","TICKER",3,,"Valid")</f>
        <v>6.215 (12:14:42.798166)</v>
      </c>
      <c r="Q118" s="5" t="str">
        <f>_xll.PLContribFull(I118*100,"ASK",O118,"Slot46","TICKER",3,,"Valid")</f>
        <v>7.205 (12:14:42.786167)</v>
      </c>
      <c r="R118" s="15" t="s">
        <v>1263</v>
      </c>
      <c r="S118" s="14" t="str">
        <f>_xll.PLContribFull(C118*100,"BID",R118,"Slot46","TICKER",3,,"Valid")</f>
        <v>0.720 (12:14:42.794168)</v>
      </c>
      <c r="T118" s="14" t="str">
        <f>_xll.PLContribFull(J118*100,"ASK",R118,"Slot46","TICKER",3,,"Valid")</f>
        <v>1.020 (12:14:42.782167)</v>
      </c>
      <c r="U118" s="3" t="s">
        <v>1275</v>
      </c>
      <c r="V118" s="14" t="str">
        <f>_xll.PLContribFull(D118*100,"BID",U118,"Slot46","TICKER",3,,"Valid")</f>
        <v>1.480 (12:14:42.782167)</v>
      </c>
      <c r="W118" s="5" t="str">
        <f>_xll.PLContribFull(K118*100,"ASK",U118,"Slot46","TICKER",3,,"Valid")</f>
        <v>2.080 (12:14:42.787167)</v>
      </c>
      <c r="X118" s="15" t="s">
        <v>1286</v>
      </c>
      <c r="Y118" s="14" t="str">
        <f>_xll.PLContribFull(E118*100,"BID",X118,"Slot46","TICKER",3,,"Valid")</f>
        <v>0.180 (12:14:42.791166)</v>
      </c>
      <c r="Z118" s="14" t="str">
        <f>_xll.PLContribFull(L118*100,"ASK",X118,"Slot46","TICKER",3,,"Valid")</f>
        <v>0.380 (12:14:42.790167)</v>
      </c>
      <c r="AA118" s="3" t="s">
        <v>1297</v>
      </c>
      <c r="AB118" s="14" t="str">
        <f>_xll.PLContribFull(F118*100,"BID",AA118,"Slot46","TICKER",3,,"Valid")</f>
        <v>0.770 (12:14:42.753167)</v>
      </c>
      <c r="AC118" s="5" t="str">
        <f>_xll.PLContribFull(M118*100,"ASK",AA118,"Slot46","TICKER",3,,"Valid")</f>
        <v>1.170 (12:14:42.796169)</v>
      </c>
      <c r="AD118"/>
    </row>
    <row r="119" spans="1:30" s="1" customFormat="1" x14ac:dyDescent="0.2">
      <c r="A119" s="10"/>
      <c r="B119" s="10"/>
      <c r="C119" s="10"/>
      <c r="D119" s="10"/>
      <c r="E119" s="10"/>
      <c r="F119" s="10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8"/>
      <c r="AC119" s="18"/>
      <c r="AD119"/>
    </row>
    <row r="120" spans="1:30" s="1" customFormat="1" x14ac:dyDescent="0.2">
      <c r="A120" s="10"/>
      <c r="B120" s="10"/>
      <c r="C120" s="10"/>
      <c r="D120" s="10"/>
      <c r="E120" s="10"/>
      <c r="F120" s="10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8"/>
      <c r="AC120" s="18"/>
      <c r="AD120"/>
    </row>
    <row r="121" spans="1:30" s="1" customFormat="1" x14ac:dyDescent="0.25">
      <c r="A121" s="10" t="s">
        <v>944</v>
      </c>
      <c r="B121" s="10"/>
      <c r="C121" s="10"/>
      <c r="D121" s="10"/>
      <c r="E121" s="10"/>
      <c r="F121" s="10"/>
      <c r="O121" s="3" t="s">
        <v>67</v>
      </c>
      <c r="P121" s="15" t="s">
        <v>68</v>
      </c>
      <c r="Q121" s="15"/>
      <c r="R121" s="3" t="s">
        <v>67</v>
      </c>
      <c r="S121" s="15" t="s">
        <v>68</v>
      </c>
      <c r="T121" s="15"/>
      <c r="U121" s="3" t="s">
        <v>67</v>
      </c>
      <c r="V121" s="15" t="s">
        <v>68</v>
      </c>
      <c r="W121" s="15"/>
      <c r="X121" s="3" t="s">
        <v>67</v>
      </c>
      <c r="Y121" s="15" t="s">
        <v>68</v>
      </c>
      <c r="Z121" s="6"/>
      <c r="AA121" s="3" t="s">
        <v>67</v>
      </c>
      <c r="AB121" s="15" t="s">
        <v>68</v>
      </c>
      <c r="AC121" s="6"/>
      <c r="AD121"/>
    </row>
    <row r="122" spans="1:30" s="1" customFormat="1" ht="14.25" x14ac:dyDescent="0.25">
      <c r="A122" s="12" t="s">
        <v>331</v>
      </c>
      <c r="B122" s="12" t="s">
        <v>0</v>
      </c>
      <c r="C122" s="12" t="s">
        <v>1</v>
      </c>
      <c r="D122" s="12" t="s">
        <v>2</v>
      </c>
      <c r="E122" s="12" t="s">
        <v>3</v>
      </c>
      <c r="F122" s="12" t="s">
        <v>4</v>
      </c>
      <c r="H122" s="10" t="s">
        <v>16</v>
      </c>
      <c r="I122" s="10" t="s">
        <v>0</v>
      </c>
      <c r="J122" s="10" t="s">
        <v>1</v>
      </c>
      <c r="K122" s="10" t="s">
        <v>2</v>
      </c>
      <c r="L122" s="10" t="s">
        <v>3</v>
      </c>
      <c r="M122" s="10" t="s">
        <v>4</v>
      </c>
      <c r="O122" s="3" t="s">
        <v>66</v>
      </c>
      <c r="P122" s="13" t="s">
        <v>15</v>
      </c>
      <c r="Q122" s="13" t="s">
        <v>16</v>
      </c>
      <c r="R122" s="3" t="s">
        <v>1</v>
      </c>
      <c r="S122" s="13" t="s">
        <v>15</v>
      </c>
      <c r="T122" s="13" t="s">
        <v>16</v>
      </c>
      <c r="U122" s="3" t="s">
        <v>2</v>
      </c>
      <c r="V122" s="13" t="s">
        <v>15</v>
      </c>
      <c r="W122" s="13" t="s">
        <v>16</v>
      </c>
      <c r="X122" s="3" t="s">
        <v>3</v>
      </c>
      <c r="Y122" s="13" t="s">
        <v>15</v>
      </c>
      <c r="Z122" s="4" t="s">
        <v>16</v>
      </c>
      <c r="AA122" s="3" t="s">
        <v>4</v>
      </c>
      <c r="AB122" s="13" t="s">
        <v>15</v>
      </c>
      <c r="AC122" s="4" t="s">
        <v>16</v>
      </c>
      <c r="AD122" s="2"/>
    </row>
    <row r="123" spans="1:30" s="1" customFormat="1" x14ac:dyDescent="0.2">
      <c r="A123" s="12" t="s">
        <v>5</v>
      </c>
      <c r="B123" s="11">
        <f>'G7 Cross Input'!Q114</f>
        <v>3.9149999999999997E-2</v>
      </c>
      <c r="C123" s="11">
        <f>'G7 Cross Input'!R114</f>
        <v>-2.0400000000000001E-2</v>
      </c>
      <c r="D123" s="11">
        <f>'G7 Cross Input'!S114</f>
        <v>-4.07E-2</v>
      </c>
      <c r="E123" s="11">
        <f>'G7 Cross Input'!T114</f>
        <v>-1.38E-2</v>
      </c>
      <c r="F123" s="11">
        <f>'G7 Cross Input'!U114</f>
        <v>-2.5599999999999998E-2</v>
      </c>
      <c r="H123" s="10" t="s">
        <v>5</v>
      </c>
      <c r="I123" s="11">
        <f>'G7 Cross Input'!X114</f>
        <v>5.4649999999999997E-2</v>
      </c>
      <c r="J123" s="11">
        <f>'G7 Cross Input'!Y114</f>
        <v>1.9599999999999999E-2</v>
      </c>
      <c r="K123" s="11">
        <f>'G7 Cross Input'!Z114</f>
        <v>3.9300000000000002E-2</v>
      </c>
      <c r="L123" s="11">
        <f>'G7 Cross Input'!AA114</f>
        <v>1.6199999999999999E-2</v>
      </c>
      <c r="M123" s="11">
        <f>'G7 Cross Input'!AB114</f>
        <v>3.44E-2</v>
      </c>
      <c r="O123" s="3" t="s">
        <v>1298</v>
      </c>
      <c r="P123" s="14" t="str">
        <f>_xll.PLContribFull(B123*100,"BID",O123,"Slot46","TICKER",3,,"Valid")</f>
        <v>3.915 (12:14:42.791166)</v>
      </c>
      <c r="Q123" s="5" t="str">
        <f>_xll.PLContribFull(I123*100,"ASK",O123,"Slot46","TICKER",3,,"Valid")</f>
        <v>5.465 (12:14:42.786167)</v>
      </c>
      <c r="R123" s="3" t="s">
        <v>1309</v>
      </c>
      <c r="S123" s="14" t="str">
        <f>_xll.PLContribFull(C123*100,"BID",R123,"Slot46","TICKER",3,,"Valid")</f>
        <v>-2.040 (12:14:42.743167)</v>
      </c>
      <c r="T123" s="14" t="str">
        <f>_xll.PLContribFull(J123*100,"ASK",R123,"Slot46","TICKER",3,,"Valid")</f>
        <v>1.960 (12:14:42.789167)</v>
      </c>
      <c r="U123" s="3" t="s">
        <v>1320</v>
      </c>
      <c r="V123" s="14" t="str">
        <f>_xll.PLContribFull(D123*100,"BID",U123,"Slot46","TICKER",3,,"Valid")</f>
        <v>-4.070 (12:14:42.780166)</v>
      </c>
      <c r="W123" s="5" t="str">
        <f>_xll.PLContribFull(K123*100,"ASK",U123,"Slot46","TICKER",3,,"Valid")</f>
        <v>3.930 (12:14:42.745167)</v>
      </c>
      <c r="X123" s="3" t="s">
        <v>1331</v>
      </c>
      <c r="Y123" s="14" t="str">
        <f>_xll.PLContribFull(E123*100,"BID",X123,"Slot46","TICKER",3,,"Valid")</f>
        <v>-1.380 (12:14:42.779168)</v>
      </c>
      <c r="Z123" s="14" t="str">
        <f>_xll.PLContribFull(L123*100,"ASK",X123,"Slot46","TICKER",3,,"Valid")</f>
        <v>1.620 (12:14:42.795166)</v>
      </c>
      <c r="AA123" s="3" t="s">
        <v>1342</v>
      </c>
      <c r="AB123" s="14" t="str">
        <f>_xll.PLContribFull(F123*100,"BID",AA123,"Slot46","TICKER",3,,"Valid")</f>
        <v>-2.560 (12:14:42.788167)</v>
      </c>
      <c r="AC123" s="5" t="str">
        <f>_xll.PLContribFull(M123*100,"ASK",AA123,"Slot46","TICKER",3,,"Valid")</f>
        <v>3.440 (12:14:42.787167)</v>
      </c>
      <c r="AD123" s="16"/>
    </row>
    <row r="124" spans="1:30" s="1" customFormat="1" x14ac:dyDescent="0.2">
      <c r="A124" s="12" t="s">
        <v>6</v>
      </c>
      <c r="B124" s="11">
        <f>'G7 Cross Input'!Q115</f>
        <v>3.5049999999999998E-2</v>
      </c>
      <c r="C124" s="11">
        <f>'G7 Cross Input'!R115</f>
        <v>-1.0800000000000001E-2</v>
      </c>
      <c r="D124" s="11">
        <f>'G7 Cross Input'!S115</f>
        <v>-2.1400000000000002E-2</v>
      </c>
      <c r="E124" s="11">
        <f>'G7 Cross Input'!T115</f>
        <v>-6.4999999999999997E-3</v>
      </c>
      <c r="F124" s="11">
        <f>'G7 Cross Input'!U115</f>
        <v>-1.1299999999999999E-2</v>
      </c>
      <c r="H124" s="10" t="s">
        <v>6</v>
      </c>
      <c r="I124" s="11">
        <f>'G7 Cross Input'!X115</f>
        <v>4.4549999999999992E-2</v>
      </c>
      <c r="J124" s="11">
        <f>'G7 Cross Input'!Y115</f>
        <v>9.1999999999999998E-3</v>
      </c>
      <c r="K124" s="11">
        <f>'G7 Cross Input'!Z115</f>
        <v>1.8599999999999998E-2</v>
      </c>
      <c r="L124" s="11">
        <f>'G7 Cross Input'!AA115</f>
        <v>8.5000000000000006E-3</v>
      </c>
      <c r="M124" s="11">
        <f>'G7 Cross Input'!AB115</f>
        <v>1.8700000000000001E-2</v>
      </c>
      <c r="O124" s="3" t="s">
        <v>1299</v>
      </c>
      <c r="P124" s="14" t="str">
        <f>_xll.PLContribFull(B124*100,"BID",O124,"Slot46","TICKER",3,,"Valid")</f>
        <v>3.505 (12:14:42.787167)</v>
      </c>
      <c r="Q124" s="5" t="str">
        <f>_xll.PLContribFull(I124*100,"ASK",O124,"Slot46","TICKER",3,,"Valid")</f>
        <v>4.455 (12:14:42.786167)</v>
      </c>
      <c r="R124" s="3" t="s">
        <v>1310</v>
      </c>
      <c r="S124" s="14" t="str">
        <f>_xll.PLContribFull(C124*100,"BID",R124,"Slot46","TICKER",3,,"Valid")</f>
        <v>-1.080 (12:14:42.784167)</v>
      </c>
      <c r="T124" s="14" t="str">
        <f>_xll.PLContribFull(J124*100,"ASK",R124,"Slot46","TICKER",3,,"Valid")</f>
        <v>0.920 (12:14:42.784167)</v>
      </c>
      <c r="U124" s="3" t="s">
        <v>1321</v>
      </c>
      <c r="V124" s="14" t="str">
        <f>_xll.PLContribFull(D124*100,"BID",U124,"Slot46","TICKER",3,,"Valid")</f>
        <v>-2.140 (12:14:42.794168)</v>
      </c>
      <c r="W124" s="5" t="str">
        <f>_xll.PLContribFull(K124*100,"ASK",U124,"Slot46","TICKER",3,,"Valid")</f>
        <v>1.860 (12:14:42.784167)</v>
      </c>
      <c r="X124" s="3" t="s">
        <v>1332</v>
      </c>
      <c r="Y124" s="14" t="str">
        <f>_xll.PLContribFull(E124*100,"BID",X124,"Slot46","TICKER",3,,"Valid")</f>
        <v>-0.650 (12:14:42.791166)</v>
      </c>
      <c r="Z124" s="14" t="str">
        <f>_xll.PLContribFull(L124*100,"ASK",X124,"Slot46","TICKER",3,,"Valid")</f>
        <v>0.850 (12:14:42.786167)</v>
      </c>
      <c r="AA124" s="3" t="s">
        <v>1343</v>
      </c>
      <c r="AB124" s="14" t="str">
        <f>_xll.PLContribFull(F124*100,"BID",AA124,"Slot46","TICKER",3,,"Valid")</f>
        <v>-1.130 (12:14:42.782167)</v>
      </c>
      <c r="AC124" s="5" t="str">
        <f>_xll.PLContribFull(M124*100,"ASK",AA124,"Slot46","TICKER",3,,"Valid")</f>
        <v>1.870 (12:14:42.798166)</v>
      </c>
      <c r="AD124" s="16"/>
    </row>
    <row r="125" spans="1:30" s="1" customFormat="1" x14ac:dyDescent="0.2">
      <c r="A125" s="12" t="s">
        <v>7</v>
      </c>
      <c r="B125" s="11">
        <f>'G7 Cross Input'!Q116</f>
        <v>4.0499999999999994E-2</v>
      </c>
      <c r="C125" s="11">
        <f>'G7 Cross Input'!R116</f>
        <v>-8.3999999999999995E-3</v>
      </c>
      <c r="D125" s="11">
        <f>'G7 Cross Input'!S116</f>
        <v>-1.66E-2</v>
      </c>
      <c r="E125" s="11">
        <f>'G7 Cross Input'!T116</f>
        <v>-3.8999999999999998E-3</v>
      </c>
      <c r="F125" s="11">
        <f>'G7 Cross Input'!U116</f>
        <v>-6.0999999999999995E-3</v>
      </c>
      <c r="H125" s="10" t="s">
        <v>7</v>
      </c>
      <c r="I125" s="11">
        <f>'G7 Cross Input'!X116</f>
        <v>4.7299999999999995E-2</v>
      </c>
      <c r="J125" s="11">
        <f>'G7 Cross Input'!Y116</f>
        <v>6.6E-3</v>
      </c>
      <c r="K125" s="11">
        <f>'G7 Cross Input'!Z116</f>
        <v>1.3399999999999999E-2</v>
      </c>
      <c r="L125" s="11">
        <f>'G7 Cross Input'!AA116</f>
        <v>6.1000000000000004E-3</v>
      </c>
      <c r="M125" s="11">
        <f>'G7 Cross Input'!AB116</f>
        <v>1.3900000000000001E-2</v>
      </c>
      <c r="O125" s="3" t="s">
        <v>1300</v>
      </c>
      <c r="P125" s="14" t="str">
        <f>_xll.PLContribFull(B125*100,"BID",O125,"Slot46","TICKER",3,,"Valid")</f>
        <v>4.050 (12:14:42.793169)</v>
      </c>
      <c r="Q125" s="5" t="str">
        <f>_xll.PLContribFull(I125*100,"ASK",O125,"Slot46","TICKER",3,,"Valid")</f>
        <v>4.730 (12:14:42.782167)</v>
      </c>
      <c r="R125" s="3" t="s">
        <v>1311</v>
      </c>
      <c r="S125" s="14" t="str">
        <f>_xll.PLContribFull(C125*100,"BID",R125,"Slot46","TICKER",3,,"Valid")</f>
        <v>-0.840 (12:14:42.795166)</v>
      </c>
      <c r="T125" s="14" t="str">
        <f>_xll.PLContribFull(J125*100,"ASK",R125,"Slot46","TICKER",3,,"Valid")</f>
        <v>0.660 (12:14:42.750168)</v>
      </c>
      <c r="U125" s="3" t="s">
        <v>1322</v>
      </c>
      <c r="V125" s="14" t="str">
        <f>_xll.PLContribFull(D125*100,"BID",U125,"Slot46","TICKER",3,,"Valid")</f>
        <v>-1.660 (12:14:42.754169)</v>
      </c>
      <c r="W125" s="5" t="str">
        <f>_xll.PLContribFull(K125*100,"ASK",U125,"Slot46","TICKER",3,,"Valid")</f>
        <v>1.340 (12:14:42.795166)</v>
      </c>
      <c r="X125" s="3" t="s">
        <v>1333</v>
      </c>
      <c r="Y125" s="14" t="str">
        <f>_xll.PLContribFull(E125*100,"BID",X125,"Slot46","TICKER",3,,"Valid")</f>
        <v>-0.390 (12:14:42.799167)</v>
      </c>
      <c r="Z125" s="14" t="str">
        <f>_xll.PLContribFull(L125*100,"ASK",X125,"Slot46","TICKER",3,,"Valid")</f>
        <v>0.610 (12:14:42.785170)</v>
      </c>
      <c r="AA125" s="3" t="s">
        <v>1344</v>
      </c>
      <c r="AB125" s="14" t="str">
        <f>_xll.PLContribFull(F125*100,"BID",AA125,"Slot46","TICKER",3,,"Valid")</f>
        <v>-0.610 (12:14:42.780166)</v>
      </c>
      <c r="AC125" s="5" t="str">
        <f>_xll.PLContribFull(M125*100,"ASK",AA125,"Slot46","TICKER",3,,"Valid")</f>
        <v>1.390 (12:14:42.748167)</v>
      </c>
      <c r="AD125" s="16"/>
    </row>
    <row r="126" spans="1:30" s="1" customFormat="1" x14ac:dyDescent="0.2">
      <c r="A126" s="12" t="s">
        <v>8</v>
      </c>
      <c r="B126" s="11">
        <f>'G7 Cross Input'!Q117</f>
        <v>4.6849999999999996E-2</v>
      </c>
      <c r="C126" s="11">
        <f>'G7 Cross Input'!R117</f>
        <v>-8.3999999999999995E-3</v>
      </c>
      <c r="D126" s="11">
        <f>'G7 Cross Input'!S117</f>
        <v>-1.66E-2</v>
      </c>
      <c r="E126" s="11">
        <f>'G7 Cross Input'!T117</f>
        <v>-4.0000000000000001E-3</v>
      </c>
      <c r="F126" s="11">
        <f>'G7 Cross Input'!U117</f>
        <v>-6.2000000000000006E-3</v>
      </c>
      <c r="H126" s="10" t="s">
        <v>8</v>
      </c>
      <c r="I126" s="11">
        <f>'G7 Cross Input'!X117</f>
        <v>4.954999999999999E-2</v>
      </c>
      <c r="J126" s="11">
        <f>'G7 Cross Input'!Y117</f>
        <v>6.6E-3</v>
      </c>
      <c r="K126" s="11">
        <f>'G7 Cross Input'!Z117</f>
        <v>1.3399999999999999E-2</v>
      </c>
      <c r="L126" s="11">
        <f>'G7 Cross Input'!AA117</f>
        <v>6.0000000000000001E-3</v>
      </c>
      <c r="M126" s="11">
        <f>'G7 Cross Input'!AB117</f>
        <v>1.38E-2</v>
      </c>
      <c r="O126" s="3" t="s">
        <v>1301</v>
      </c>
      <c r="P126" s="14" t="str">
        <f>_xll.PLContribFull(B126*100,"BID",O126,"Slot46","TICKER",3,,"Valid")</f>
        <v>4.685 (12:14:42.742167)</v>
      </c>
      <c r="Q126" s="5" t="str">
        <f>_xll.PLContribFull(I126*100,"ASK",O126,"Slot46","TICKER",3,,"Valid")</f>
        <v>4.955 (12:14:42.784167)</v>
      </c>
      <c r="R126" s="3" t="s">
        <v>1319</v>
      </c>
      <c r="S126" s="14" t="str">
        <f>_xll.PLContribFull(C126*100,"BID",R126,"Slot46","TICKER",3,,"Valid")</f>
        <v>-0.840 (12:14:42.753167)</v>
      </c>
      <c r="T126" s="14" t="str">
        <f>_xll.PLContribFull(J126*100,"ASK",R126,"Slot46","TICKER",3,,"Valid")</f>
        <v>0.660 (12:14:42.792167)</v>
      </c>
      <c r="U126" s="3" t="s">
        <v>1323</v>
      </c>
      <c r="V126" s="14" t="str">
        <f>_xll.PLContribFull(D126*100,"BID",U126,"Slot46","TICKER",3,,"Valid")</f>
        <v>-1.660 (12:14:42.782167)</v>
      </c>
      <c r="W126" s="5" t="str">
        <f>_xll.PLContribFull(K126*100,"ASK",U126,"Slot46","TICKER",3,,"Valid")</f>
        <v>1.340 (12:14:42.786167)</v>
      </c>
      <c r="X126" s="3" t="s">
        <v>1334</v>
      </c>
      <c r="Y126" s="14" t="str">
        <f>_xll.PLContribFull(E126*100,"BID",X126,"Slot46","TICKER",3,,"Valid")</f>
        <v>-0.400 (12:14:42.793169)</v>
      </c>
      <c r="Z126" s="14" t="str">
        <f>_xll.PLContribFull(L126*100,"ASK",X126,"Slot46","TICKER",3,,"Valid")</f>
        <v>0.600 (12:14:42.740168)</v>
      </c>
      <c r="AA126" s="3" t="s">
        <v>1345</v>
      </c>
      <c r="AB126" s="14" t="str">
        <f>_xll.PLContribFull(F126*100,"BID",AA126,"Slot46","TICKER",3,,"Valid")</f>
        <v>-0.620 (12:14:42.783166)</v>
      </c>
      <c r="AC126" s="5" t="str">
        <f>_xll.PLContribFull(M126*100,"ASK",AA126,"Slot46","TICKER",3,,"Valid")</f>
        <v>1.380 (12:14:42.742167)</v>
      </c>
      <c r="AD126" s="16"/>
    </row>
    <row r="127" spans="1:30" s="1" customFormat="1" x14ac:dyDescent="0.2">
      <c r="A127" s="12" t="s">
        <v>9</v>
      </c>
      <c r="B127" s="11">
        <f>'G7 Cross Input'!Q118</f>
        <v>5.0750000000000003E-2</v>
      </c>
      <c r="C127" s="11">
        <f>'G7 Cross Input'!R118</f>
        <v>-5.0000000000000001E-3</v>
      </c>
      <c r="D127" s="11">
        <f>'G7 Cross Input'!S118</f>
        <v>-9.7999999999999997E-3</v>
      </c>
      <c r="E127" s="11">
        <f>'G7 Cross Input'!T118</f>
        <v>-1.3000000000000002E-3</v>
      </c>
      <c r="F127" s="11">
        <f>'G7 Cross Input'!U118</f>
        <v>-5.9999999999999984E-4</v>
      </c>
      <c r="H127" s="10" t="s">
        <v>9</v>
      </c>
      <c r="I127" s="11">
        <f>'G7 Cross Input'!X118</f>
        <v>5.3449999999999998E-2</v>
      </c>
      <c r="J127" s="11">
        <f>'G7 Cross Input'!Y118</f>
        <v>3.0000000000000001E-3</v>
      </c>
      <c r="K127" s="11">
        <f>'G7 Cross Input'!Z118</f>
        <v>6.2000000000000006E-3</v>
      </c>
      <c r="L127" s="11">
        <f>'G7 Cross Input'!AA118</f>
        <v>3.7000000000000002E-3</v>
      </c>
      <c r="M127" s="11">
        <f>'G7 Cross Input'!AB118</f>
        <v>9.4000000000000004E-3</v>
      </c>
      <c r="O127" s="3" t="s">
        <v>1302</v>
      </c>
      <c r="P127" s="14" t="str">
        <f>_xll.PLContribFull(B127*100,"BID",O127,"Slot46","TICKER",3,,"Valid")</f>
        <v>5.075 (12:14:42.789167)</v>
      </c>
      <c r="Q127" s="5" t="str">
        <f>_xll.PLContribFull(I127*100,"ASK",O127,"Slot46","TICKER",3,,"Valid")</f>
        <v>5.345 (12:14:42.797167)</v>
      </c>
      <c r="R127" s="3" t="s">
        <v>1312</v>
      </c>
      <c r="S127" s="14" t="str">
        <f>_xll.PLContribFull(C127*100,"BID",R127,"Slot46","TICKER",3,,"Valid")</f>
        <v>-0.500 (12:14:42.744167)</v>
      </c>
      <c r="T127" s="14" t="str">
        <f>_xll.PLContribFull(J127*100,"ASK",R127,"Slot46","TICKER",3,,"Valid")</f>
        <v>0.300 (12:14:42.797167)</v>
      </c>
      <c r="U127" s="3" t="s">
        <v>1324</v>
      </c>
      <c r="V127" s="14" t="str">
        <f>_xll.PLContribFull(D127*100,"BID",U127,"Slot46","TICKER",3,,"Valid")</f>
        <v>-0.980 (12:14:42.795166)</v>
      </c>
      <c r="W127" s="5" t="str">
        <f>_xll.PLContribFull(K127*100,"ASK",U127,"Slot46","TICKER",3,,"Valid")</f>
        <v>0.620 (12:14:42.749167)</v>
      </c>
      <c r="X127" s="3" t="s">
        <v>1335</v>
      </c>
      <c r="Y127" s="14" t="str">
        <f>_xll.PLContribFull(E127*100,"BID",X127,"Slot46","TICKER",3,,"Valid")</f>
        <v>-0.130 (12:14:42.792167)</v>
      </c>
      <c r="Z127" s="14" t="str">
        <f>_xll.PLContribFull(L127*100,"ASK",X127,"Slot46","TICKER",3,,"Valid")</f>
        <v>0.370 (12:14:42.793169)</v>
      </c>
      <c r="AA127" s="3" t="s">
        <v>1346</v>
      </c>
      <c r="AB127" s="14" t="str">
        <f>_xll.PLContribFull(F127*100,"BID",AA127,"Slot46","TICKER",3,,"Valid")</f>
        <v>-0.060 (12:14:42.793169)</v>
      </c>
      <c r="AC127" s="5" t="str">
        <f>_xll.PLContribFull(M127*100,"ASK",AA127,"Slot46","TICKER",3,,"Valid")</f>
        <v>0.940 (12:14:42.797167)</v>
      </c>
      <c r="AD127" s="16"/>
    </row>
    <row r="128" spans="1:30" s="1" customFormat="1" x14ac:dyDescent="0.2">
      <c r="A128" s="12" t="s">
        <v>10</v>
      </c>
      <c r="B128" s="11">
        <f>'G7 Cross Input'!Q119</f>
        <v>5.2299999999999999E-2</v>
      </c>
      <c r="C128" s="11">
        <f>'G7 Cross Input'!R119</f>
        <v>-5.0000000000000001E-3</v>
      </c>
      <c r="D128" s="11">
        <f>'G7 Cross Input'!S119</f>
        <v>-9.9000000000000008E-3</v>
      </c>
      <c r="E128" s="11">
        <f>'G7 Cross Input'!T119</f>
        <v>-1.2000000000000001E-3</v>
      </c>
      <c r="F128" s="11">
        <f>'G7 Cross Input'!U119</f>
        <v>-2.0000000000000052E-4</v>
      </c>
      <c r="H128" s="10" t="s">
        <v>10</v>
      </c>
      <c r="I128" s="11">
        <f>'G7 Cross Input'!X119</f>
        <v>5.5099999999999996E-2</v>
      </c>
      <c r="J128" s="11">
        <f>'G7 Cross Input'!Y119</f>
        <v>3.0000000000000001E-3</v>
      </c>
      <c r="K128" s="11">
        <f>'G7 Cross Input'!Z119</f>
        <v>6.1000000000000004E-3</v>
      </c>
      <c r="L128" s="11">
        <f>'G7 Cross Input'!AA119</f>
        <v>3.8E-3</v>
      </c>
      <c r="M128" s="11">
        <f>'G7 Cross Input'!AB119</f>
        <v>9.7999999999999997E-3</v>
      </c>
      <c r="O128" s="3" t="s">
        <v>1303</v>
      </c>
      <c r="P128" s="14" t="str">
        <f>_xll.PLContribFull(B128*100,"BID",O128,"Slot46","TICKER",3,,"Valid")</f>
        <v>5.230 (12:14:42.786167)</v>
      </c>
      <c r="Q128" s="5" t="str">
        <f>_xll.PLContribFull(I128*100,"ASK",O128,"Slot46","TICKER",3,,"Valid")</f>
        <v>5.510 (12:14:42.798166)</v>
      </c>
      <c r="R128" s="3" t="s">
        <v>1313</v>
      </c>
      <c r="S128" s="14" t="str">
        <f>_xll.PLContribFull(C128*100,"BID",R128,"Slot46","TICKER",3,,"Valid")</f>
        <v>-0.500 (12:14:42.797167)</v>
      </c>
      <c r="T128" s="14" t="str">
        <f>_xll.PLContribFull(J128*100,"ASK",R128,"Slot46","TICKER",3,,"Valid")</f>
        <v>0.300 (12:14:42.740168)</v>
      </c>
      <c r="U128" s="3" t="s">
        <v>1325</v>
      </c>
      <c r="V128" s="14" t="str">
        <f>_xll.PLContribFull(D128*100,"BID",U128,"Slot46","TICKER",3,,"Valid")</f>
        <v>-0.990 (12:14:42.780166)</v>
      </c>
      <c r="W128" s="5" t="str">
        <f>_xll.PLContribFull(K128*100,"ASK",U128,"Slot46","TICKER",3,,"Valid")</f>
        <v>0.610 (12:14:42.755167)</v>
      </c>
      <c r="X128" s="3" t="s">
        <v>1336</v>
      </c>
      <c r="Y128" s="14" t="str">
        <f>_xll.PLContribFull(E128*100,"BID",X128,"Slot46","TICKER",3,,"Valid")</f>
        <v>-0.120 (12:14:42.783166)</v>
      </c>
      <c r="Z128" s="14" t="str">
        <f>_xll.PLContribFull(L128*100,"ASK",X128,"Slot46","TICKER",3,,"Valid")</f>
        <v>0.380 (12:14:42.751168)</v>
      </c>
      <c r="AA128" s="3" t="s">
        <v>1347</v>
      </c>
      <c r="AB128" s="14" t="str">
        <f>_xll.PLContribFull(F128*100,"BID",AA128,"Slot46","TICKER",3,,"Valid")</f>
        <v>-0.020 (12:14:42.794168)</v>
      </c>
      <c r="AC128" s="5" t="str">
        <f>_xll.PLContribFull(M128*100,"ASK",AA128,"Slot46","TICKER",3,,"Valid")</f>
        <v>0.980 (12:14:42.798166)</v>
      </c>
      <c r="AD128" s="16"/>
    </row>
    <row r="129" spans="1:30" s="1" customFormat="1" x14ac:dyDescent="0.2">
      <c r="A129" s="12" t="s">
        <v>11</v>
      </c>
      <c r="B129" s="11">
        <f>'G7 Cross Input'!Q120</f>
        <v>5.6849999999999998E-2</v>
      </c>
      <c r="C129" s="11">
        <f>'G7 Cross Input'!R120</f>
        <v>-5.1000000000000004E-3</v>
      </c>
      <c r="D129" s="11">
        <f>'G7 Cross Input'!S120</f>
        <v>-9.9000000000000008E-3</v>
      </c>
      <c r="E129" s="11">
        <f>'G7 Cross Input'!T120</f>
        <v>-8.9999999999999998E-4</v>
      </c>
      <c r="F129" s="11">
        <f>'G7 Cross Input'!U120</f>
        <v>1.1999999999999997E-3</v>
      </c>
      <c r="H129" s="10" t="s">
        <v>11</v>
      </c>
      <c r="I129" s="11">
        <f>'G7 Cross Input'!X120</f>
        <v>5.935E-2</v>
      </c>
      <c r="J129" s="11">
        <f>'G7 Cross Input'!Y120</f>
        <v>2.8999999999999998E-3</v>
      </c>
      <c r="K129" s="11">
        <f>'G7 Cross Input'!Z120</f>
        <v>6.1000000000000004E-3</v>
      </c>
      <c r="L129" s="11">
        <f>'G7 Cross Input'!AA120</f>
        <v>4.1000000000000003E-3</v>
      </c>
      <c r="M129" s="11">
        <f>'G7 Cross Input'!AB120</f>
        <v>1.12E-2</v>
      </c>
      <c r="O129" s="3" t="s">
        <v>1304</v>
      </c>
      <c r="P129" s="14" t="str">
        <f>_xll.PLContribFull(B129*100,"BID",O129,"Slot46","TICKER",3,,"Valid")</f>
        <v>5.685 (12:14:42.796169)</v>
      </c>
      <c r="Q129" s="5" t="str">
        <f>_xll.PLContribFull(I129*100,"ASK",O129,"Slot46","TICKER",3,,"Valid")</f>
        <v>5.935 (12:14:42.781168)</v>
      </c>
      <c r="R129" s="3" t="s">
        <v>1314</v>
      </c>
      <c r="S129" s="14" t="str">
        <f>_xll.PLContribFull(C129*100,"BID",R129,"Slot46","TICKER",3,,"Valid")</f>
        <v>-0.510 (12:14:42.784167)</v>
      </c>
      <c r="T129" s="14" t="str">
        <f>_xll.PLContribFull(J129*100,"ASK",R129,"Slot46","TICKER",3,,"Valid")</f>
        <v>0.290 (12:14:42.784167)</v>
      </c>
      <c r="U129" s="3" t="s">
        <v>1326</v>
      </c>
      <c r="V129" s="14" t="str">
        <f>_xll.PLContribFull(D129*100,"BID",U129,"Slot46","TICKER",3,,"Valid")</f>
        <v>-0.990 (12:14:42.784167)</v>
      </c>
      <c r="W129" s="5" t="str">
        <f>_xll.PLContribFull(K129*100,"ASK",U129,"Slot46","TICKER",3,,"Valid")</f>
        <v>0.610 (12:14:42.782167)</v>
      </c>
      <c r="X129" s="3" t="s">
        <v>1337</v>
      </c>
      <c r="Y129" s="14" t="str">
        <f>_xll.PLContribFull(E129*100,"BID",X129,"Slot46","TICKER",3,,"Valid")</f>
        <v>-0.090 (12:14:42.784167)</v>
      </c>
      <c r="Z129" s="14" t="str">
        <f>_xll.PLContribFull(L129*100,"ASK",X129,"Slot46","TICKER",3,,"Valid")</f>
        <v>0.410 (12:14:42.783166)</v>
      </c>
      <c r="AA129" s="3" t="s">
        <v>1348</v>
      </c>
      <c r="AB129" s="14" t="str">
        <f>_xll.PLContribFull(F129*100,"BID",AA129,"Slot46","TICKER",3,,"Valid")</f>
        <v>0.120 (12:14:42.780166)</v>
      </c>
      <c r="AC129" s="5" t="str">
        <f>_xll.PLContribFull(M129*100,"ASK",AA129,"Slot46","TICKER",3,,"Valid")</f>
        <v>1.120 (12:14:42.796169)</v>
      </c>
      <c r="AD129" s="16"/>
    </row>
    <row r="130" spans="1:30" s="1" customFormat="1" x14ac:dyDescent="0.2">
      <c r="A130" s="12" t="s">
        <v>12</v>
      </c>
      <c r="B130" s="11">
        <f>'G7 Cross Input'!Q121</f>
        <v>6.0549999999999993E-2</v>
      </c>
      <c r="C130" s="11">
        <f>'G7 Cross Input'!R121</f>
        <v>-5.1000000000000004E-3</v>
      </c>
      <c r="D130" s="11">
        <f>'G7 Cross Input'!S121</f>
        <v>-9.7999999999999997E-3</v>
      </c>
      <c r="E130" s="11">
        <f>'G7 Cross Input'!T121</f>
        <v>-5.0000000000000001E-4</v>
      </c>
      <c r="F130" s="11">
        <f>'G7 Cross Input'!U121</f>
        <v>2.5999999999999999E-3</v>
      </c>
      <c r="H130" s="10" t="s">
        <v>12</v>
      </c>
      <c r="I130" s="11">
        <f>'G7 Cross Input'!X121</f>
        <v>6.3049999999999995E-2</v>
      </c>
      <c r="J130" s="11">
        <f>'G7 Cross Input'!Y121</f>
        <v>2.8999999999999998E-3</v>
      </c>
      <c r="K130" s="11">
        <f>'G7 Cross Input'!Z121</f>
        <v>6.2000000000000006E-3</v>
      </c>
      <c r="L130" s="11">
        <f>'G7 Cross Input'!AA121</f>
        <v>4.5000000000000005E-3</v>
      </c>
      <c r="M130" s="11">
        <f>'G7 Cross Input'!AB121</f>
        <v>1.26E-2</v>
      </c>
      <c r="O130" s="3" t="s">
        <v>1305</v>
      </c>
      <c r="P130" s="14" t="str">
        <f>_xll.PLContribFull(B130*100,"BID",O130,"Slot46","TICKER",3,,"Valid")</f>
        <v>6.055 (12:14:42.788167)</v>
      </c>
      <c r="Q130" s="5" t="str">
        <f>_xll.PLContribFull(I130*100,"ASK",O130,"Slot46","TICKER",3,,"Valid")</f>
        <v>6.305 (12:14:42.788167)</v>
      </c>
      <c r="R130" s="3" t="s">
        <v>1315</v>
      </c>
      <c r="S130" s="14" t="str">
        <f>_xll.PLContribFull(C130*100,"BID",R130,"Slot46","TICKER",3,,"Valid")</f>
        <v>-0.510 (12:14:42.795166)</v>
      </c>
      <c r="T130" s="14" t="str">
        <f>_xll.PLContribFull(J130*100,"ASK",R130,"Slot46","TICKER",3,,"Valid")</f>
        <v>0.290 (12:14:42.786167)</v>
      </c>
      <c r="U130" s="3" t="s">
        <v>1327</v>
      </c>
      <c r="V130" s="14" t="str">
        <f>_xll.PLContribFull(D130*100,"BID",U130,"Slot46","TICKER",3,,"Valid")</f>
        <v>-0.980 (12:14:42.795166)</v>
      </c>
      <c r="W130" s="5" t="str">
        <f>_xll.PLContribFull(K130*100,"ASK",U130,"Slot46","TICKER",3,,"Valid")</f>
        <v>0.620 (12:14:42.798166)</v>
      </c>
      <c r="X130" s="3" t="s">
        <v>1338</v>
      </c>
      <c r="Y130" s="14" t="str">
        <f>_xll.PLContribFull(E130*100,"BID",X130,"Slot46","TICKER",3,,"Valid")</f>
        <v>-0.050 (12:14:42.780166)</v>
      </c>
      <c r="Z130" s="14" t="str">
        <f>_xll.PLContribFull(L130*100,"ASK",X130,"Slot46","TICKER",3,,"Valid")</f>
        <v>0.450 (12:14:42.785170)</v>
      </c>
      <c r="AA130" s="3" t="s">
        <v>1349</v>
      </c>
      <c r="AB130" s="14" t="str">
        <f>_xll.PLContribFull(F130*100,"BID",AA130,"Slot46","TICKER",3,,"Valid")</f>
        <v>0.260 (12:14:42.785170)</v>
      </c>
      <c r="AC130" s="5" t="str">
        <f>_xll.PLContribFull(M130*100,"ASK",AA130,"Slot46","TICKER",3,,"Valid")</f>
        <v>1.260 (12:14:42.795166)</v>
      </c>
      <c r="AD130" s="16"/>
    </row>
    <row r="131" spans="1:30" s="1" customFormat="1" x14ac:dyDescent="0.2">
      <c r="A131" s="12" t="s">
        <v>13</v>
      </c>
      <c r="B131" s="11">
        <f>'G7 Cross Input'!Q122</f>
        <v>6.3500000000000001E-2</v>
      </c>
      <c r="C131" s="11">
        <f>'G7 Cross Input'!R122</f>
        <v>-4.8999999999999998E-3</v>
      </c>
      <c r="D131" s="11">
        <f>'G7 Cross Input'!S122</f>
        <v>-9.2999999999999992E-3</v>
      </c>
      <c r="E131" s="11">
        <f>'G7 Cross Input'!T122</f>
        <v>-2.0000000000000009E-4</v>
      </c>
      <c r="F131" s="11">
        <f>'G7 Cross Input'!U122</f>
        <v>4.1000000000000003E-3</v>
      </c>
      <c r="H131" s="10" t="s">
        <v>13</v>
      </c>
      <c r="I131" s="11">
        <f>'G7 Cross Input'!X122</f>
        <v>6.6099999999999992E-2</v>
      </c>
      <c r="J131" s="11">
        <f>'G7 Cross Input'!Y122</f>
        <v>3.1000000000000003E-3</v>
      </c>
      <c r="K131" s="11">
        <f>'G7 Cross Input'!Z122</f>
        <v>6.7000000000000002E-3</v>
      </c>
      <c r="L131" s="11">
        <f>'G7 Cross Input'!AA122</f>
        <v>4.8000000000000004E-3</v>
      </c>
      <c r="M131" s="11">
        <f>'G7 Cross Input'!AB122</f>
        <v>1.4100000000000001E-2</v>
      </c>
      <c r="O131" s="3" t="s">
        <v>1306</v>
      </c>
      <c r="P131" s="14" t="str">
        <f>_xll.PLContribFull(B131*100,"BID",O131,"Slot46","TICKER",3,,"Valid")</f>
        <v>6.350 (12:14:42.794168)</v>
      </c>
      <c r="Q131" s="5" t="str">
        <f>_xll.PLContribFull(I131*100,"ASK",O131,"Slot46","TICKER",3,,"Valid")</f>
        <v>6.610 (12:14:42.782167)</v>
      </c>
      <c r="R131" s="3" t="s">
        <v>1316</v>
      </c>
      <c r="S131" s="14" t="str">
        <f>_xll.PLContribFull(C131*100,"BID",R131,"Slot46","TICKER",3,,"Valid")</f>
        <v>-0.490 (12:14:42.786167)</v>
      </c>
      <c r="T131" s="14" t="str">
        <f>_xll.PLContribFull(J131*100,"ASK",R131,"Slot46","TICKER",3,,"Valid")</f>
        <v>0.310 (12:14:42.785170)</v>
      </c>
      <c r="U131" s="3" t="s">
        <v>1328</v>
      </c>
      <c r="V131" s="14" t="str">
        <f>_xll.PLContribFull(D131*100,"BID",U131,"Slot46","TICKER",3,,"Valid")</f>
        <v>-0.930 (12:14:42.784167)</v>
      </c>
      <c r="W131" s="5" t="str">
        <f>_xll.PLContribFull(K131*100,"ASK",U131,"Slot46","TICKER",3,,"Valid")</f>
        <v>0.670 (12:14:42.793169)</v>
      </c>
      <c r="X131" s="3" t="s">
        <v>1339</v>
      </c>
      <c r="Y131" s="14" t="str">
        <f>_xll.PLContribFull(E131*100,"BID",X131,"Slot46","TICKER",3,,"Valid")</f>
        <v>-0.020 (12:14:42.782167)</v>
      </c>
      <c r="Z131" s="14" t="str">
        <f>_xll.PLContribFull(L131*100,"ASK",X131,"Slot46","TICKER",3,,"Valid")</f>
        <v>0.480 (12:14:42.781168)</v>
      </c>
      <c r="AA131" s="3" t="s">
        <v>1350</v>
      </c>
      <c r="AB131" s="14" t="str">
        <f>_xll.PLContribFull(F131*100,"BID",AA131,"Slot46","TICKER",3,,"Valid")</f>
        <v>0.410 (12:14:42.741170)</v>
      </c>
      <c r="AC131" s="5" t="str">
        <f>_xll.PLContribFull(M131*100,"ASK",AA131,"Slot46","TICKER",3,,"Valid")</f>
        <v>1.410 (12:14:42.794168)</v>
      </c>
      <c r="AD131" s="16"/>
    </row>
    <row r="132" spans="1:30" s="1" customFormat="1" x14ac:dyDescent="0.2">
      <c r="A132" s="12" t="s">
        <v>14</v>
      </c>
      <c r="B132" s="11">
        <f>'G7 Cross Input'!Q123</f>
        <v>6.7500000000000004E-2</v>
      </c>
      <c r="C132" s="11">
        <f>'G7 Cross Input'!R123</f>
        <v>-7.0000000000000001E-3</v>
      </c>
      <c r="D132" s="11">
        <f>'G7 Cross Input'!S123</f>
        <v>-1.32E-2</v>
      </c>
      <c r="E132" s="11">
        <f>'G7 Cross Input'!T123</f>
        <v>-1.2999999999999999E-3</v>
      </c>
      <c r="F132" s="11">
        <f>'G7 Cross Input'!U123</f>
        <v>2.0999999999999994E-3</v>
      </c>
      <c r="H132" s="10" t="s">
        <v>14</v>
      </c>
      <c r="I132" s="11">
        <f>'G7 Cross Input'!X123</f>
        <v>7.1500000000000008E-2</v>
      </c>
      <c r="J132" s="11">
        <f>'G7 Cross Input'!Y123</f>
        <v>5.0000000000000001E-3</v>
      </c>
      <c r="K132" s="11">
        <f>'G7 Cross Input'!Z123</f>
        <v>1.0800000000000001E-2</v>
      </c>
      <c r="L132" s="11">
        <f>'G7 Cross Input'!AA123</f>
        <v>6.7000000000000002E-3</v>
      </c>
      <c r="M132" s="11">
        <f>'G7 Cross Input'!AB123</f>
        <v>1.8099999999999998E-2</v>
      </c>
      <c r="O132" s="3" t="s">
        <v>1307</v>
      </c>
      <c r="P132" s="14" t="str">
        <f>_xll.PLContribFull(B132*100,"BID",O132,"Slot46","TICKER",3,,"Valid")</f>
        <v>6.750 (12:14:42.783166)</v>
      </c>
      <c r="Q132" s="5" t="str">
        <f>_xll.PLContribFull(I132*100,"ASK",O132,"Slot46","TICKER",3,,"Valid")</f>
        <v>7.150 (12:14:42.786167)</v>
      </c>
      <c r="R132" s="3" t="s">
        <v>1317</v>
      </c>
      <c r="S132" s="14" t="str">
        <f>_xll.PLContribFull(C132*100,"BID",R132,"Slot46","TICKER",3,,"Valid")</f>
        <v>-0.700 (12:14:42.783166)</v>
      </c>
      <c r="T132" s="14" t="str">
        <f>_xll.PLContribFull(J132*100,"ASK",R132,"Slot46","TICKER",3,,"Valid")</f>
        <v>0.500 (12:14:42.789167)</v>
      </c>
      <c r="U132" s="3" t="s">
        <v>1329</v>
      </c>
      <c r="V132" s="14" t="str">
        <f>_xll.PLContribFull(D132*100,"BID",U132,"Slot46","TICKER",3,,"Valid")</f>
        <v>-1.320 (12:14:42.795166)</v>
      </c>
      <c r="W132" s="5" t="str">
        <f>_xll.PLContribFull(K132*100,"ASK",U132,"Slot46","TICKER",3,,"Valid")</f>
        <v>1.080 (12:14:42.795166)</v>
      </c>
      <c r="X132" s="3" t="s">
        <v>1340</v>
      </c>
      <c r="Y132" s="14" t="str">
        <f>_xll.PLContribFull(E132*100,"BID",X132,"Slot46","TICKER",3,,"Valid")</f>
        <v>-0.130 (12:14:42.783166)</v>
      </c>
      <c r="Z132" s="14" t="str">
        <f>_xll.PLContribFull(L132*100,"ASK",X132,"Slot46","TICKER",3,,"Valid")</f>
        <v>0.670 (12:14:42.782167)</v>
      </c>
      <c r="AA132" s="3" t="s">
        <v>1351</v>
      </c>
      <c r="AB132" s="14" t="str">
        <f>_xll.PLContribFull(F132*100,"BID",AA132,"Slot46","TICKER",3,,"Valid")</f>
        <v>0.210 (12:14:42.786167)</v>
      </c>
      <c r="AC132" s="5" t="str">
        <f>_xll.PLContribFull(M132*100,"ASK",AA132,"Slot46","TICKER",3,,"Valid")</f>
        <v>1.810 (12:14:42.751168)</v>
      </c>
      <c r="AD132" s="16"/>
    </row>
    <row r="133" spans="1:30" x14ac:dyDescent="0.2">
      <c r="A133" s="12" t="s">
        <v>876</v>
      </c>
      <c r="B133" s="11">
        <f>'G7 Cross Input'!Q124</f>
        <v>7.0000000000000007E-2</v>
      </c>
      <c r="C133" s="11">
        <f>'G7 Cross Input'!R124</f>
        <v>-7.0000000000000001E-3</v>
      </c>
      <c r="D133" s="11">
        <f>'G7 Cross Input'!S124</f>
        <v>-1.3000000000000001E-2</v>
      </c>
      <c r="E133" s="11">
        <f>'G7 Cross Input'!T124</f>
        <v>-1.1999999999999997E-3</v>
      </c>
      <c r="F133" s="11">
        <f>'G7 Cross Input'!U124</f>
        <v>2.5000000000000005E-3</v>
      </c>
      <c r="G133" s="1"/>
      <c r="H133" s="10" t="s">
        <v>876</v>
      </c>
      <c r="I133" s="11">
        <f>'G7 Cross Input'!X124</f>
        <v>7.5399999999999995E-2</v>
      </c>
      <c r="J133" s="11">
        <f>'G7 Cross Input'!Y124</f>
        <v>5.0000000000000001E-3</v>
      </c>
      <c r="K133" s="11">
        <f>'G7 Cross Input'!Z124</f>
        <v>1.0999999999999999E-2</v>
      </c>
      <c r="L133" s="11">
        <f>'G7 Cross Input'!AA124</f>
        <v>6.8000000000000005E-3</v>
      </c>
      <c r="M133" s="11">
        <f>'G7 Cross Input'!AB124</f>
        <v>1.8500000000000003E-2</v>
      </c>
      <c r="N133" s="1"/>
      <c r="O133" s="3" t="s">
        <v>1308</v>
      </c>
      <c r="P133" s="14" t="str">
        <f>_xll.PLContribFull(B133*100,"BID",O133,"Slot46","TICKER",3,,"Valid")</f>
        <v>7.000 (12:14:42.787167)</v>
      </c>
      <c r="Q133" s="5" t="str">
        <f>_xll.PLContribFull(I133*100,"ASK",O133,"Slot46","TICKER",3,,"Valid")</f>
        <v>7.540 (12:14:42.799167)</v>
      </c>
      <c r="R133" s="3" t="s">
        <v>1318</v>
      </c>
      <c r="S133" s="14" t="str">
        <f>_xll.PLContribFull(C133*100,"BID",R133,"Slot46","TICKER",3,,"Valid")</f>
        <v>-0.700 (12:14:42.785170)</v>
      </c>
      <c r="T133" s="14" t="str">
        <f>_xll.PLContribFull(J133*100,"ASK",R133,"Slot46","TICKER",3,,"Valid")</f>
        <v>0.500 (12:14:42.781168)</v>
      </c>
      <c r="U133" s="3" t="s">
        <v>1330</v>
      </c>
      <c r="V133" s="14" t="str">
        <f>_xll.PLContribFull(D133*100,"BID",U133,"Slot46","TICKER",3,,"Valid")</f>
        <v>-1.300 (12:14:42.787167)</v>
      </c>
      <c r="W133" s="5" t="str">
        <f>_xll.PLContribFull(K133*100,"ASK",U133,"Slot46","TICKER",3,,"Valid")</f>
        <v>1.100 (12:14:42.755167)</v>
      </c>
      <c r="X133" s="3" t="s">
        <v>1341</v>
      </c>
      <c r="Y133" s="14" t="str">
        <f>_xll.PLContribFull(E133*100,"BID",X133,"Slot46","TICKER",3,,"Valid")</f>
        <v>-0.120 (12:14:42.759166)</v>
      </c>
      <c r="Z133" s="14" t="str">
        <f>_xll.PLContribFull(L133*100,"ASK",X133,"Slot46","TICKER",3,,"Valid")</f>
        <v>0.680 (12:14:42.743167)</v>
      </c>
      <c r="AA133" s="3" t="s">
        <v>1352</v>
      </c>
      <c r="AB133" s="14" t="str">
        <f>_xll.PLContribFull(F133*100,"BID",AA133,"Slot46","TICKER",3,,"Valid")</f>
        <v>0.250 (12:14:42.782167)</v>
      </c>
      <c r="AC133" s="5" t="str">
        <f>_xll.PLContribFull(M133*100,"ASK",AA133,"Slot46","TICKER",3,,"Valid")</f>
        <v>1.850 (12:14:42.744167)</v>
      </c>
    </row>
    <row r="135" spans="1:30" s="1" customFormat="1" x14ac:dyDescent="0.2">
      <c r="A135" s="10"/>
      <c r="B135" s="10"/>
      <c r="C135" s="10"/>
      <c r="D135" s="10"/>
      <c r="E135" s="10"/>
      <c r="F135" s="10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8"/>
      <c r="AC135" s="18"/>
      <c r="AD135"/>
    </row>
    <row r="136" spans="1:30" s="1" customFormat="1" x14ac:dyDescent="0.25">
      <c r="A136" s="10" t="s">
        <v>1888</v>
      </c>
      <c r="B136" s="10"/>
      <c r="C136" s="10"/>
      <c r="D136" s="10"/>
      <c r="E136" s="10"/>
      <c r="F136" s="10"/>
      <c r="O136" s="3" t="s">
        <v>67</v>
      </c>
      <c r="P136" s="15" t="s">
        <v>68</v>
      </c>
      <c r="Q136" s="15"/>
      <c r="R136" s="3" t="s">
        <v>67</v>
      </c>
      <c r="S136" s="15" t="s">
        <v>68</v>
      </c>
      <c r="T136" s="15"/>
      <c r="U136" s="3" t="s">
        <v>67</v>
      </c>
      <c r="V136" s="15" t="s">
        <v>68</v>
      </c>
      <c r="W136" s="15"/>
      <c r="X136" s="3" t="s">
        <v>67</v>
      </c>
      <c r="Y136" s="15" t="s">
        <v>68</v>
      </c>
      <c r="Z136" s="6"/>
      <c r="AA136" s="3" t="s">
        <v>67</v>
      </c>
      <c r="AB136" s="15" t="s">
        <v>68</v>
      </c>
      <c r="AC136" s="6"/>
      <c r="AD136"/>
    </row>
    <row r="137" spans="1:30" s="1" customFormat="1" ht="14.25" x14ac:dyDescent="0.25">
      <c r="A137" s="12" t="s">
        <v>331</v>
      </c>
      <c r="B137" s="12" t="s">
        <v>0</v>
      </c>
      <c r="C137" s="12" t="s">
        <v>1</v>
      </c>
      <c r="D137" s="12" t="s">
        <v>2</v>
      </c>
      <c r="E137" s="12" t="s">
        <v>3</v>
      </c>
      <c r="F137" s="12" t="s">
        <v>4</v>
      </c>
      <c r="H137" s="10" t="s">
        <v>16</v>
      </c>
      <c r="I137" s="10" t="s">
        <v>0</v>
      </c>
      <c r="J137" s="10" t="s">
        <v>1</v>
      </c>
      <c r="K137" s="10" t="s">
        <v>2</v>
      </c>
      <c r="L137" s="10" t="s">
        <v>3</v>
      </c>
      <c r="M137" s="10" t="s">
        <v>4</v>
      </c>
      <c r="O137" s="3" t="s">
        <v>66</v>
      </c>
      <c r="P137" s="13" t="s">
        <v>15</v>
      </c>
      <c r="Q137" s="13" t="s">
        <v>16</v>
      </c>
      <c r="R137" s="3" t="s">
        <v>1</v>
      </c>
      <c r="S137" s="13" t="s">
        <v>15</v>
      </c>
      <c r="T137" s="13" t="s">
        <v>16</v>
      </c>
      <c r="U137" s="3" t="s">
        <v>2</v>
      </c>
      <c r="V137" s="13" t="s">
        <v>15</v>
      </c>
      <c r="W137" s="13" t="s">
        <v>16</v>
      </c>
      <c r="X137" s="3" t="s">
        <v>3</v>
      </c>
      <c r="Y137" s="13" t="s">
        <v>15</v>
      </c>
      <c r="Z137" s="4" t="s">
        <v>16</v>
      </c>
      <c r="AA137" s="3" t="s">
        <v>4</v>
      </c>
      <c r="AB137" s="13" t="s">
        <v>15</v>
      </c>
      <c r="AC137" s="4" t="s">
        <v>16</v>
      </c>
      <c r="AD137" s="2"/>
    </row>
    <row r="138" spans="1:30" s="1" customFormat="1" x14ac:dyDescent="0.2">
      <c r="A138" s="12" t="s">
        <v>5</v>
      </c>
      <c r="B138" s="11">
        <f>'G7 Cross Input'!Q128</f>
        <v>5.244999999999999E-2</v>
      </c>
      <c r="C138" s="11">
        <f>'G7 Cross Input'!R128</f>
        <v>-2.7700000000000002E-2</v>
      </c>
      <c r="D138" s="11">
        <f>'G7 Cross Input'!S128</f>
        <v>-5.5E-2</v>
      </c>
      <c r="E138" s="11">
        <f>'G7 Cross Input'!T128</f>
        <v>-1.35E-2</v>
      </c>
      <c r="F138" s="11">
        <f>'G7 Cross Input'!U128</f>
        <v>-2.4499999999999997E-2</v>
      </c>
      <c r="H138" s="10" t="s">
        <v>5</v>
      </c>
      <c r="I138" s="11">
        <f>'G7 Cross Input'!X128</f>
        <v>7.9749999999999988E-2</v>
      </c>
      <c r="J138" s="11">
        <f>'G7 Cross Input'!Y128</f>
        <v>1.23E-2</v>
      </c>
      <c r="K138" s="11">
        <f>'G7 Cross Input'!Z128</f>
        <v>2.5000000000000001E-2</v>
      </c>
      <c r="L138" s="11">
        <f>'G7 Cross Input'!AA128</f>
        <v>1.6500000000000001E-2</v>
      </c>
      <c r="M138" s="11">
        <f>'G7 Cross Input'!AB128</f>
        <v>3.5499999999999997E-2</v>
      </c>
      <c r="O138" s="3" t="s">
        <v>1889</v>
      </c>
      <c r="P138" s="14" t="str">
        <f>_xll.PLContribFull(B138*100,"BID",O138,"Slot46","TICKER",3,,"Valid")</f>
        <v>5.245 (12:14:42.782167)</v>
      </c>
      <c r="Q138" s="5" t="str">
        <f>_xll.PLContribFull(I138*100,"ASK",O138,"Slot46","TICKER",3,,"Valid")</f>
        <v>7.975 (12:14:42.788167)</v>
      </c>
      <c r="R138" s="3" t="s">
        <v>1900</v>
      </c>
      <c r="S138" s="14" t="str">
        <f>_xll.PLContribFull(C138*100,"BID",R138,"Slot46","TICKER",3,,"Valid")</f>
        <v>-2.770 (12:14:42.792167)</v>
      </c>
      <c r="T138" s="14" t="str">
        <f>_xll.PLContribFull(J138*100,"ASK",R138,"Slot46","TICKER",3,,"Valid")</f>
        <v>1.230 (12:14:42.739168)</v>
      </c>
      <c r="U138" s="3" t="s">
        <v>1911</v>
      </c>
      <c r="V138" s="14" t="str">
        <f>_xll.PLContribFull(D138*100,"BID",U138,"Slot46","TICKER",3,,"Valid")</f>
        <v>-5.500 (12:14:42.797167)</v>
      </c>
      <c r="W138" s="5" t="str">
        <f>_xll.PLContribFull(K138*100,"ASK",U138,"Slot46","TICKER",3,,"Valid")</f>
        <v>2.500 (12:14:42.747168)</v>
      </c>
      <c r="X138" s="3" t="s">
        <v>1922</v>
      </c>
      <c r="Y138" s="14" t="str">
        <f>_xll.PLContribFull(E138*100,"BID",X138,"Slot46","TICKER",3,,"Valid")</f>
        <v>-1.350 (12:14:42.749167)</v>
      </c>
      <c r="Z138" s="14" t="str">
        <f>_xll.PLContribFull(L138*100,"ASK",X138,"Slot46","TICKER",3,,"Valid")</f>
        <v>1.650 (12:14:42.783166)</v>
      </c>
      <c r="AA138" s="3" t="s">
        <v>1933</v>
      </c>
      <c r="AB138" s="14" t="str">
        <f>_xll.PLContribFull(F138*100,"BID",AA138,"Slot46","TICKER",3,,"Valid")</f>
        <v>-2.450 (12:14:42.796169)</v>
      </c>
      <c r="AC138" s="5" t="str">
        <f>_xll.PLContribFull(M138*100,"ASK",AA138,"Slot46","TICKER",3,,"Valid")</f>
        <v>3.550 (12:14:42.752166)</v>
      </c>
      <c r="AD138" s="16"/>
    </row>
    <row r="139" spans="1:30" s="1" customFormat="1" x14ac:dyDescent="0.2">
      <c r="A139" s="12" t="s">
        <v>6</v>
      </c>
      <c r="B139" s="11">
        <f>'G7 Cross Input'!Q129</f>
        <v>4.7800000000000002E-2</v>
      </c>
      <c r="C139" s="11">
        <f>'G7 Cross Input'!R129</f>
        <v>-1.7100000000000001E-2</v>
      </c>
      <c r="D139" s="11">
        <f>'G7 Cross Input'!S129</f>
        <v>-3.39E-2</v>
      </c>
      <c r="E139" s="11">
        <f>'G7 Cross Input'!T129</f>
        <v>-6.3E-3</v>
      </c>
      <c r="F139" s="11">
        <f>'G7 Cross Input'!U129</f>
        <v>-1.04E-2</v>
      </c>
      <c r="H139" s="10" t="s">
        <v>6</v>
      </c>
      <c r="I139" s="11">
        <f>'G7 Cross Input'!X129</f>
        <v>5.6399999999999999E-2</v>
      </c>
      <c r="J139" s="11">
        <f>'G7 Cross Input'!Y129</f>
        <v>2.9000000000000007E-3</v>
      </c>
      <c r="K139" s="11">
        <f>'G7 Cross Input'!Z129</f>
        <v>6.1000000000000013E-3</v>
      </c>
      <c r="L139" s="11">
        <f>'G7 Cross Input'!AA129</f>
        <v>8.6999999999999994E-3</v>
      </c>
      <c r="M139" s="11">
        <f>'G7 Cross Input'!AB129</f>
        <v>1.9599999999999999E-2</v>
      </c>
      <c r="O139" s="3" t="s">
        <v>1890</v>
      </c>
      <c r="P139" s="14" t="str">
        <f>_xll.PLContribFull(B139*100,"BID",O139,"Slot46","TICKER",3,,"Valid")</f>
        <v>4.780 (12:14:42.782167)</v>
      </c>
      <c r="Q139" s="5" t="str">
        <f>_xll.PLContribFull(I139*100,"ASK",O139,"Slot46","TICKER",3,,"Valid")</f>
        <v>5.640 (12:14:42.792167)</v>
      </c>
      <c r="R139" s="3" t="s">
        <v>1901</v>
      </c>
      <c r="S139" s="14" t="str">
        <f>_xll.PLContribFull(C139*100,"BID",R139,"Slot46","TICKER",3,,"Valid")</f>
        <v>-1.710 (12:14:42.783166)</v>
      </c>
      <c r="T139" s="14" t="str">
        <f>_xll.PLContribFull(J139*100,"ASK",R139,"Slot46","TICKER",3,,"Valid")</f>
        <v>0.290 (12:14:42.785170)</v>
      </c>
      <c r="U139" s="3" t="s">
        <v>1912</v>
      </c>
      <c r="V139" s="14" t="str">
        <f>_xll.PLContribFull(D139*100,"BID",U139,"Slot46","TICKER",3,,"Valid")</f>
        <v>-3.390 (12:14:42.753167)</v>
      </c>
      <c r="W139" s="5" t="str">
        <f>_xll.PLContribFull(K139*100,"ASK",U139,"Slot46","TICKER",3,,"Valid")</f>
        <v>0.610 (12:14:42.798166)</v>
      </c>
      <c r="X139" s="3" t="s">
        <v>1923</v>
      </c>
      <c r="Y139" s="14" t="str">
        <f>_xll.PLContribFull(E139*100,"BID",X139,"Slot46","TICKER",3,,"Valid")</f>
        <v>-0.630 (12:14:42.781168)</v>
      </c>
      <c r="Z139" s="14" t="str">
        <f>_xll.PLContribFull(L139*100,"ASK",X139,"Slot46","TICKER",3,,"Valid")</f>
        <v>0.870 (12:14:42.752166)</v>
      </c>
      <c r="AA139" s="3" t="s">
        <v>1934</v>
      </c>
      <c r="AB139" s="14" t="str">
        <f>_xll.PLContribFull(F139*100,"BID",AA139,"Slot46","TICKER",3,,"Valid")</f>
        <v>-1.040 (12:14:42.783166)</v>
      </c>
      <c r="AC139" s="5" t="str">
        <f>_xll.PLContribFull(M139*100,"ASK",AA139,"Slot46","TICKER",3,,"Valid")</f>
        <v>1.960 (12:14:42.785170)</v>
      </c>
      <c r="AD139" s="16"/>
    </row>
    <row r="140" spans="1:30" s="1" customFormat="1" x14ac:dyDescent="0.2">
      <c r="A140" s="12" t="s">
        <v>7</v>
      </c>
      <c r="B140" s="11">
        <f>'G7 Cross Input'!Q130</f>
        <v>4.9000000000000002E-2</v>
      </c>
      <c r="C140" s="11">
        <f>'G7 Cross Input'!R130</f>
        <v>-1.4999999999999999E-2</v>
      </c>
      <c r="D140" s="11">
        <f>'G7 Cross Input'!S130</f>
        <v>-2.9600000000000001E-2</v>
      </c>
      <c r="E140" s="11">
        <f>'G7 Cross Input'!T130</f>
        <v>-3.8000000000000004E-3</v>
      </c>
      <c r="F140" s="11">
        <f>'G7 Cross Input'!U130</f>
        <v>-5.4000000000000003E-3</v>
      </c>
      <c r="H140" s="10" t="s">
        <v>7</v>
      </c>
      <c r="I140" s="11">
        <f>'G7 Cross Input'!X130</f>
        <v>5.4199999999999998E-2</v>
      </c>
      <c r="J140" s="11">
        <f>'G7 Cross Input'!Y130</f>
        <v>0</v>
      </c>
      <c r="K140" s="11">
        <f>'G7 Cross Input'!Z130</f>
        <v>3.9999999999999931E-4</v>
      </c>
      <c r="L140" s="11">
        <f>'G7 Cross Input'!AA130</f>
        <v>6.1999999999999998E-3</v>
      </c>
      <c r="M140" s="11">
        <f>'G7 Cross Input'!AB130</f>
        <v>1.46E-2</v>
      </c>
      <c r="O140" s="3" t="s">
        <v>1891</v>
      </c>
      <c r="P140" s="14" t="str">
        <f>_xll.PLContribFull(B140*100,"BID",O140,"Slot46","TICKER",3,,"Valid")</f>
        <v>4.900 (12:14:42.798166)</v>
      </c>
      <c r="Q140" s="5" t="str">
        <f>_xll.PLContribFull(I140*100,"ASK",O140,"Slot46","TICKER",3,,"Valid")</f>
        <v>5.420 (12:14:42.799167)</v>
      </c>
      <c r="R140" s="3" t="s">
        <v>1902</v>
      </c>
      <c r="S140" s="14" t="str">
        <f>_xll.PLContribFull(C140*100,"BID",R140,"Slot46","TICKER",3,,"Valid")</f>
        <v>-1.500 (12:14:42.795166)</v>
      </c>
      <c r="T140" s="14" t="str">
        <f>_xll.PLContribFull(J140*100,"ASK",R140,"Slot46","TICKER",3,,"Valid")</f>
        <v>0.000 (12:14:42.742167)</v>
      </c>
      <c r="U140" s="3" t="s">
        <v>1913</v>
      </c>
      <c r="V140" s="14" t="str">
        <f>_xll.PLContribFull(D140*100,"BID",U140,"Slot46","TICKER",3,,"Valid")</f>
        <v>-2.960 (12:14:42.751168)</v>
      </c>
      <c r="W140" s="5" t="str">
        <f>_xll.PLContribFull(K140*100,"ASK",U140,"Slot46","TICKER",3,,"Valid")</f>
        <v>0.040 (12:14:42.782167)</v>
      </c>
      <c r="X140" s="3" t="s">
        <v>1924</v>
      </c>
      <c r="Y140" s="14" t="str">
        <f>_xll.PLContribFull(E140*100,"BID",X140,"Slot46","TICKER",3,,"Valid")</f>
        <v>-0.380 (12:14:42.785170)</v>
      </c>
      <c r="Z140" s="14" t="str">
        <f>_xll.PLContribFull(L140*100,"ASK",X140,"Slot46","TICKER",3,,"Valid")</f>
        <v>0.620 (12:14:42.742167)</v>
      </c>
      <c r="AA140" s="3" t="s">
        <v>1935</v>
      </c>
      <c r="AB140" s="14" t="str">
        <f>_xll.PLContribFull(F140*100,"BID",AA140,"Slot46","TICKER",3,,"Valid")</f>
        <v>-0.540 (12:14:42.797167)</v>
      </c>
      <c r="AC140" s="5" t="str">
        <f>_xll.PLContribFull(M140*100,"ASK",AA140,"Slot46","TICKER",3,,"Valid")</f>
        <v>1.460 (12:14:42.785170)</v>
      </c>
      <c r="AD140" s="16"/>
    </row>
    <row r="141" spans="1:30" s="1" customFormat="1" x14ac:dyDescent="0.2">
      <c r="A141" s="12" t="s">
        <v>8</v>
      </c>
      <c r="B141" s="11">
        <f>'G7 Cross Input'!Q131</f>
        <v>5.6049999999999996E-2</v>
      </c>
      <c r="C141" s="11">
        <f>'G7 Cross Input'!R131</f>
        <v>-1.52E-2</v>
      </c>
      <c r="D141" s="11">
        <f>'G7 Cross Input'!S131</f>
        <v>-3.0100000000000002E-2</v>
      </c>
      <c r="E141" s="11">
        <f>'G7 Cross Input'!T131</f>
        <v>-3.5999999999999999E-3</v>
      </c>
      <c r="F141" s="11">
        <f>'G7 Cross Input'!U131</f>
        <v>-4.8000000000000004E-3</v>
      </c>
      <c r="H141" s="10" t="s">
        <v>8</v>
      </c>
      <c r="I141" s="11">
        <f>'G7 Cross Input'!X131</f>
        <v>5.9349999999999993E-2</v>
      </c>
      <c r="J141" s="11">
        <f>'G7 Cross Input'!Y131</f>
        <v>-2.0000000000000052E-4</v>
      </c>
      <c r="K141" s="11">
        <f>'G7 Cross Input'!Z131</f>
        <v>-1.0000000000000113E-4</v>
      </c>
      <c r="L141" s="11">
        <f>'G7 Cross Input'!AA131</f>
        <v>6.4000000000000003E-3</v>
      </c>
      <c r="M141" s="11">
        <f>'G7 Cross Input'!AB131</f>
        <v>1.52E-2</v>
      </c>
      <c r="O141" s="3" t="s">
        <v>1892</v>
      </c>
      <c r="P141" s="14" t="str">
        <f>_xll.PLContribFull(B141*100,"BID",O141,"Slot46","TICKER",3,,"Valid")</f>
        <v>5.605 (12:14:42.791166)</v>
      </c>
      <c r="Q141" s="5" t="str">
        <f>_xll.PLContribFull(I141*100,"ASK",O141,"Slot46","TICKER",3,,"Valid")</f>
        <v>5.935 (12:14:42.797167)</v>
      </c>
      <c r="R141" s="3" t="s">
        <v>1903</v>
      </c>
      <c r="S141" s="14" t="str">
        <f>_xll.PLContribFull(C141*100,"BID",R141,"Slot46","TICKER",3,,"Valid")</f>
        <v>-1.520 (12:14:42.796169)</v>
      </c>
      <c r="T141" s="14" t="str">
        <f>_xll.PLContribFull(J141*100,"ASK",R141,"Slot46","TICKER",3,,"Valid")</f>
        <v>-0.020 (12:14:42.784167)</v>
      </c>
      <c r="U141" s="3" t="s">
        <v>1914</v>
      </c>
      <c r="V141" s="14" t="str">
        <f>_xll.PLContribFull(D141*100,"BID",U141,"Slot46","TICKER",3,,"Valid")</f>
        <v>-3.010 (12:14:42.780166)</v>
      </c>
      <c r="W141" s="5" t="str">
        <f>_xll.PLContribFull(K141*100,"ASK",U141,"Slot46","TICKER",3,,"Valid")</f>
        <v>-0.010 (12:14:42.743167)</v>
      </c>
      <c r="X141" s="3" t="s">
        <v>1925</v>
      </c>
      <c r="Y141" s="14" t="str">
        <f>_xll.PLContribFull(E141*100,"BID",X141,"Slot46","TICKER",3,,"Valid")</f>
        <v>-0.360 (12:14:42.790167)</v>
      </c>
      <c r="Z141" s="14" t="str">
        <f>_xll.PLContribFull(L141*100,"ASK",X141,"Slot46","TICKER",3,,"Valid")</f>
        <v>0.640 (12:14:42.783166)</v>
      </c>
      <c r="AA141" s="3" t="s">
        <v>1936</v>
      </c>
      <c r="AB141" s="14" t="str">
        <f>_xll.PLContribFull(F141*100,"BID",AA141,"Slot46","TICKER",3,,"Valid")</f>
        <v>-0.480 (12:14:42.781168)</v>
      </c>
      <c r="AC141" s="5" t="str">
        <f>_xll.PLContribFull(M141*100,"ASK",AA141,"Slot46","TICKER",3,,"Valid")</f>
        <v>1.520 (12:14:42.746167)</v>
      </c>
      <c r="AD141" s="16"/>
    </row>
    <row r="142" spans="1:30" s="1" customFormat="1" x14ac:dyDescent="0.2">
      <c r="A142" s="12" t="s">
        <v>9</v>
      </c>
      <c r="B142" s="11">
        <f>'G7 Cross Input'!Q132</f>
        <v>5.8000000000000003E-2</v>
      </c>
      <c r="C142" s="11">
        <f>'G7 Cross Input'!R132</f>
        <v>-1.24E-2</v>
      </c>
      <c r="D142" s="11">
        <f>'G7 Cross Input'!S132</f>
        <v>-2.4500000000000001E-2</v>
      </c>
      <c r="E142" s="11">
        <f>'G7 Cross Input'!T132</f>
        <v>-1E-3</v>
      </c>
      <c r="F142" s="11">
        <f>'G7 Cross Input'!U132</f>
        <v>8.9999999999999976E-4</v>
      </c>
      <c r="H142" s="10" t="s">
        <v>9</v>
      </c>
      <c r="I142" s="11">
        <f>'G7 Cross Input'!X132</f>
        <v>6.0999999999999999E-2</v>
      </c>
      <c r="J142" s="11">
        <f>'G7 Cross Input'!Y132</f>
        <v>-4.3999999999999994E-3</v>
      </c>
      <c r="K142" s="11">
        <f>'G7 Cross Input'!Z132</f>
        <v>-8.5000000000000006E-3</v>
      </c>
      <c r="L142" s="11">
        <f>'G7 Cross Input'!AA132</f>
        <v>4.0000000000000001E-3</v>
      </c>
      <c r="M142" s="11">
        <f>'G7 Cross Input'!AB132</f>
        <v>1.09E-2</v>
      </c>
      <c r="O142" s="3" t="s">
        <v>1893</v>
      </c>
      <c r="P142" s="14" t="str">
        <f>_xll.PLContribFull(B142*100,"BID",O142,"Slot46","TICKER",3,,"Valid")</f>
        <v>5.800 (12:14:42.795166)</v>
      </c>
      <c r="Q142" s="5" t="str">
        <f>_xll.PLContribFull(I142*100,"ASK",O142,"Slot46","TICKER",3,,"Valid")</f>
        <v>6.100 (12:14:42.783166)</v>
      </c>
      <c r="R142" s="3" t="s">
        <v>1904</v>
      </c>
      <c r="S142" s="14" t="str">
        <f>_xll.PLContribFull(C142*100,"BID",R142,"Slot46","TICKER",3,,"Valid")</f>
        <v>-1.240 (12:14:42.793169)</v>
      </c>
      <c r="T142" s="14" t="str">
        <f>_xll.PLContribFull(J142*100,"ASK",R142,"Slot46","TICKER",3,,"Valid")</f>
        <v>-0.440 (12:14:42.755167)</v>
      </c>
      <c r="U142" s="3" t="s">
        <v>1915</v>
      </c>
      <c r="V142" s="14" t="str">
        <f>_xll.PLContribFull(D142*100,"BID",U142,"Slot46","TICKER",3,,"Valid")</f>
        <v>-2.450 (12:14:42.794168)</v>
      </c>
      <c r="W142" s="5" t="str">
        <f>_xll.PLContribFull(K142*100,"ASK",U142,"Slot46","TICKER",3,,"Valid")</f>
        <v>-0.850 (12:14:42.782167)</v>
      </c>
      <c r="X142" s="3" t="s">
        <v>1926</v>
      </c>
      <c r="Y142" s="14" t="str">
        <f>_xll.PLContribFull(E142*100,"BID",X142,"Slot46","TICKER",3,,"Valid")</f>
        <v>-0.100 (12:14:42.792167)</v>
      </c>
      <c r="Z142" s="14" t="str">
        <f>_xll.PLContribFull(L142*100,"ASK",X142,"Slot46","TICKER",3,,"Valid")</f>
        <v>0.400 (12:14:42.754169)</v>
      </c>
      <c r="AA142" s="3" t="s">
        <v>1937</v>
      </c>
      <c r="AB142" s="14" t="str">
        <f>_xll.PLContribFull(F142*100,"BID",AA142,"Slot46","TICKER",3,,"Valid")</f>
        <v>0.090 (12:14:42.742167)</v>
      </c>
      <c r="AC142" s="5" t="str">
        <f>_xll.PLContribFull(M142*100,"ASK",AA142,"Slot46","TICKER",3,,"Valid")</f>
        <v>1.090 (12:14:42.799167)</v>
      </c>
      <c r="AD142" s="16"/>
    </row>
    <row r="143" spans="1:30" s="1" customFormat="1" x14ac:dyDescent="0.2">
      <c r="A143" s="12" t="s">
        <v>10</v>
      </c>
      <c r="B143" s="11">
        <f>'G7 Cross Input'!Q133</f>
        <v>6.0649999999999996E-2</v>
      </c>
      <c r="C143" s="11">
        <f>'G7 Cross Input'!R133</f>
        <v>-1.3000000000000001E-2</v>
      </c>
      <c r="D143" s="11">
        <f>'G7 Cross Input'!S133</f>
        <v>-2.58E-2</v>
      </c>
      <c r="E143" s="11">
        <f>'G7 Cross Input'!T133</f>
        <v>-7.9999999999999993E-4</v>
      </c>
      <c r="F143" s="11">
        <f>'G7 Cross Input'!U133</f>
        <v>1.7000000000000001E-3</v>
      </c>
      <c r="H143" s="10" t="s">
        <v>10</v>
      </c>
      <c r="I143" s="11">
        <f>'G7 Cross Input'!X133</f>
        <v>6.3749999999999987E-2</v>
      </c>
      <c r="J143" s="11">
        <f>'G7 Cross Input'!Y133</f>
        <v>-5.000000000000001E-3</v>
      </c>
      <c r="K143" s="11">
        <f>'G7 Cross Input'!Z133</f>
        <v>-9.7999999999999997E-3</v>
      </c>
      <c r="L143" s="11">
        <f>'G7 Cross Input'!AA133</f>
        <v>4.2000000000000006E-3</v>
      </c>
      <c r="M143" s="11">
        <f>'G7 Cross Input'!AB133</f>
        <v>1.17E-2</v>
      </c>
      <c r="O143" s="3" t="s">
        <v>1894</v>
      </c>
      <c r="P143" s="14" t="str">
        <f>_xll.PLContribFull(B143*100,"BID",O143,"Slot46","TICKER",3,,"Valid")</f>
        <v>6.065 (12:14:42.792167)</v>
      </c>
      <c r="Q143" s="5" t="str">
        <f>_xll.PLContribFull(I143*100,"ASK",O143,"Slot46","TICKER",3,,"Valid")</f>
        <v>6.375 (12:14:42.782167)</v>
      </c>
      <c r="R143" s="3" t="s">
        <v>1905</v>
      </c>
      <c r="S143" s="14" t="str">
        <f>_xll.PLContribFull(C143*100,"BID",R143,"Slot46","TICKER",3,,"Valid")</f>
        <v>-1.300 (12:14:42.789167)</v>
      </c>
      <c r="T143" s="14" t="str">
        <f>_xll.PLContribFull(J143*100,"ASK",R143,"Slot46","TICKER",3,,"Valid")</f>
        <v>-0.500 (12:14:42.786167)</v>
      </c>
      <c r="U143" s="3" t="s">
        <v>1916</v>
      </c>
      <c r="V143" s="14" t="str">
        <f>_xll.PLContribFull(D143*100,"BID",U143,"Slot46","TICKER",3,,"Valid")</f>
        <v>-2.580 (12:14:42.752166)</v>
      </c>
      <c r="W143" s="5" t="str">
        <f>_xll.PLContribFull(K143*100,"ASK",U143,"Slot46","TICKER",3,,"Valid")</f>
        <v>-0.980 (12:14:42.791166)</v>
      </c>
      <c r="X143" s="3" t="s">
        <v>1927</v>
      </c>
      <c r="Y143" s="14" t="str">
        <f>_xll.PLContribFull(E143*100,"BID",X143,"Slot46","TICKER",3,,"Valid")</f>
        <v>-0.080 (12:14:42.744167)</v>
      </c>
      <c r="Z143" s="14" t="str">
        <f>_xll.PLContribFull(L143*100,"ASK",X143,"Slot46","TICKER",3,,"Valid")</f>
        <v>0.420 (12:14:42.785170)</v>
      </c>
      <c r="AA143" s="3" t="s">
        <v>1938</v>
      </c>
      <c r="AB143" s="14" t="str">
        <f>_xll.PLContribFull(F143*100,"BID",AA143,"Slot46","TICKER",3,,"Valid")</f>
        <v>0.170 (12:14:42.788167)</v>
      </c>
      <c r="AC143" s="5" t="str">
        <f>_xll.PLContribFull(M143*100,"ASK",AA143,"Slot46","TICKER",3,,"Valid")</f>
        <v>1.170 (12:14:42.791166)</v>
      </c>
      <c r="AD143" s="16"/>
    </row>
    <row r="144" spans="1:30" s="1" customFormat="1" x14ac:dyDescent="0.2">
      <c r="A144" s="12" t="s">
        <v>11</v>
      </c>
      <c r="B144" s="11">
        <f>'G7 Cross Input'!Q134</f>
        <v>6.5500000000000003E-2</v>
      </c>
      <c r="C144" s="11">
        <f>'G7 Cross Input'!R134</f>
        <v>-1.5100000000000001E-2</v>
      </c>
      <c r="D144" s="11">
        <f>'G7 Cross Input'!S134</f>
        <v>-3.0099999999999998E-2</v>
      </c>
      <c r="E144" s="11">
        <f>'G7 Cross Input'!T134</f>
        <v>-5.0000000000000001E-4</v>
      </c>
      <c r="F144" s="11">
        <f>'G7 Cross Input'!U134</f>
        <v>3.5000000000000005E-3</v>
      </c>
      <c r="H144" s="10" t="s">
        <v>11</v>
      </c>
      <c r="I144" s="11">
        <f>'G7 Cross Input'!X134</f>
        <v>6.93E-2</v>
      </c>
      <c r="J144" s="11">
        <f>'G7 Cross Input'!Y134</f>
        <v>-7.1000000000000004E-3</v>
      </c>
      <c r="K144" s="11">
        <f>'G7 Cross Input'!Z134</f>
        <v>-1.4099999999999998E-2</v>
      </c>
      <c r="L144" s="11">
        <f>'G7 Cross Input'!AA134</f>
        <v>4.5000000000000005E-3</v>
      </c>
      <c r="M144" s="11">
        <f>'G7 Cross Input'!AB134</f>
        <v>1.3500000000000002E-2</v>
      </c>
      <c r="O144" s="3" t="s">
        <v>1895</v>
      </c>
      <c r="P144" s="14" t="str">
        <f>_xll.PLContribFull(B144*100,"BID",O144,"Slot46","TICKER",3,,"Valid")</f>
        <v>6.550 (12:14:42.795166)</v>
      </c>
      <c r="Q144" s="5" t="str">
        <f>_xll.PLContribFull(I144*100,"ASK",O144,"Slot46","TICKER",3,,"Valid")</f>
        <v>6.930 (12:14:42.786167)</v>
      </c>
      <c r="R144" s="3" t="s">
        <v>1906</v>
      </c>
      <c r="S144" s="14" t="str">
        <f>_xll.PLContribFull(C144*100,"BID",R144,"Slot46","TICKER",3,,"Valid")</f>
        <v>-1.510 (12:14:42.755167)</v>
      </c>
      <c r="T144" s="14" t="str">
        <f>_xll.PLContribFull(J144*100,"ASK",R144,"Slot46","TICKER",3,,"Valid")</f>
        <v>-0.710 (12:14:42.793169)</v>
      </c>
      <c r="U144" s="3" t="s">
        <v>1917</v>
      </c>
      <c r="V144" s="14" t="str">
        <f>_xll.PLContribFull(D144*100,"BID",U144,"Slot46","TICKER",3,,"Valid")</f>
        <v>-3.010 (12:14:42.790167)</v>
      </c>
      <c r="W144" s="5" t="str">
        <f>_xll.PLContribFull(K144*100,"ASK",U144,"Slot46","TICKER",3,,"Valid")</f>
        <v>-1.410 (12:14:42.786167)</v>
      </c>
      <c r="X144" s="3" t="s">
        <v>1928</v>
      </c>
      <c r="Y144" s="14" t="str">
        <f>_xll.PLContribFull(E144*100,"BID",X144,"Slot46","TICKER",3,,"Valid")</f>
        <v>-0.050 (12:14:42.780166)</v>
      </c>
      <c r="Z144" s="14" t="str">
        <f>_xll.PLContribFull(L144*100,"ASK",X144,"Slot46","TICKER",3,,"Valid")</f>
        <v>0.450 (12:14:42.743167)</v>
      </c>
      <c r="AA144" s="3" t="s">
        <v>1939</v>
      </c>
      <c r="AB144" s="14" t="str">
        <f>_xll.PLContribFull(F144*100,"BID",AA144,"Slot46","TICKER",3,,"Valid")</f>
        <v>0.350 (12:14:42.794168)</v>
      </c>
      <c r="AC144" s="5" t="str">
        <f>_xll.PLContribFull(M144*100,"ASK",AA144,"Slot46","TICKER",3,,"Valid")</f>
        <v>1.350 (12:14:42.796169)</v>
      </c>
      <c r="AD144" s="16"/>
    </row>
    <row r="145" spans="1:30" s="1" customFormat="1" x14ac:dyDescent="0.2">
      <c r="A145" s="12" t="s">
        <v>12</v>
      </c>
      <c r="B145" s="11">
        <f>'G7 Cross Input'!Q135</f>
        <v>7.0000000000000007E-2</v>
      </c>
      <c r="C145" s="11">
        <f>'G7 Cross Input'!R135</f>
        <v>-1.6199999999999999E-2</v>
      </c>
      <c r="D145" s="11">
        <f>'G7 Cross Input'!S135</f>
        <v>-3.2600000000000004E-2</v>
      </c>
      <c r="E145" s="11">
        <f>'G7 Cross Input'!T135</f>
        <v>-2.9999999999999992E-4</v>
      </c>
      <c r="F145" s="11">
        <f>'G7 Cross Input'!U135</f>
        <v>4.7999999999999996E-3</v>
      </c>
      <c r="H145" s="10" t="s">
        <v>12</v>
      </c>
      <c r="I145" s="11">
        <f>'G7 Cross Input'!X135</f>
        <v>7.3599999999999999E-2</v>
      </c>
      <c r="J145" s="11">
        <f>'G7 Cross Input'!Y135</f>
        <v>-8.199999999999999E-3</v>
      </c>
      <c r="K145" s="11">
        <f>'G7 Cross Input'!Z135</f>
        <v>-1.66E-2</v>
      </c>
      <c r="L145" s="11">
        <f>'G7 Cross Input'!AA135</f>
        <v>4.7000000000000002E-3</v>
      </c>
      <c r="M145" s="11">
        <f>'G7 Cross Input'!AB135</f>
        <v>1.4800000000000001E-2</v>
      </c>
      <c r="O145" s="3" t="s">
        <v>1896</v>
      </c>
      <c r="P145" s="14" t="str">
        <f>_xll.PLContribFull(B145*100,"BID",O145,"Slot46","TICKER",3,,"Valid")</f>
        <v>7.000 (12:14:42.781168)</v>
      </c>
      <c r="Q145" s="5" t="str">
        <f>_xll.PLContribFull(I145*100,"ASK",O145,"Slot46","TICKER",3,,"Valid")</f>
        <v>7.360 (12:14:42.789167)</v>
      </c>
      <c r="R145" s="3" t="s">
        <v>1907</v>
      </c>
      <c r="S145" s="14" t="str">
        <f>_xll.PLContribFull(C145*100,"BID",R145,"Slot46","TICKER",3,,"Valid")</f>
        <v>-1.620 (12:14:42.748167)</v>
      </c>
      <c r="T145" s="14" t="str">
        <f>_xll.PLContribFull(J145*100,"ASK",R145,"Slot46","TICKER",3,,"Valid")</f>
        <v>-0.820 (12:14:42.795166)</v>
      </c>
      <c r="U145" s="3" t="s">
        <v>1918</v>
      </c>
      <c r="V145" s="14" t="str">
        <f>_xll.PLContribFull(D145*100,"BID",U145,"Slot46","TICKER",3,,"Valid")</f>
        <v>-3.260 (12:14:42.789167)</v>
      </c>
      <c r="W145" s="5" t="str">
        <f>_xll.PLContribFull(K145*100,"ASK",U145,"Slot46","TICKER",3,,"Valid")</f>
        <v>-1.660 (12:14:42.750168)</v>
      </c>
      <c r="X145" s="3" t="s">
        <v>1929</v>
      </c>
      <c r="Y145" s="14" t="str">
        <f>_xll.PLContribFull(E145*100,"BID",X145,"Slot46","TICKER",3,,"Valid")</f>
        <v>-0.030 (12:14:42.792167)</v>
      </c>
      <c r="Z145" s="14" t="str">
        <f>_xll.PLContribFull(L145*100,"ASK",X145,"Slot46","TICKER",3,,"Valid")</f>
        <v>0.470 (12:14:42.798166)</v>
      </c>
      <c r="AA145" s="3" t="s">
        <v>1940</v>
      </c>
      <c r="AB145" s="14" t="str">
        <f>_xll.PLContribFull(F145*100,"BID",AA145,"Slot46","TICKER",3,,"Valid")</f>
        <v>0.480 (12:14:42.796169)</v>
      </c>
      <c r="AC145" s="5" t="str">
        <f>_xll.PLContribFull(M145*100,"ASK",AA145,"Slot46","TICKER",3,,"Valid")</f>
        <v>1.480 (12:14:42.787167)</v>
      </c>
      <c r="AD145" s="16"/>
    </row>
    <row r="146" spans="1:30" s="1" customFormat="1" x14ac:dyDescent="0.2">
      <c r="A146" s="12" t="s">
        <v>13</v>
      </c>
      <c r="B146" s="11">
        <f>'G7 Cross Input'!Q136</f>
        <v>7.3599999999999999E-2</v>
      </c>
      <c r="C146" s="11">
        <f>'G7 Cross Input'!R136</f>
        <v>-1.7500000000000002E-2</v>
      </c>
      <c r="D146" s="11">
        <f>'G7 Cross Input'!S136</f>
        <v>-3.5400000000000001E-2</v>
      </c>
      <c r="E146" s="11">
        <f>'G7 Cross Input'!T136</f>
        <v>-1.0000000000000026E-4</v>
      </c>
      <c r="F146" s="11">
        <f>'G7 Cross Input'!U136</f>
        <v>6.1000000000000004E-3</v>
      </c>
      <c r="H146" s="10" t="s">
        <v>13</v>
      </c>
      <c r="I146" s="11">
        <f>'G7 Cross Input'!X136</f>
        <v>7.7199999999999991E-2</v>
      </c>
      <c r="J146" s="11">
        <f>'G7 Cross Input'!Y136</f>
        <v>-9.5000000000000015E-3</v>
      </c>
      <c r="K146" s="11">
        <f>'G7 Cross Input'!Z136</f>
        <v>-1.9400000000000001E-2</v>
      </c>
      <c r="L146" s="11">
        <f>'G7 Cross Input'!AA136</f>
        <v>4.8999999999999998E-3</v>
      </c>
      <c r="M146" s="11">
        <f>'G7 Cross Input'!AB136</f>
        <v>1.61E-2</v>
      </c>
      <c r="O146" s="3" t="s">
        <v>1897</v>
      </c>
      <c r="P146" s="14" t="str">
        <f>_xll.PLContribFull(B146*100,"BID",O146,"Slot46","TICKER",3,,"Valid")</f>
        <v>7.360 (12:14:42.786167)</v>
      </c>
      <c r="Q146" s="5" t="str">
        <f>_xll.PLContribFull(I146*100,"ASK",O146,"Slot46","TICKER",3,,"Valid")</f>
        <v>7.720 (12:14:42.785170)</v>
      </c>
      <c r="R146" s="3" t="s">
        <v>1908</v>
      </c>
      <c r="S146" s="14" t="str">
        <f>_xll.PLContribFull(C146*100,"BID",R146,"Slot46","TICKER",3,,"Valid")</f>
        <v>-1.750 (12:14:42.741170)</v>
      </c>
      <c r="T146" s="14" t="str">
        <f>_xll.PLContribFull(J146*100,"ASK",R146,"Slot46","TICKER",3,,"Valid")</f>
        <v>-0.950 (12:14:42.793169)</v>
      </c>
      <c r="U146" s="3" t="s">
        <v>1919</v>
      </c>
      <c r="V146" s="14" t="str">
        <f>_xll.PLContribFull(D146*100,"BID",U146,"Slot46","TICKER",3,,"Valid")</f>
        <v>-3.540 (12:14:42.783166)</v>
      </c>
      <c r="W146" s="5" t="str">
        <f>_xll.PLContribFull(K146*100,"ASK",U146,"Slot46","TICKER",3,,"Valid")</f>
        <v>-1.940 (12:14:42.748167)</v>
      </c>
      <c r="X146" s="3" t="s">
        <v>1930</v>
      </c>
      <c r="Y146" s="14" t="str">
        <f>_xll.PLContribFull(E146*100,"BID",X146,"Slot46","TICKER",3,,"Valid")</f>
        <v>-0.010 (12:14:42.754169)</v>
      </c>
      <c r="Z146" s="14" t="str">
        <f>_xll.PLContribFull(L146*100,"ASK",X146,"Slot46","TICKER",3,,"Valid")</f>
        <v>0.490 (12:14:42.799167)</v>
      </c>
      <c r="AA146" s="3" t="s">
        <v>1941</v>
      </c>
      <c r="AB146" s="14" t="str">
        <f>_xll.PLContribFull(F146*100,"BID",AA146,"Slot46","TICKER",3,,"Valid")</f>
        <v>0.610 (12:14:42.748167)</v>
      </c>
      <c r="AC146" s="5" t="str">
        <f>_xll.PLContribFull(M146*100,"ASK",AA146,"Slot46","TICKER",3,,"Valid")</f>
        <v>1.610 (12:14:42.783166)</v>
      </c>
      <c r="AD146" s="16"/>
    </row>
    <row r="147" spans="1:30" s="1" customFormat="1" x14ac:dyDescent="0.2">
      <c r="A147" s="12" t="s">
        <v>14</v>
      </c>
      <c r="B147" s="11">
        <f>'G7 Cross Input'!Q137</f>
        <v>7.9500000000000001E-2</v>
      </c>
      <c r="C147" s="11">
        <f>'G7 Cross Input'!R137</f>
        <v>-2.0400000000000001E-2</v>
      </c>
      <c r="D147" s="11">
        <f>'G7 Cross Input'!S137</f>
        <v>-3.9699999999999999E-2</v>
      </c>
      <c r="E147" s="11">
        <f>'G7 Cross Input'!T137</f>
        <v>-9.0000000000000019E-4</v>
      </c>
      <c r="F147" s="11">
        <f>'G7 Cross Input'!U137</f>
        <v>5.4000000000000003E-3</v>
      </c>
      <c r="H147" s="10" t="s">
        <v>14</v>
      </c>
      <c r="I147" s="11">
        <f>'G7 Cross Input'!X137</f>
        <v>8.3299999999999999E-2</v>
      </c>
      <c r="J147" s="11">
        <f>'G7 Cross Input'!Y137</f>
        <v>-8.3999999999999995E-3</v>
      </c>
      <c r="K147" s="11">
        <f>'G7 Cross Input'!Z137</f>
        <v>-1.5699999999999999E-2</v>
      </c>
      <c r="L147" s="11">
        <f>'G7 Cross Input'!AA137</f>
        <v>7.1000000000000004E-3</v>
      </c>
      <c r="M147" s="11">
        <f>'G7 Cross Input'!AB137</f>
        <v>2.1400000000000002E-2</v>
      </c>
      <c r="O147" s="3" t="s">
        <v>1898</v>
      </c>
      <c r="P147" s="14" t="str">
        <f>_xll.PLContribFull(B147*100,"BID",O147,"Slot46","TICKER",3,,"Valid")</f>
        <v>7.950 (12:14:42.791166)</v>
      </c>
      <c r="Q147" s="5" t="str">
        <f>_xll.PLContribFull(I147*100,"ASK",O147,"Slot46","TICKER",3,,"Valid")</f>
        <v>8.330 (12:14:42.781168)</v>
      </c>
      <c r="R147" s="3" t="s">
        <v>1909</v>
      </c>
      <c r="S147" s="14" t="str">
        <f>_xll.PLContribFull(C147*100,"BID",R147,"Slot46","TICKER",3,,"Valid")</f>
        <v>-2.040 (12:14:42.752166)</v>
      </c>
      <c r="T147" s="14" t="str">
        <f>_xll.PLContribFull(J147*100,"ASK",R147,"Slot46","TICKER",3,,"Valid")</f>
        <v>-0.840 (12:14:42.785170)</v>
      </c>
      <c r="U147" s="3" t="s">
        <v>1920</v>
      </c>
      <c r="V147" s="14" t="str">
        <f>_xll.PLContribFull(D147*100,"BID",U147,"Slot46","TICKER",3,,"Valid")</f>
        <v>-3.970 (12:14:42.754169)</v>
      </c>
      <c r="W147" s="5" t="str">
        <f>_xll.PLContribFull(K147*100,"ASK",U147,"Slot46","TICKER",3,,"Valid")</f>
        <v>-1.570 (12:14:42.781168)</v>
      </c>
      <c r="X147" s="3" t="s">
        <v>1931</v>
      </c>
      <c r="Y147" s="14" t="str">
        <f>_xll.PLContribFull(E147*100,"BID",X147,"Slot46","TICKER",3,,"Valid")</f>
        <v>-0.090 (12:14:42.751168)</v>
      </c>
      <c r="Z147" s="14" t="str">
        <f>_xll.PLContribFull(L147*100,"ASK",X147,"Slot46","TICKER",3,,"Valid")</f>
        <v>0.710 (12:14:42.791166)</v>
      </c>
      <c r="AA147" s="3" t="s">
        <v>1942</v>
      </c>
      <c r="AB147" s="14" t="str">
        <f>_xll.PLContribFull(F147*100,"BID",AA147,"Slot46","TICKER",3,,"Valid")</f>
        <v>0.540 (12:14:42.798166)</v>
      </c>
      <c r="AC147" s="5" t="str">
        <f>_xll.PLContribFull(M147*100,"ASK",AA147,"Slot46","TICKER",3,,"Valid")</f>
        <v>2.140 (12:14:42.788167)</v>
      </c>
      <c r="AD147" s="16"/>
    </row>
    <row r="148" spans="1:30" x14ac:dyDescent="0.2">
      <c r="A148" s="12" t="s">
        <v>876</v>
      </c>
      <c r="B148" s="11">
        <f>'G7 Cross Input'!Q138</f>
        <v>8.0599999999999991E-2</v>
      </c>
      <c r="C148" s="11">
        <f>'G7 Cross Input'!R138</f>
        <v>-2.0900000000000002E-2</v>
      </c>
      <c r="D148" s="11">
        <f>'G7 Cross Input'!S138</f>
        <v>-4.0300000000000002E-2</v>
      </c>
      <c r="E148" s="11">
        <f>'G7 Cross Input'!T138</f>
        <v>-7.9999999999999993E-4</v>
      </c>
      <c r="F148" s="11">
        <f>'G7 Cross Input'!U138</f>
        <v>6.3E-3</v>
      </c>
      <c r="G148" s="1"/>
      <c r="H148" s="10" t="s">
        <v>876</v>
      </c>
      <c r="I148" s="11">
        <f>'G7 Cross Input'!X138</f>
        <v>8.7599999999999997E-2</v>
      </c>
      <c r="J148" s="11">
        <f>'G7 Cross Input'!Y138</f>
        <v>-8.8999999999999999E-3</v>
      </c>
      <c r="K148" s="11">
        <f>'G7 Cross Input'!Z138</f>
        <v>-1.6300000000000002E-2</v>
      </c>
      <c r="L148" s="11">
        <f>'G7 Cross Input'!AA138</f>
        <v>7.1999999999999998E-3</v>
      </c>
      <c r="M148" s="11">
        <f>'G7 Cross Input'!AB138</f>
        <v>2.23E-2</v>
      </c>
      <c r="N148" s="1"/>
      <c r="O148" s="3" t="s">
        <v>1899</v>
      </c>
      <c r="P148" s="14" t="str">
        <f>_xll.PLContribFull(B148*100,"BID",O148,"Slot46","TICKER",3,,"Valid")</f>
        <v>8.060 (12:14:42.785170)</v>
      </c>
      <c r="Q148" s="5" t="str">
        <f>_xll.PLContribFull(I148*100,"ASK",O148,"Slot46","TICKER",3,,"Valid")</f>
        <v>8.760 (12:14:42.791166)</v>
      </c>
      <c r="R148" s="3" t="s">
        <v>1910</v>
      </c>
      <c r="S148" s="14" t="str">
        <f>_xll.PLContribFull(C148*100,"BID",R148,"Slot46","TICKER",3,,"Valid")</f>
        <v>-2.090 (12:14:42.782167)</v>
      </c>
      <c r="T148" s="14" t="str">
        <f>_xll.PLContribFull(J148*100,"ASK",R148,"Slot46","TICKER",3,,"Valid")</f>
        <v>-0.890 (12:14:42.744167)</v>
      </c>
      <c r="U148" s="3" t="s">
        <v>1921</v>
      </c>
      <c r="V148" s="14" t="str">
        <f>_xll.PLContribFull(D148*100,"BID",U148,"Slot46","TICKER",3,,"Valid")</f>
        <v>-4.030 (12:14:42.747168)</v>
      </c>
      <c r="W148" s="5" t="str">
        <f>_xll.PLContribFull(K148*100,"ASK",U148,"Slot46","TICKER",3,,"Valid")</f>
        <v>-1.630 (12:14:42.784167)</v>
      </c>
      <c r="X148" s="3" t="s">
        <v>1932</v>
      </c>
      <c r="Y148" s="14" t="str">
        <f>_xll.PLContribFull(E148*100,"BID",X148,"Slot46","TICKER",3,,"Valid")</f>
        <v>-0.080 (12:14:42.754169)</v>
      </c>
      <c r="Z148" s="14" t="str">
        <f>_xll.PLContribFull(L148*100,"ASK",X148,"Slot46","TICKER",3,,"Valid")</f>
        <v>0.720 (12:14:42.799167)</v>
      </c>
      <c r="AA148" s="3" t="s">
        <v>1943</v>
      </c>
      <c r="AB148" s="14" t="str">
        <f>_xll.PLContribFull(F148*100,"BID",AA148,"Slot46","TICKER",3,,"Valid")</f>
        <v>0.630 (12:14:42.799167)</v>
      </c>
      <c r="AC148" s="5" t="str">
        <f>_xll.PLContribFull(M148*100,"ASK",AA148,"Slot46","TICKER",3,,"Valid")</f>
        <v>2.230 (12:14:42.798166)</v>
      </c>
    </row>
    <row r="150" spans="1:30" s="1" customFormat="1" x14ac:dyDescent="0.2">
      <c r="A150" s="10"/>
      <c r="B150" s="10"/>
      <c r="C150" s="10"/>
      <c r="D150" s="10"/>
      <c r="E150" s="10"/>
      <c r="F150" s="10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8"/>
      <c r="AC150" s="18"/>
      <c r="AD150"/>
    </row>
    <row r="151" spans="1:30" s="1" customFormat="1" x14ac:dyDescent="0.25">
      <c r="A151" s="10" t="s">
        <v>360</v>
      </c>
      <c r="B151" s="10"/>
      <c r="C151" s="10"/>
      <c r="D151" s="10"/>
      <c r="E151" s="10"/>
      <c r="F151" s="10"/>
      <c r="O151" s="3" t="s">
        <v>67</v>
      </c>
      <c r="P151" s="15" t="s">
        <v>68</v>
      </c>
      <c r="Q151" s="15"/>
      <c r="R151" s="3" t="s">
        <v>67</v>
      </c>
      <c r="S151" s="15" t="s">
        <v>68</v>
      </c>
      <c r="T151" s="15"/>
      <c r="U151" s="3" t="s">
        <v>67</v>
      </c>
      <c r="V151" s="15" t="s">
        <v>68</v>
      </c>
      <c r="W151" s="15"/>
      <c r="X151" s="3" t="s">
        <v>67</v>
      </c>
      <c r="Y151" s="15" t="s">
        <v>68</v>
      </c>
      <c r="Z151" s="6"/>
      <c r="AA151" s="3" t="s">
        <v>67</v>
      </c>
      <c r="AB151" s="15" t="s">
        <v>68</v>
      </c>
      <c r="AC151" s="6"/>
      <c r="AD151"/>
    </row>
    <row r="152" spans="1:30" s="1" customFormat="1" ht="14.25" x14ac:dyDescent="0.25">
      <c r="A152" s="12" t="s">
        <v>331</v>
      </c>
      <c r="B152" s="12" t="s">
        <v>0</v>
      </c>
      <c r="C152" s="12" t="s">
        <v>1</v>
      </c>
      <c r="D152" s="12" t="s">
        <v>2</v>
      </c>
      <c r="E152" s="12" t="s">
        <v>3</v>
      </c>
      <c r="F152" s="12" t="s">
        <v>4</v>
      </c>
      <c r="H152" s="10" t="s">
        <v>16</v>
      </c>
      <c r="I152" s="10" t="s">
        <v>0</v>
      </c>
      <c r="J152" s="10" t="s">
        <v>1</v>
      </c>
      <c r="K152" s="10" t="s">
        <v>2</v>
      </c>
      <c r="L152" s="10" t="s">
        <v>3</v>
      </c>
      <c r="M152" s="10" t="s">
        <v>4</v>
      </c>
      <c r="O152" s="3" t="s">
        <v>66</v>
      </c>
      <c r="P152" s="13" t="s">
        <v>15</v>
      </c>
      <c r="Q152" s="13" t="s">
        <v>16</v>
      </c>
      <c r="R152" s="3" t="s">
        <v>1</v>
      </c>
      <c r="S152" s="13" t="s">
        <v>15</v>
      </c>
      <c r="T152" s="13" t="s">
        <v>16</v>
      </c>
      <c r="U152" s="3" t="s">
        <v>2</v>
      </c>
      <c r="V152" s="13" t="s">
        <v>15</v>
      </c>
      <c r="W152" s="13" t="s">
        <v>16</v>
      </c>
      <c r="X152" s="3" t="s">
        <v>3</v>
      </c>
      <c r="Y152" s="13" t="s">
        <v>15</v>
      </c>
      <c r="Z152" s="4" t="s">
        <v>16</v>
      </c>
      <c r="AA152" s="3" t="s">
        <v>4</v>
      </c>
      <c r="AB152" s="13" t="s">
        <v>15</v>
      </c>
      <c r="AC152" s="4" t="s">
        <v>16</v>
      </c>
      <c r="AD152" s="2"/>
    </row>
    <row r="153" spans="1:30" s="1" customFormat="1" x14ac:dyDescent="0.2">
      <c r="A153" s="12" t="s">
        <v>5</v>
      </c>
      <c r="B153" s="11">
        <f>'G7 Cross Input'!Q142</f>
        <v>7.329999999999999E-2</v>
      </c>
      <c r="C153" s="11">
        <f>'G7 Cross Input'!R142</f>
        <v>-5.6900000000000006E-2</v>
      </c>
      <c r="D153" s="11">
        <f>'G7 Cross Input'!S142</f>
        <v>-0.11299999999999999</v>
      </c>
      <c r="E153" s="11">
        <f>'G7 Cross Input'!T142</f>
        <v>-1.0200000000000001E-2</v>
      </c>
      <c r="F153" s="11">
        <f>'G7 Cross Input'!U142</f>
        <v>-1.09E-2</v>
      </c>
      <c r="H153" s="10" t="s">
        <v>5</v>
      </c>
      <c r="I153" s="11">
        <f>'G7 Cross Input'!X142</f>
        <v>0.2177</v>
      </c>
      <c r="J153" s="11">
        <f>'G7 Cross Input'!Y142</f>
        <v>-1.6900000000000002E-2</v>
      </c>
      <c r="K153" s="11">
        <f>'G7 Cross Input'!Z142</f>
        <v>-3.2999999999999995E-2</v>
      </c>
      <c r="L153" s="11">
        <f>'G7 Cross Input'!AA142</f>
        <v>1.9799999999999998E-2</v>
      </c>
      <c r="M153" s="11">
        <f>'G7 Cross Input'!AB142</f>
        <v>4.9099999999999998E-2</v>
      </c>
      <c r="O153" s="3" t="s">
        <v>826</v>
      </c>
      <c r="P153" s="14" t="str">
        <f>_xll.PLContribFull(B153*100,"BID",O153,"Slot46","TICKER",3,,"Valid")</f>
        <v>7.330 (12:14:42.782167)</v>
      </c>
      <c r="Q153" s="5" t="str">
        <f>_xll.PLContribFull(I153*100,"ASK",O153,"Slot46","TICKER",3,,"Valid")</f>
        <v>21.770 (12:14:42.795166)</v>
      </c>
      <c r="R153" s="3" t="s">
        <v>836</v>
      </c>
      <c r="S153" s="14" t="str">
        <f>_xll.PLContribFull(C153*100,"BID",R153,"Slot46","TICKER",3,,"Valid")</f>
        <v>-5.690 (12:14:42.783166)</v>
      </c>
      <c r="T153" s="14" t="str">
        <f>_xll.PLContribFull(J153*100,"ASK",R153,"Slot46","TICKER",3,,"Valid")</f>
        <v>-1.690 (12:14:42.792167)</v>
      </c>
      <c r="U153" s="3" t="s">
        <v>846</v>
      </c>
      <c r="V153" s="14" t="str">
        <f>_xll.PLContribFull(D153*100,"BID",U153,"Slot46","TICKER",3,,"Valid")</f>
        <v>-11.300 (12:14:42.784167)</v>
      </c>
      <c r="W153" s="5" t="str">
        <f>_xll.PLContribFull(K153*100,"ASK",U153,"Slot46","TICKER",3,,"Valid")</f>
        <v>-3.300 (12:14:42.787167)</v>
      </c>
      <c r="X153" s="3" t="s">
        <v>856</v>
      </c>
      <c r="Y153" s="14" t="str">
        <f>_xll.PLContribFull(E153*100,"BID",X153,"Slot46","TICKER",3,,"Valid")</f>
        <v>-1.020 (12:14:42.746167)</v>
      </c>
      <c r="Z153" s="14" t="str">
        <f>_xll.PLContribFull(L153*100,"ASK",X153,"Slot46","TICKER",3,,"Valid")</f>
        <v>1.980 (12:14:42.780166)</v>
      </c>
      <c r="AA153" s="3" t="s">
        <v>866</v>
      </c>
      <c r="AB153" s="14" t="str">
        <f>_xll.PLContribFull(F153*100,"BID",AA153,"Slot46","TICKER",3,,"Valid")</f>
        <v>-1.090 (12:14:42.756167)</v>
      </c>
      <c r="AC153" s="5" t="str">
        <f>_xll.PLContribFull(M153*100,"ASK",AA153,"Slot46","TICKER",3,,"Valid")</f>
        <v>4.910 (12:14:42.781168)</v>
      </c>
      <c r="AD153" s="16"/>
    </row>
    <row r="154" spans="1:30" s="1" customFormat="1" x14ac:dyDescent="0.2">
      <c r="A154" s="12" t="s">
        <v>6</v>
      </c>
      <c r="B154" s="11">
        <f>'G7 Cross Input'!Q143</f>
        <v>8.6349999999999996E-2</v>
      </c>
      <c r="C154" s="11">
        <f>'G7 Cross Input'!R143</f>
        <v>-3.6900000000000002E-2</v>
      </c>
      <c r="D154" s="11">
        <f>'G7 Cross Input'!S143</f>
        <v>-7.3300000000000004E-2</v>
      </c>
      <c r="E154" s="11">
        <f>'G7 Cross Input'!T143</f>
        <v>-4.0999999999999995E-3</v>
      </c>
      <c r="F154" s="11">
        <f>'G7 Cross Input'!U143</f>
        <v>-1.1000000000000003E-3</v>
      </c>
      <c r="H154" s="10" t="s">
        <v>6</v>
      </c>
      <c r="I154" s="11">
        <f>'G7 Cross Input'!X143</f>
        <v>0.12584999999999999</v>
      </c>
      <c r="J154" s="11">
        <f>'G7 Cross Input'!Y143</f>
        <v>-1.6899999999999998E-2</v>
      </c>
      <c r="K154" s="11">
        <f>'G7 Cross Input'!Z143</f>
        <v>-3.3299999999999996E-2</v>
      </c>
      <c r="L154" s="11">
        <f>'G7 Cross Input'!AA143</f>
        <v>1.09E-2</v>
      </c>
      <c r="M154" s="11">
        <f>'G7 Cross Input'!AB143</f>
        <v>2.8899999999999999E-2</v>
      </c>
      <c r="O154" s="3" t="s">
        <v>827</v>
      </c>
      <c r="P154" s="14" t="str">
        <f>_xll.PLContribFull(B154*100,"BID",O154,"Slot46","TICKER",3,,"Valid")</f>
        <v>8.635 (12:14:42.790167)</v>
      </c>
      <c r="Q154" s="5" t="str">
        <f>_xll.PLContribFull(I154*100,"ASK",O154,"Slot46","TICKER",3,,"Valid")</f>
        <v>12.585 (12:14:42.797167)</v>
      </c>
      <c r="R154" s="3" t="s">
        <v>837</v>
      </c>
      <c r="S154" s="14" t="str">
        <f>_xll.PLContribFull(C154*100,"BID",R154,"Slot46","TICKER",3,,"Valid")</f>
        <v>-3.690 (12:14:42.786167)</v>
      </c>
      <c r="T154" s="14" t="str">
        <f>_xll.PLContribFull(J154*100,"ASK",R154,"Slot46","TICKER",3,,"Valid")</f>
        <v>-1.690 (12:14:42.794168)</v>
      </c>
      <c r="U154" s="3" t="s">
        <v>847</v>
      </c>
      <c r="V154" s="14" t="str">
        <f>_xll.PLContribFull(D154*100,"BID",U154,"Slot46","TICKER",3,,"Valid")</f>
        <v>-7.330 (12:14:42.753167)</v>
      </c>
      <c r="W154" s="5" t="str">
        <f>_xll.PLContribFull(K154*100,"ASK",U154,"Slot46","TICKER",3,,"Valid")</f>
        <v>-3.330 (12:14:42.791166)</v>
      </c>
      <c r="X154" s="3" t="s">
        <v>857</v>
      </c>
      <c r="Y154" s="14" t="str">
        <f>_xll.PLContribFull(E154*100,"BID",X154,"Slot46","TICKER",3,,"Valid")</f>
        <v>-0.410 (12:14:42.787167)</v>
      </c>
      <c r="Z154" s="14" t="str">
        <f>_xll.PLContribFull(L154*100,"ASK",X154,"Slot46","TICKER",3,,"Valid")</f>
        <v>1.090 (12:14:42.798166)</v>
      </c>
      <c r="AA154" s="3" t="s">
        <v>867</v>
      </c>
      <c r="AB154" s="14" t="str">
        <f>_xll.PLContribFull(F154*100,"BID",AA154,"Slot46","TICKER",3,,"Valid")</f>
        <v>-0.110 (12:14:42.797167)</v>
      </c>
      <c r="AC154" s="5" t="str">
        <f>_xll.PLContribFull(M154*100,"ASK",AA154,"Slot46","TICKER",3,,"Valid")</f>
        <v>2.890 (12:14:42.785170)</v>
      </c>
      <c r="AD154" s="16"/>
    </row>
    <row r="155" spans="1:30" s="1" customFormat="1" x14ac:dyDescent="0.2">
      <c r="A155" s="12" t="s">
        <v>7</v>
      </c>
      <c r="B155" s="11">
        <f>'G7 Cross Input'!Q144</f>
        <v>9.6750000000000003E-2</v>
      </c>
      <c r="C155" s="11">
        <f>'G7 Cross Input'!R144</f>
        <v>-3.4500000000000003E-2</v>
      </c>
      <c r="D155" s="11">
        <f>'G7 Cross Input'!S144</f>
        <v>-6.6900000000000001E-2</v>
      </c>
      <c r="E155" s="11">
        <f>'G7 Cross Input'!T144</f>
        <v>-1.7000000000000001E-3</v>
      </c>
      <c r="F155" s="11">
        <f>'G7 Cross Input'!U144</f>
        <v>3.4000000000000002E-3</v>
      </c>
      <c r="H155" s="10" t="s">
        <v>7</v>
      </c>
      <c r="I155" s="11">
        <f>'G7 Cross Input'!X144</f>
        <v>0.11865000000000001</v>
      </c>
      <c r="J155" s="11">
        <f>'G7 Cross Input'!Y144</f>
        <v>-1.9500000000000003E-2</v>
      </c>
      <c r="K155" s="11">
        <f>'G7 Cross Input'!Z144</f>
        <v>-3.6900000000000002E-2</v>
      </c>
      <c r="L155" s="11">
        <f>'G7 Cross Input'!AA144</f>
        <v>8.3000000000000001E-3</v>
      </c>
      <c r="M155" s="11">
        <f>'G7 Cross Input'!AB144</f>
        <v>2.3400000000000001E-2</v>
      </c>
      <c r="O155" s="3" t="s">
        <v>828</v>
      </c>
      <c r="P155" s="14" t="str">
        <f>_xll.PLContribFull(B155*100,"BID",O155,"Slot46","TICKER",3,,"Valid")</f>
        <v>9.675 (12:14:42.781168)</v>
      </c>
      <c r="Q155" s="5" t="str">
        <f>_xll.PLContribFull(I155*100,"ASK",O155,"Slot46","TICKER",3,,"Valid")</f>
        <v>11.865 (12:14:42.786167)</v>
      </c>
      <c r="R155" s="3" t="s">
        <v>838</v>
      </c>
      <c r="S155" s="14" t="str">
        <f>_xll.PLContribFull(C155*100,"BID",R155,"Slot46","TICKER",3,,"Valid")</f>
        <v>-3.450 (12:14:42.783166)</v>
      </c>
      <c r="T155" s="14" t="str">
        <f>_xll.PLContribFull(J155*100,"ASK",R155,"Slot46","TICKER",3,,"Valid")</f>
        <v>-1.950 (12:14:42.789167)</v>
      </c>
      <c r="U155" s="3" t="s">
        <v>848</v>
      </c>
      <c r="V155" s="14" t="str">
        <f>_xll.PLContribFull(D155*100,"BID",U155,"Slot46","TICKER",3,,"Valid")</f>
        <v>-6.690 (12:14:42.796169)</v>
      </c>
      <c r="W155" s="5" t="str">
        <f>_xll.PLContribFull(K155*100,"ASK",U155,"Slot46","TICKER",3,,"Valid")</f>
        <v>-3.690 (12:14:42.790167)</v>
      </c>
      <c r="X155" s="3" t="s">
        <v>858</v>
      </c>
      <c r="Y155" s="14" t="str">
        <f>_xll.PLContribFull(E155*100,"BID",X155,"Slot46","TICKER",3,,"Valid")</f>
        <v>-0.170 (12:14:42.756167)</v>
      </c>
      <c r="Z155" s="14" t="str">
        <f>_xll.PLContribFull(L155*100,"ASK",X155,"Slot46","TICKER",3,,"Valid")</f>
        <v>0.830 (12:14:42.782167)</v>
      </c>
      <c r="AA155" s="3" t="s">
        <v>868</v>
      </c>
      <c r="AB155" s="14" t="str">
        <f>_xll.PLContribFull(F155*100,"BID",AA155,"Slot46","TICKER",3,,"Valid")</f>
        <v>0.340 (12:14:42.781168)</v>
      </c>
      <c r="AC155" s="5" t="str">
        <f>_xll.PLContribFull(M155*100,"ASK",AA155,"Slot46","TICKER",3,,"Valid")</f>
        <v>2.340 (12:14:42.753167)</v>
      </c>
      <c r="AD155" s="16"/>
    </row>
    <row r="156" spans="1:30" s="1" customFormat="1" x14ac:dyDescent="0.2">
      <c r="A156" s="12" t="s">
        <v>8</v>
      </c>
      <c r="B156" s="11">
        <f>'G7 Cross Input'!Q145</f>
        <v>9.1549999999999992E-2</v>
      </c>
      <c r="C156" s="11">
        <f>'G7 Cross Input'!R145</f>
        <v>-3.1099999999999999E-2</v>
      </c>
      <c r="D156" s="11">
        <f>'G7 Cross Input'!S145</f>
        <v>-5.6900000000000006E-2</v>
      </c>
      <c r="E156" s="11">
        <f>'G7 Cross Input'!T145</f>
        <v>-2.4000000000000002E-3</v>
      </c>
      <c r="F156" s="11">
        <f>'G7 Cross Input'!U145</f>
        <v>8.0000000000000036E-4</v>
      </c>
      <c r="H156" s="10" t="s">
        <v>8</v>
      </c>
      <c r="I156" s="11">
        <f>'G7 Cross Input'!X145</f>
        <v>0.10185</v>
      </c>
      <c r="J156" s="11">
        <f>'G7 Cross Input'!Y145</f>
        <v>-1.61E-2</v>
      </c>
      <c r="K156" s="11">
        <f>'G7 Cross Input'!Z145</f>
        <v>-2.6900000000000007E-2</v>
      </c>
      <c r="L156" s="11">
        <f>'G7 Cross Input'!AA145</f>
        <v>7.6E-3</v>
      </c>
      <c r="M156" s="11">
        <f>'G7 Cross Input'!AB145</f>
        <v>2.0799999999999999E-2</v>
      </c>
      <c r="O156" s="3" t="s">
        <v>829</v>
      </c>
      <c r="P156" s="14" t="str">
        <f>_xll.PLContribFull(B156*100,"BID",O156,"Slot46","TICKER",3,,"Valid")</f>
        <v>9.155 (12:14:42.798166)</v>
      </c>
      <c r="Q156" s="5" t="str">
        <f>_xll.PLContribFull(I156*100,"ASK",O156,"Slot46","TICKER",3,,"Valid")</f>
        <v>10.185 (12:14:42.798166)</v>
      </c>
      <c r="R156" s="3" t="s">
        <v>839</v>
      </c>
      <c r="S156" s="14" t="str">
        <f>_xll.PLContribFull(C156*100,"BID",R156,"Slot46","TICKER",3,,"Valid")</f>
        <v>-3.110 (12:14:42.783166)</v>
      </c>
      <c r="T156" s="14" t="str">
        <f>_xll.PLContribFull(J156*100,"ASK",R156,"Slot46","TICKER",3,,"Valid")</f>
        <v>-1.610 (12:14:42.786167)</v>
      </c>
      <c r="U156" s="3" t="s">
        <v>849</v>
      </c>
      <c r="V156" s="14" t="str">
        <f>_xll.PLContribFull(D156*100,"BID",U156,"Slot46","TICKER",3,,"Valid")</f>
        <v>-5.690 (12:14:42.784167)</v>
      </c>
      <c r="W156" s="5" t="str">
        <f>_xll.PLContribFull(K156*100,"ASK",U156,"Slot46","TICKER",3,,"Valid")</f>
        <v>-2.690 (12:14:42.781168)</v>
      </c>
      <c r="X156" s="3" t="s">
        <v>859</v>
      </c>
      <c r="Y156" s="14" t="str">
        <f>_xll.PLContribFull(E156*100,"BID",X156,"Slot46","TICKER",3,,"Valid")</f>
        <v>-0.240 (12:14:42.786167)</v>
      </c>
      <c r="Z156" s="14" t="str">
        <f>_xll.PLContribFull(L156*100,"ASK",X156,"Slot46","TICKER",3,,"Valid")</f>
        <v>0.760 (12:14:42.796169)</v>
      </c>
      <c r="AA156" s="3" t="s">
        <v>869</v>
      </c>
      <c r="AB156" s="14" t="str">
        <f>_xll.PLContribFull(F156*100,"BID",AA156,"Slot46","TICKER",3,,"Valid")</f>
        <v>0.080 (12:14:42.797167)</v>
      </c>
      <c r="AC156" s="5" t="str">
        <f>_xll.PLContribFull(M156*100,"ASK",AA156,"Slot46","TICKER",3,,"Valid")</f>
        <v>2.080 (12:14:42.791166)</v>
      </c>
      <c r="AD156" s="16"/>
    </row>
    <row r="157" spans="1:30" s="1" customFormat="1" x14ac:dyDescent="0.2">
      <c r="A157" s="12" t="s">
        <v>9</v>
      </c>
      <c r="B157" s="11">
        <f>'G7 Cross Input'!Q146</f>
        <v>8.8149999999999992E-2</v>
      </c>
      <c r="C157" s="11">
        <f>'G7 Cross Input'!R146</f>
        <v>-2.58E-2</v>
      </c>
      <c r="D157" s="11">
        <f>'G7 Cross Input'!S146</f>
        <v>-4.7199999999999999E-2</v>
      </c>
      <c r="E157" s="11">
        <f>'G7 Cross Input'!T146</f>
        <v>0</v>
      </c>
      <c r="F157" s="11">
        <f>'G7 Cross Input'!U146</f>
        <v>5.5999999999999999E-3</v>
      </c>
      <c r="H157" s="10" t="s">
        <v>9</v>
      </c>
      <c r="I157" s="11">
        <f>'G7 Cross Input'!X146</f>
        <v>9.6449999999999994E-2</v>
      </c>
      <c r="J157" s="11">
        <f>'G7 Cross Input'!Y146</f>
        <v>-1.78E-2</v>
      </c>
      <c r="K157" s="11">
        <f>'G7 Cross Input'!Z146</f>
        <v>-3.1199999999999999E-2</v>
      </c>
      <c r="L157" s="11">
        <f>'G7 Cross Input'!AA146</f>
        <v>5.0000000000000001E-3</v>
      </c>
      <c r="M157" s="11">
        <f>'G7 Cross Input'!AB146</f>
        <v>1.5599999999999999E-2</v>
      </c>
      <c r="O157" s="3" t="s">
        <v>830</v>
      </c>
      <c r="P157" s="14" t="str">
        <f>_xll.PLContribFull(B157*100,"BID",O157,"Slot46","TICKER",3,,"Valid")</f>
        <v>8.815 (12:14:42.797167)</v>
      </c>
      <c r="Q157" s="5" t="str">
        <f>_xll.PLContribFull(I157*100,"ASK",O157,"Slot46","TICKER",3,,"Valid")</f>
        <v>9.645 (12:14:42.798166)</v>
      </c>
      <c r="R157" s="3" t="s">
        <v>840</v>
      </c>
      <c r="S157" s="14" t="str">
        <f>_xll.PLContribFull(C157*100,"BID",R157,"Slot46","TICKER",3,,"Valid")</f>
        <v>-2.580 (12:14:42.787167)</v>
      </c>
      <c r="T157" s="14" t="str">
        <f>_xll.PLContribFull(J157*100,"ASK",R157,"Slot46","TICKER",3,,"Valid")</f>
        <v>-1.780 (12:14:42.784167)</v>
      </c>
      <c r="U157" s="3" t="s">
        <v>850</v>
      </c>
      <c r="V157" s="14" t="str">
        <f>_xll.PLContribFull(D157*100,"BID",U157,"Slot46","TICKER",3,,"Valid")</f>
        <v>-4.720 (12:14:42.786167)</v>
      </c>
      <c r="W157" s="5" t="str">
        <f>_xll.PLContribFull(K157*100,"ASK",U157,"Slot46","TICKER",3,,"Valid")</f>
        <v>-3.120 (12:14:42.789167)</v>
      </c>
      <c r="X157" s="3" t="s">
        <v>860</v>
      </c>
      <c r="Y157" s="14" t="str">
        <f>_xll.PLContribFull(E157*100,"BID",X157,"Slot46","TICKER",3,,"Valid")</f>
        <v>0.000 (12:14:42.784167)</v>
      </c>
      <c r="Z157" s="14" t="str">
        <f>_xll.PLContribFull(L157*100,"ASK",X157,"Slot46","TICKER",3,,"Valid")</f>
        <v>0.500 (12:14:42.797167)</v>
      </c>
      <c r="AA157" s="3" t="s">
        <v>870</v>
      </c>
      <c r="AB157" s="14" t="str">
        <f>_xll.PLContribFull(F157*100,"BID",AA157,"Slot46","TICKER",3,,"Valid")</f>
        <v>0.560 (12:14:42.781168)</v>
      </c>
      <c r="AC157" s="5" t="str">
        <f>_xll.PLContribFull(M157*100,"ASK",AA157,"Slot46","TICKER",3,,"Valid")</f>
        <v>1.560 (12:14:42.754169)</v>
      </c>
      <c r="AD157" s="16"/>
    </row>
    <row r="158" spans="1:30" s="1" customFormat="1" x14ac:dyDescent="0.2">
      <c r="A158" s="12" t="s">
        <v>10</v>
      </c>
      <c r="B158" s="11">
        <f>'G7 Cross Input'!Q147</f>
        <v>8.5400000000000004E-2</v>
      </c>
      <c r="C158" s="11">
        <f>'G7 Cross Input'!R147</f>
        <v>-2.4400000000000002E-2</v>
      </c>
      <c r="D158" s="11">
        <f>'G7 Cross Input'!S147</f>
        <v>-4.5400000000000003E-2</v>
      </c>
      <c r="E158" s="11">
        <f>'G7 Cross Input'!T147</f>
        <v>0</v>
      </c>
      <c r="F158" s="11">
        <f>'G7 Cross Input'!U147</f>
        <v>5.5999999999999999E-3</v>
      </c>
      <c r="H158" s="10" t="s">
        <v>10</v>
      </c>
      <c r="I158" s="11">
        <f>'G7 Cross Input'!X147</f>
        <v>9.3599999999999989E-2</v>
      </c>
      <c r="J158" s="11">
        <f>'G7 Cross Input'!Y147</f>
        <v>-1.6400000000000001E-2</v>
      </c>
      <c r="K158" s="11">
        <f>'G7 Cross Input'!Z147</f>
        <v>-2.9400000000000003E-2</v>
      </c>
      <c r="L158" s="11">
        <f>'G7 Cross Input'!AA147</f>
        <v>5.0000000000000001E-3</v>
      </c>
      <c r="M158" s="11">
        <f>'G7 Cross Input'!AB147</f>
        <v>1.5599999999999999E-2</v>
      </c>
      <c r="O158" s="3" t="s">
        <v>831</v>
      </c>
      <c r="P158" s="14" t="str">
        <f>_xll.PLContribFull(B158*100,"BID",O158,"Slot46","TICKER",3,,"Valid")</f>
        <v>8.540 (12:14:42.794168)</v>
      </c>
      <c r="Q158" s="5" t="str">
        <f>_xll.PLContribFull(I158*100,"ASK",O158,"Slot46","TICKER",3,,"Valid")</f>
        <v>9.360 (12:14:42.790167)</v>
      </c>
      <c r="R158" s="3" t="s">
        <v>841</v>
      </c>
      <c r="S158" s="14" t="str">
        <f>_xll.PLContribFull(C158*100,"BID",R158,"Slot46","TICKER",3,,"Valid")</f>
        <v>-2.440 (12:14:42.794168)</v>
      </c>
      <c r="T158" s="14" t="str">
        <f>_xll.PLContribFull(J158*100,"ASK",R158,"Slot46","TICKER",3,,"Valid")</f>
        <v>-1.640 (12:14:42.787167)</v>
      </c>
      <c r="U158" s="3" t="s">
        <v>851</v>
      </c>
      <c r="V158" s="14" t="str">
        <f>_xll.PLContribFull(D158*100,"BID",U158,"Slot46","TICKER",3,,"Valid")</f>
        <v>-4.540 (12:14:42.793169)</v>
      </c>
      <c r="W158" s="5" t="str">
        <f>_xll.PLContribFull(K158*100,"ASK",U158,"Slot46","TICKER",3,,"Valid")</f>
        <v>-2.940 (12:14:42.798166)</v>
      </c>
      <c r="X158" s="3" t="s">
        <v>861</v>
      </c>
      <c r="Y158" s="14" t="str">
        <f>_xll.PLContribFull(E158*100,"BID",X158,"Slot46","TICKER",3,,"Valid")</f>
        <v>0.000 (12:14:42.796169)</v>
      </c>
      <c r="Z158" s="14" t="str">
        <f>_xll.PLContribFull(L158*100,"ASK",X158,"Slot46","TICKER",3,,"Valid")</f>
        <v>0.500 (12:14:42.791166)</v>
      </c>
      <c r="AA158" s="3" t="s">
        <v>871</v>
      </c>
      <c r="AB158" s="14" t="str">
        <f>_xll.PLContribFull(F158*100,"BID",AA158,"Slot46","TICKER",3,,"Valid")</f>
        <v>0.560 (12:14:42.794168)</v>
      </c>
      <c r="AC158" s="5" t="str">
        <f>_xll.PLContribFull(M158*100,"ASK",AA158,"Slot46","TICKER",3,,"Valid")</f>
        <v>1.560 (12:14:42.798166)</v>
      </c>
      <c r="AD158" s="16"/>
    </row>
    <row r="159" spans="1:30" s="1" customFormat="1" x14ac:dyDescent="0.2">
      <c r="A159" s="12" t="s">
        <v>11</v>
      </c>
      <c r="B159" s="11">
        <f>'G7 Cross Input'!Q148</f>
        <v>8.3749999999999991E-2</v>
      </c>
      <c r="C159" s="11">
        <f>'G7 Cross Input'!R148</f>
        <v>-2.1299999999999999E-2</v>
      </c>
      <c r="D159" s="11">
        <f>'G7 Cross Input'!S148</f>
        <v>-4.1300000000000003E-2</v>
      </c>
      <c r="E159" s="11">
        <f>'G7 Cross Input'!T148</f>
        <v>9.9999999999999829E-5</v>
      </c>
      <c r="F159" s="11">
        <f>'G7 Cross Input'!U148</f>
        <v>6.4999999999999997E-3</v>
      </c>
      <c r="H159" s="10" t="s">
        <v>11</v>
      </c>
      <c r="I159" s="11">
        <f>'G7 Cross Input'!X148</f>
        <v>9.0849999999999986E-2</v>
      </c>
      <c r="J159" s="11">
        <f>'G7 Cross Input'!Y148</f>
        <v>-1.3299999999999999E-2</v>
      </c>
      <c r="K159" s="11">
        <f>'G7 Cross Input'!Z148</f>
        <v>-2.5300000000000003E-2</v>
      </c>
      <c r="L159" s="11">
        <f>'G7 Cross Input'!AA148</f>
        <v>5.1000000000000004E-3</v>
      </c>
      <c r="M159" s="11">
        <f>'G7 Cross Input'!AB148</f>
        <v>1.6500000000000001E-2</v>
      </c>
      <c r="O159" s="3" t="s">
        <v>832</v>
      </c>
      <c r="P159" s="14" t="str">
        <f>_xll.PLContribFull(B159*100,"BID",O159,"Slot46","TICKER",3,,"Valid")</f>
        <v>8.375 (12:14:42.780166)</v>
      </c>
      <c r="Q159" s="5" t="str">
        <f>_xll.PLContribFull(I159*100,"ASK",O159,"Slot46","TICKER",3,,"Valid")</f>
        <v>9.085 (12:14:42.780166)</v>
      </c>
      <c r="R159" s="3" t="s">
        <v>842</v>
      </c>
      <c r="S159" s="14" t="str">
        <f>_xll.PLContribFull(C159*100,"BID",R159,"Slot46","TICKER",3,,"Valid")</f>
        <v>-2.130 (12:14:42.755167)</v>
      </c>
      <c r="T159" s="14" t="str">
        <f>_xll.PLContribFull(J159*100,"ASK",R159,"Slot46","TICKER",3,,"Valid")</f>
        <v>-1.330 (12:14:42.784167)</v>
      </c>
      <c r="U159" s="3" t="s">
        <v>852</v>
      </c>
      <c r="V159" s="14" t="str">
        <f>_xll.PLContribFull(D159*100,"BID",U159,"Slot46","TICKER",3,,"Valid")</f>
        <v>-4.130 (12:14:42.750168)</v>
      </c>
      <c r="W159" s="5" t="str">
        <f>_xll.PLContribFull(K159*100,"ASK",U159,"Slot46","TICKER",3,,"Valid")</f>
        <v>-2.530 (12:14:42.785170)</v>
      </c>
      <c r="X159" s="3" t="s">
        <v>862</v>
      </c>
      <c r="Y159" s="14" t="str">
        <f>_xll.PLContribFull(E159*100,"BID",X159,"Slot46","TICKER",3,,"Valid")</f>
        <v>0.010 (12:14:42.744167)</v>
      </c>
      <c r="Z159" s="14" t="str">
        <f>_xll.PLContribFull(L159*100,"ASK",X159,"Slot46","TICKER",3,,"Valid")</f>
        <v>0.510 (12:14:42.796169)</v>
      </c>
      <c r="AA159" s="3" t="s">
        <v>872</v>
      </c>
      <c r="AB159" s="14" t="str">
        <f>_xll.PLContribFull(F159*100,"BID",AA159,"Slot46","TICKER",3,,"Valid")</f>
        <v>0.650 (12:14:42.790167)</v>
      </c>
      <c r="AC159" s="5" t="str">
        <f>_xll.PLContribFull(M159*100,"ASK",AA159,"Slot46","TICKER",3,,"Valid")</f>
        <v>1.650 (12:14:42.744167)</v>
      </c>
      <c r="AD159" s="16"/>
    </row>
    <row r="160" spans="1:30" s="1" customFormat="1" x14ac:dyDescent="0.2">
      <c r="A160" s="12" t="s">
        <v>12</v>
      </c>
      <c r="B160" s="11">
        <f>'G7 Cross Input'!Q149</f>
        <v>8.3899999999999988E-2</v>
      </c>
      <c r="C160" s="11">
        <f>'G7 Cross Input'!R149</f>
        <v>-1.9300000000000001E-2</v>
      </c>
      <c r="D160" s="11">
        <f>'G7 Cross Input'!S149</f>
        <v>-3.9E-2</v>
      </c>
      <c r="E160" s="11">
        <f>'G7 Cross Input'!T149</f>
        <v>3.0000000000000035E-4</v>
      </c>
      <c r="F160" s="11">
        <f>'G7 Cross Input'!U149</f>
        <v>7.6999999999999994E-3</v>
      </c>
      <c r="H160" s="10" t="s">
        <v>12</v>
      </c>
      <c r="I160" s="11">
        <f>'G7 Cross Input'!X149</f>
        <v>9.0699999999999989E-2</v>
      </c>
      <c r="J160" s="11">
        <f>'G7 Cross Input'!Y149</f>
        <v>-1.1300000000000001E-2</v>
      </c>
      <c r="K160" s="11">
        <f>'G7 Cross Input'!Z149</f>
        <v>-2.3E-2</v>
      </c>
      <c r="L160" s="11">
        <f>'G7 Cross Input'!AA149</f>
        <v>5.3000000000000009E-3</v>
      </c>
      <c r="M160" s="11">
        <f>'G7 Cross Input'!AB149</f>
        <v>1.77E-2</v>
      </c>
      <c r="O160" s="3" t="s">
        <v>833</v>
      </c>
      <c r="P160" s="14" t="str">
        <f>_xll.PLContribFull(B160*100,"BID",O160,"Slot46","TICKER",3,,"Valid")</f>
        <v>8.390 (12:14:42.797167)</v>
      </c>
      <c r="Q160" s="5" t="str">
        <f>_xll.PLContribFull(I160*100,"ASK",O160,"Slot46","TICKER",3,,"Valid")</f>
        <v>9.070 (12:14:42.794168)</v>
      </c>
      <c r="R160" s="3" t="s">
        <v>843</v>
      </c>
      <c r="S160" s="14" t="str">
        <f>_xll.PLContribFull(C160*100,"BID",R160,"Slot46","TICKER",3,,"Valid")</f>
        <v>-1.930 (12:14:42.753167)</v>
      </c>
      <c r="T160" s="14" t="str">
        <f>_xll.PLContribFull(J160*100,"ASK",R160,"Slot46","TICKER",3,,"Valid")</f>
        <v>-1.130 (12:14:42.785170)</v>
      </c>
      <c r="U160" s="3" t="s">
        <v>853</v>
      </c>
      <c r="V160" s="14" t="str">
        <f>_xll.PLContribFull(D160*100,"BID",U160,"Slot46","TICKER",3,,"Valid")</f>
        <v>-3.900 (12:14:42.781168)</v>
      </c>
      <c r="W160" s="5" t="str">
        <f>_xll.PLContribFull(K160*100,"ASK",U160,"Slot46","TICKER",3,,"Valid")</f>
        <v>-2.300 (12:14:42.751168)</v>
      </c>
      <c r="X160" s="3" t="s">
        <v>863</v>
      </c>
      <c r="Y160" s="14" t="str">
        <f>_xll.PLContribFull(E160*100,"BID",X160,"Slot46","TICKER",3,,"Valid")</f>
        <v>0.030 (12:14:42.780166)</v>
      </c>
      <c r="Z160" s="14" t="str">
        <f>_xll.PLContribFull(L160*100,"ASK",X160,"Slot46","TICKER",3,,"Valid")</f>
        <v>0.530 (12:14:42.748167)</v>
      </c>
      <c r="AA160" s="3" t="s">
        <v>873</v>
      </c>
      <c r="AB160" s="14" t="str">
        <f>_xll.PLContribFull(F160*100,"BID",AA160,"Slot46","TICKER",3,,"Valid")</f>
        <v>0.770 (12:14:42.790167)</v>
      </c>
      <c r="AC160" s="5" t="str">
        <f>_xll.PLContribFull(M160*100,"ASK",AA160,"Slot46","TICKER",3,,"Valid")</f>
        <v>1.770 (12:14:42.749167)</v>
      </c>
      <c r="AD160" s="16"/>
    </row>
    <row r="161" spans="1:30" s="1" customFormat="1" x14ac:dyDescent="0.2">
      <c r="A161" s="12" t="s">
        <v>13</v>
      </c>
      <c r="B161" s="11">
        <f>'G7 Cross Input'!Q150</f>
        <v>8.4350000000000008E-2</v>
      </c>
      <c r="C161" s="11">
        <f>'G7 Cross Input'!R150</f>
        <v>-1.72E-2</v>
      </c>
      <c r="D161" s="11">
        <f>'G7 Cross Input'!S150</f>
        <v>-3.5799999999999998E-2</v>
      </c>
      <c r="E161" s="11">
        <f>'G7 Cross Input'!T150</f>
        <v>5.9999999999999984E-4</v>
      </c>
      <c r="F161" s="11">
        <f>'G7 Cross Input'!U150</f>
        <v>8.9999999999999976E-3</v>
      </c>
      <c r="H161" s="10" t="s">
        <v>13</v>
      </c>
      <c r="I161" s="11">
        <f>'G7 Cross Input'!X150</f>
        <v>9.1249999999999998E-2</v>
      </c>
      <c r="J161" s="11">
        <f>'G7 Cross Input'!Y150</f>
        <v>-9.1999999999999998E-3</v>
      </c>
      <c r="K161" s="11">
        <f>'G7 Cross Input'!Z150</f>
        <v>-1.9799999999999998E-2</v>
      </c>
      <c r="L161" s="11">
        <f>'G7 Cross Input'!AA150</f>
        <v>5.5999999999999999E-3</v>
      </c>
      <c r="M161" s="11">
        <f>'G7 Cross Input'!AB150</f>
        <v>1.9E-2</v>
      </c>
      <c r="O161" s="3" t="s">
        <v>834</v>
      </c>
      <c r="P161" s="14" t="str">
        <f>_xll.PLContribFull(B161*100,"BID",O161,"Slot46","TICKER",3,,"Valid")</f>
        <v>8.435 (12:14:42.781168)</v>
      </c>
      <c r="Q161" s="5" t="str">
        <f>_xll.PLContribFull(I161*100,"ASK",O161,"Slot46","TICKER",3,,"Valid")</f>
        <v>9.125 (12:14:42.795166)</v>
      </c>
      <c r="R161" s="3" t="s">
        <v>844</v>
      </c>
      <c r="S161" s="14" t="str">
        <f>_xll.PLContribFull(C161*100,"BID",R161,"Slot46","TICKER",3,,"Valid")</f>
        <v>-1.720 (12:14:42.792167)</v>
      </c>
      <c r="T161" s="14" t="str">
        <f>_xll.PLContribFull(J161*100,"ASK",R161,"Slot46","TICKER",3,,"Valid")</f>
        <v>-0.920 (12:14:42.788167)</v>
      </c>
      <c r="U161" s="3" t="s">
        <v>854</v>
      </c>
      <c r="V161" s="14" t="str">
        <f>_xll.PLContribFull(D161*100,"BID",U161,"Slot46","TICKER",3,,"Valid")</f>
        <v>-3.580 (12:14:42.790167)</v>
      </c>
      <c r="W161" s="5" t="str">
        <f>_xll.PLContribFull(K161*100,"ASK",U161,"Slot46","TICKER",3,,"Valid")</f>
        <v>-1.980 (12:14:42.756167)</v>
      </c>
      <c r="X161" s="3" t="s">
        <v>864</v>
      </c>
      <c r="Y161" s="14" t="str">
        <f>_xll.PLContribFull(E161*100,"BID",X161,"Slot46","TICKER",3,,"Valid")</f>
        <v>0.060 (12:14:42.756167)</v>
      </c>
      <c r="Z161" s="14" t="str">
        <f>_xll.PLContribFull(L161*100,"ASK",X161,"Slot46","TICKER",3,,"Valid")</f>
        <v>0.560 (12:14:42.792167)</v>
      </c>
      <c r="AA161" s="3" t="s">
        <v>874</v>
      </c>
      <c r="AB161" s="14" t="str">
        <f>_xll.PLContribFull(F161*100,"BID",AA161,"Slot46","TICKER",3,,"Valid")</f>
        <v>0.900 (12:14:42.745167)</v>
      </c>
      <c r="AC161" s="5" t="str">
        <f>_xll.PLContribFull(M161*100,"ASK",AA161,"Slot46","TICKER",3,,"Valid")</f>
        <v>1.900 (12:14:42.797167)</v>
      </c>
      <c r="AD161" s="16"/>
    </row>
    <row r="162" spans="1:30" s="1" customFormat="1" x14ac:dyDescent="0.2">
      <c r="A162" s="12" t="s">
        <v>14</v>
      </c>
      <c r="B162" s="11">
        <f>'G7 Cross Input'!Q151</f>
        <v>8.3650000000000002E-2</v>
      </c>
      <c r="C162" s="11">
        <f>'G7 Cross Input'!R151</f>
        <v>-1.89E-2</v>
      </c>
      <c r="D162" s="11">
        <f>'G7 Cross Input'!S151</f>
        <v>-3.6400000000000002E-2</v>
      </c>
      <c r="E162" s="11">
        <f>'G7 Cross Input'!T151</f>
        <v>-2.0000000000000009E-4</v>
      </c>
      <c r="F162" s="11">
        <f>'G7 Cross Input'!U151</f>
        <v>8.0000000000000002E-3</v>
      </c>
      <c r="H162" s="10" t="s">
        <v>14</v>
      </c>
      <c r="I162" s="11">
        <f>'G7 Cross Input'!X151</f>
        <v>9.375E-2</v>
      </c>
      <c r="J162" s="11">
        <f>'G7 Cross Input'!Y151</f>
        <v>-6.8999999999999999E-3</v>
      </c>
      <c r="K162" s="11">
        <f>'G7 Cross Input'!Z151</f>
        <v>-1.2399999999999998E-2</v>
      </c>
      <c r="L162" s="11">
        <f>'G7 Cross Input'!AA151</f>
        <v>7.7999999999999996E-3</v>
      </c>
      <c r="M162" s="11">
        <f>'G7 Cross Input'!AB151</f>
        <v>2.4E-2</v>
      </c>
      <c r="O162" s="3" t="s">
        <v>835</v>
      </c>
      <c r="P162" s="14" t="str">
        <f>_xll.PLContribFull(B162*100,"BID",O162,"Slot46","TICKER",3,,"Valid")</f>
        <v>8.365 (12:14:42.795166)</v>
      </c>
      <c r="Q162" s="5" t="str">
        <f>_xll.PLContribFull(I162*100,"ASK",O162,"Slot46","TICKER",3,,"Valid")</f>
        <v>9.375 (12:14:42.794168)</v>
      </c>
      <c r="R162" s="3" t="s">
        <v>845</v>
      </c>
      <c r="S162" s="14" t="str">
        <f>_xll.PLContribFull(C162*100,"BID",R162,"Slot46","TICKER",3,,"Valid")</f>
        <v>-1.890 (12:14:42.744167)</v>
      </c>
      <c r="T162" s="14" t="str">
        <f>_xll.PLContribFull(J162*100,"ASK",R162,"Slot46","TICKER",3,,"Valid")</f>
        <v>-0.690 (12:14:42.794168)</v>
      </c>
      <c r="U162" s="3" t="s">
        <v>855</v>
      </c>
      <c r="V162" s="14" t="str">
        <f>_xll.PLContribFull(D162*100,"BID",U162,"Slot46","TICKER",3,,"Valid")</f>
        <v>-3.640 (12:14:42.750168)</v>
      </c>
      <c r="W162" s="5" t="str">
        <f>_xll.PLContribFull(K162*100,"ASK",U162,"Slot46","TICKER",3,,"Valid")</f>
        <v>-1.240 (12:14:42.789167)</v>
      </c>
      <c r="X162" s="3" t="s">
        <v>865</v>
      </c>
      <c r="Y162" s="14" t="str">
        <f>_xll.PLContribFull(E162*100,"BID",X162,"Slot46","TICKER",3,,"Valid")</f>
        <v>-0.020 (12:14:42.786167)</v>
      </c>
      <c r="Z162" s="14" t="str">
        <f>_xll.PLContribFull(L162*100,"ASK",X162,"Slot46","TICKER",3,,"Valid")</f>
        <v>0.780 (12:14:42.748167)</v>
      </c>
      <c r="AA162" s="3" t="s">
        <v>875</v>
      </c>
      <c r="AB162" s="14" t="str">
        <f>_xll.PLContribFull(F162*100,"BID",AA162,"Slot46","TICKER",3,,"Valid")</f>
        <v>0.800 (12:14:42.781168)</v>
      </c>
      <c r="AC162" s="5" t="str">
        <f>_xll.PLContribFull(M162*100,"ASK",AA162,"Slot46","TICKER",3,,"Valid")</f>
        <v>2.400 (12:14:42.782167)</v>
      </c>
      <c r="AD162" s="16"/>
    </row>
    <row r="163" spans="1:30" x14ac:dyDescent="0.2">
      <c r="A163" s="12" t="s">
        <v>876</v>
      </c>
      <c r="B163" s="11">
        <f>'G7 Cross Input'!Q152</f>
        <v>8.5050000000000001E-2</v>
      </c>
      <c r="C163" s="11">
        <f>'G7 Cross Input'!R152</f>
        <v>-2.12E-2</v>
      </c>
      <c r="D163" s="11">
        <f>'G7 Cross Input'!S152</f>
        <v>-4.0599999999999997E-2</v>
      </c>
      <c r="E163" s="11">
        <f>'G7 Cross Input'!T152</f>
        <v>9.9999999999999395E-5</v>
      </c>
      <c r="F163" s="11">
        <f>'G7 Cross Input'!U152</f>
        <v>9.8999999999999991E-3</v>
      </c>
      <c r="G163" s="1"/>
      <c r="H163" s="10" t="s">
        <v>876</v>
      </c>
      <c r="I163" s="11">
        <f>'G7 Cross Input'!X152</f>
        <v>9.5350000000000004E-2</v>
      </c>
      <c r="J163" s="11">
        <f>'G7 Cross Input'!Y152</f>
        <v>-9.1999999999999998E-3</v>
      </c>
      <c r="K163" s="11">
        <f>'G7 Cross Input'!Z152</f>
        <v>-1.66E-2</v>
      </c>
      <c r="L163" s="11">
        <f>'G7 Cross Input'!AA152</f>
        <v>8.0999999999999996E-3</v>
      </c>
      <c r="M163" s="11">
        <f>'G7 Cross Input'!AB152</f>
        <v>2.5899999999999999E-2</v>
      </c>
      <c r="N163" s="1"/>
      <c r="O163" s="3" t="s">
        <v>957</v>
      </c>
      <c r="P163" s="14" t="str">
        <f>_xll.PLContribFull(B163*100,"BID",O163,"Slot46","TICKER",3,,"Valid")</f>
        <v>8.505 (12:14:42.783166)</v>
      </c>
      <c r="Q163" s="5" t="str">
        <f>_xll.PLContribFull(I163*100,"ASK",O163,"Slot46","TICKER",3,,"Valid")</f>
        <v>9.535 (12:14:42.786167)</v>
      </c>
      <c r="R163" s="3" t="s">
        <v>958</v>
      </c>
      <c r="S163" s="14" t="str">
        <f>_xll.PLContribFull(C163*100,"BID",R163,"Slot46","TICKER",3,,"Valid")</f>
        <v>-2.120 (12:14:42.755167)</v>
      </c>
      <c r="T163" s="14" t="str">
        <f>_xll.PLContribFull(J163*100,"ASK",R163,"Slot46","TICKER",3,,"Valid")</f>
        <v>-0.920 (12:14:42.791166)</v>
      </c>
      <c r="U163" s="3" t="s">
        <v>959</v>
      </c>
      <c r="V163" s="14" t="str">
        <f>_xll.PLContribFull(D163*100,"BID",U163,"Slot46","TICKER",3,,"Valid")</f>
        <v>-4.060 (12:14:42.785170)</v>
      </c>
      <c r="W163" s="5" t="str">
        <f>_xll.PLContribFull(K163*100,"ASK",U163,"Slot46","TICKER",3,,"Valid")</f>
        <v>-1.660 (12:14:42.798166)</v>
      </c>
      <c r="X163" s="3" t="s">
        <v>960</v>
      </c>
      <c r="Y163" s="14" t="str">
        <f>_xll.PLContribFull(E163*100,"BID",X163,"Slot46","TICKER",3,,"Valid")</f>
        <v>0.010 (12:14:42.780166)</v>
      </c>
      <c r="Z163" s="14" t="str">
        <f>_xll.PLContribFull(L163*100,"ASK",X163,"Slot46","TICKER",3,,"Valid")</f>
        <v>0.810 (12:14:42.782167)</v>
      </c>
      <c r="AA163" s="3" t="s">
        <v>961</v>
      </c>
      <c r="AB163" s="14" t="str">
        <f>_xll.PLContribFull(F163*100,"BID",AA163,"Slot46","TICKER",3,,"Valid")</f>
        <v>0.990 (12:14:42.780166)</v>
      </c>
      <c r="AC163" s="5" t="str">
        <f>_xll.PLContribFull(M163*100,"ASK",AA163,"Slot46","TICKER",3,,"Valid")</f>
        <v>2.590 (12:14:42.788167)</v>
      </c>
    </row>
    <row r="165" spans="1:30" s="1" customFormat="1" x14ac:dyDescent="0.2">
      <c r="A165" s="10"/>
      <c r="B165" s="10"/>
      <c r="C165" s="10"/>
      <c r="D165" s="10"/>
      <c r="E165" s="10"/>
      <c r="F165" s="10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8"/>
      <c r="AC165" s="18"/>
      <c r="AD165"/>
    </row>
    <row r="166" spans="1:30" s="1" customFormat="1" x14ac:dyDescent="0.25">
      <c r="A166" s="10" t="s">
        <v>945</v>
      </c>
      <c r="B166" s="10"/>
      <c r="C166" s="10"/>
      <c r="D166" s="10"/>
      <c r="E166" s="10"/>
      <c r="F166" s="10"/>
      <c r="O166" s="3" t="s">
        <v>67</v>
      </c>
      <c r="P166" s="15" t="s">
        <v>68</v>
      </c>
      <c r="Q166" s="15"/>
      <c r="R166" s="3" t="s">
        <v>67</v>
      </c>
      <c r="S166" s="15" t="s">
        <v>68</v>
      </c>
      <c r="T166" s="15"/>
      <c r="U166" s="3" t="s">
        <v>67</v>
      </c>
      <c r="V166" s="15" t="s">
        <v>68</v>
      </c>
      <c r="W166" s="15"/>
      <c r="X166" s="3" t="s">
        <v>67</v>
      </c>
      <c r="Y166" s="15" t="s">
        <v>68</v>
      </c>
      <c r="Z166" s="6"/>
      <c r="AA166" s="3" t="s">
        <v>67</v>
      </c>
      <c r="AB166" s="15" t="s">
        <v>68</v>
      </c>
      <c r="AC166" s="6"/>
      <c r="AD166"/>
    </row>
    <row r="167" spans="1:30" s="1" customFormat="1" ht="14.25" x14ac:dyDescent="0.25">
      <c r="A167" s="12" t="s">
        <v>331</v>
      </c>
      <c r="B167" s="12" t="s">
        <v>0</v>
      </c>
      <c r="C167" s="12" t="s">
        <v>1</v>
      </c>
      <c r="D167" s="12" t="s">
        <v>2</v>
      </c>
      <c r="E167" s="12" t="s">
        <v>3</v>
      </c>
      <c r="F167" s="12" t="s">
        <v>4</v>
      </c>
      <c r="H167" s="10" t="s">
        <v>16</v>
      </c>
      <c r="I167" s="10" t="s">
        <v>0</v>
      </c>
      <c r="J167" s="10" t="s">
        <v>1</v>
      </c>
      <c r="K167" s="10" t="s">
        <v>2</v>
      </c>
      <c r="L167" s="10" t="s">
        <v>3</v>
      </c>
      <c r="M167" s="10" t="s">
        <v>4</v>
      </c>
      <c r="O167" s="3" t="s">
        <v>66</v>
      </c>
      <c r="P167" s="13" t="s">
        <v>15</v>
      </c>
      <c r="Q167" s="13" t="s">
        <v>16</v>
      </c>
      <c r="R167" s="3" t="s">
        <v>1</v>
      </c>
      <c r="S167" s="13" t="s">
        <v>15</v>
      </c>
      <c r="T167" s="13" t="s">
        <v>16</v>
      </c>
      <c r="U167" s="3" t="s">
        <v>2</v>
      </c>
      <c r="V167" s="13" t="s">
        <v>15</v>
      </c>
      <c r="W167" s="13" t="s">
        <v>16</v>
      </c>
      <c r="X167" s="3" t="s">
        <v>3</v>
      </c>
      <c r="Y167" s="13" t="s">
        <v>15</v>
      </c>
      <c r="Z167" s="4" t="s">
        <v>16</v>
      </c>
      <c r="AA167" s="3" t="s">
        <v>4</v>
      </c>
      <c r="AB167" s="13" t="s">
        <v>15</v>
      </c>
      <c r="AC167" s="4" t="s">
        <v>16</v>
      </c>
      <c r="AD167" s="2"/>
    </row>
    <row r="168" spans="1:30" s="1" customFormat="1" x14ac:dyDescent="0.2">
      <c r="A168" s="12" t="s">
        <v>5</v>
      </c>
      <c r="B168" s="11">
        <f>'G7 Cross Input'!Q156</f>
        <v>5.1799999999999999E-2</v>
      </c>
      <c r="C168" s="11">
        <f>'G7 Cross Input'!R156</f>
        <v>-2.0400000000000001E-2</v>
      </c>
      <c r="D168" s="11">
        <f>'G7 Cross Input'!S156</f>
        <v>-4.0800000000000003E-2</v>
      </c>
      <c r="E168" s="11">
        <f>'G7 Cross Input'!T156</f>
        <v>-1.32E-2</v>
      </c>
      <c r="F168" s="11">
        <f>'G7 Cross Input'!U156</f>
        <v>-2.3599999999999999E-2</v>
      </c>
      <c r="H168" s="10" t="s">
        <v>5</v>
      </c>
      <c r="I168" s="11">
        <f>'G7 Cross Input'!X156</f>
        <v>8.6599999999999996E-2</v>
      </c>
      <c r="J168" s="11">
        <f>'G7 Cross Input'!Y156</f>
        <v>1.9599999999999999E-2</v>
      </c>
      <c r="K168" s="11">
        <f>'G7 Cross Input'!Z156</f>
        <v>3.9199999999999999E-2</v>
      </c>
      <c r="L168" s="11">
        <f>'G7 Cross Input'!AA156</f>
        <v>1.6799999999999999E-2</v>
      </c>
      <c r="M168" s="11">
        <f>'G7 Cross Input'!AB156</f>
        <v>3.6400000000000002E-2</v>
      </c>
      <c r="O168" s="3" t="s">
        <v>1353</v>
      </c>
      <c r="P168" s="14" t="str">
        <f>_xll.PLContribFull(B168*100,"BID",O168,"Slot46","TICKER",3,,"Valid")</f>
        <v>5.180 (12:14:42.792167)</v>
      </c>
      <c r="Q168" s="5" t="str">
        <f>_xll.PLContribFull(I168*100,"ASK",O168,"Slot46","TICKER",3,,"Valid")</f>
        <v>8.660 (12:14:42.780166)</v>
      </c>
      <c r="R168" s="3" t="s">
        <v>1364</v>
      </c>
      <c r="S168" s="14" t="str">
        <f>_xll.PLContribFull(C168*100,"BID",R168,"Slot46","TICKER",3,,"Valid")</f>
        <v>-2.040 (12:14:42.797167)</v>
      </c>
      <c r="T168" s="14" t="str">
        <f>_xll.PLContribFull(J168*100,"ASK",R168,"Slot46","TICKER",3,,"Valid")</f>
        <v>1.960 (12:14:42.748167)</v>
      </c>
      <c r="U168" s="3" t="s">
        <v>1375</v>
      </c>
      <c r="V168" s="14" t="str">
        <f>_xll.PLContribFull(D168*100,"BID",U168,"Slot46","TICKER",3,,"Valid")</f>
        <v>-4.080 (12:14:42.784167)</v>
      </c>
      <c r="W168" s="5" t="str">
        <f>_xll.PLContribFull(K168*100,"ASK",U168,"Slot46","TICKER",3,,"Valid")</f>
        <v>3.920 (12:14:42.794168)</v>
      </c>
      <c r="X168" s="3" t="s">
        <v>1386</v>
      </c>
      <c r="Y168" s="14" t="str">
        <f>_xll.PLContribFull(E168*100,"BID",X168,"Slot46","TICKER",3,,"Valid")</f>
        <v>-1.320 (12:14:42.791166)</v>
      </c>
      <c r="Z168" s="14" t="str">
        <f>_xll.PLContribFull(L168*100,"ASK",X168,"Slot46","TICKER",3,,"Valid")</f>
        <v>1.680 (12:14:42.797167)</v>
      </c>
      <c r="AA168" s="3" t="s">
        <v>1397</v>
      </c>
      <c r="AB168" s="14" t="str">
        <f>_xll.PLContribFull(F168*100,"BID",AA168,"Slot46","TICKER",3,,"Valid")</f>
        <v>-2.360 (12:14:42.756167)</v>
      </c>
      <c r="AC168" s="5" t="str">
        <f>_xll.PLContribFull(M168*100,"ASK",AA168,"Slot46","TICKER",3,,"Valid")</f>
        <v>3.640 (12:14:42.793169)</v>
      </c>
      <c r="AD168" s="16"/>
    </row>
    <row r="169" spans="1:30" s="1" customFormat="1" x14ac:dyDescent="0.2">
      <c r="A169" s="12" t="s">
        <v>6</v>
      </c>
      <c r="B169" s="11">
        <f>'G7 Cross Input'!Q157</f>
        <v>4.4049999999999999E-2</v>
      </c>
      <c r="C169" s="11">
        <f>'G7 Cross Input'!R157</f>
        <v>-1.0800000000000001E-2</v>
      </c>
      <c r="D169" s="11">
        <f>'G7 Cross Input'!S157</f>
        <v>-2.1600000000000001E-2</v>
      </c>
      <c r="E169" s="11">
        <f>'G7 Cross Input'!T157</f>
        <v>-6.0999999999999995E-3</v>
      </c>
      <c r="F169" s="11">
        <f>'G7 Cross Input'!U157</f>
        <v>-9.9999999999999985E-3</v>
      </c>
      <c r="H169" s="10" t="s">
        <v>6</v>
      </c>
      <c r="I169" s="11">
        <f>'G7 Cross Input'!X157</f>
        <v>6.2950000000000006E-2</v>
      </c>
      <c r="J169" s="11">
        <f>'G7 Cross Input'!Y157</f>
        <v>9.1999999999999998E-3</v>
      </c>
      <c r="K169" s="11">
        <f>'G7 Cross Input'!Z157</f>
        <v>1.84E-2</v>
      </c>
      <c r="L169" s="11">
        <f>'G7 Cross Input'!AA157</f>
        <v>8.8999999999999999E-3</v>
      </c>
      <c r="M169" s="11">
        <f>'G7 Cross Input'!AB157</f>
        <v>0.02</v>
      </c>
      <c r="O169" s="3" t="s">
        <v>1354</v>
      </c>
      <c r="P169" s="14" t="str">
        <f>_xll.PLContribFull(B169*100,"BID",O169,"Slot46","TICKER",3,,"Valid")</f>
        <v>4.405 (12:14:42.799167)</v>
      </c>
      <c r="Q169" s="5" t="str">
        <f>_xll.PLContribFull(I169*100,"ASK",O169,"Slot46","TICKER",3,,"Valid")</f>
        <v>6.295 (12:14:42.792167)</v>
      </c>
      <c r="R169" s="3" t="s">
        <v>1365</v>
      </c>
      <c r="S169" s="14" t="str">
        <f>_xll.PLContribFull(C169*100,"BID",R169,"Slot46","TICKER",3,,"Valid")</f>
        <v>-1.080 (12:14:42.795166)</v>
      </c>
      <c r="T169" s="14" t="str">
        <f>_xll.PLContribFull(J169*100,"ASK",R169,"Slot46","TICKER",3,,"Valid")</f>
        <v>0.920 (12:14:42.781168)</v>
      </c>
      <c r="U169" s="3" t="s">
        <v>1376</v>
      </c>
      <c r="V169" s="14" t="str">
        <f>_xll.PLContribFull(D169*100,"BID",U169,"Slot46","TICKER",3,,"Valid")</f>
        <v>-2.160 (12:14:42.795166)</v>
      </c>
      <c r="W169" s="5" t="str">
        <f>_xll.PLContribFull(K169*100,"ASK",U169,"Slot46","TICKER",3,,"Valid")</f>
        <v>1.840 (12:14:42.740168)</v>
      </c>
      <c r="X169" s="3" t="s">
        <v>1387</v>
      </c>
      <c r="Y169" s="14" t="str">
        <f>_xll.PLContribFull(E169*100,"BID",X169,"Slot46","TICKER",3,,"Valid")</f>
        <v>-0.610 (12:14:42.797167)</v>
      </c>
      <c r="Z169" s="14" t="str">
        <f>_xll.PLContribFull(L169*100,"ASK",X169,"Slot46","TICKER",3,,"Valid")</f>
        <v>0.890 (12:14:42.780166)</v>
      </c>
      <c r="AA169" s="3" t="s">
        <v>1398</v>
      </c>
      <c r="AB169" s="14" t="str">
        <f>_xll.PLContribFull(F169*100,"BID",AA169,"Slot46","TICKER",3,,"Valid")</f>
        <v>-1.000 (12:14:42.794168)</v>
      </c>
      <c r="AC169" s="5" t="str">
        <f>_xll.PLContribFull(M169*100,"ASK",AA169,"Slot46","TICKER",3,,"Valid")</f>
        <v>2.000 (12:14:42.796169)</v>
      </c>
      <c r="AD169" s="16"/>
    </row>
    <row r="170" spans="1:30" s="1" customFormat="1" x14ac:dyDescent="0.2">
      <c r="A170" s="12" t="s">
        <v>7</v>
      </c>
      <c r="B170" s="11">
        <f>'G7 Cross Input'!Q158</f>
        <v>4.8349999999999997E-2</v>
      </c>
      <c r="C170" s="11">
        <f>'G7 Cross Input'!R158</f>
        <v>-8.3000000000000001E-3</v>
      </c>
      <c r="D170" s="11">
        <f>'G7 Cross Input'!S158</f>
        <v>-1.66E-2</v>
      </c>
      <c r="E170" s="11">
        <f>'G7 Cross Input'!T158</f>
        <v>-3.7000000000000002E-3</v>
      </c>
      <c r="F170" s="11">
        <f>'G7 Cross Input'!U158</f>
        <v>-5.1000000000000004E-3</v>
      </c>
      <c r="H170" s="10" t="s">
        <v>7</v>
      </c>
      <c r="I170" s="11">
        <f>'G7 Cross Input'!X158</f>
        <v>6.0649999999999996E-2</v>
      </c>
      <c r="J170" s="11">
        <f>'G7 Cross Input'!Y158</f>
        <v>6.6999999999999994E-3</v>
      </c>
      <c r="K170" s="11">
        <f>'G7 Cross Input'!Z158</f>
        <v>1.3399999999999999E-2</v>
      </c>
      <c r="L170" s="11">
        <f>'G7 Cross Input'!AA158</f>
        <v>6.3E-3</v>
      </c>
      <c r="M170" s="11">
        <f>'G7 Cross Input'!AB158</f>
        <v>1.49E-2</v>
      </c>
      <c r="O170" s="3" t="s">
        <v>1355</v>
      </c>
      <c r="P170" s="14" t="str">
        <f>_xll.PLContribFull(B170*100,"BID",O170,"Slot46","TICKER",3,,"Valid")</f>
        <v>4.835 (12:14:42.788167)</v>
      </c>
      <c r="Q170" s="5" t="str">
        <f>_xll.PLContribFull(I170*100,"ASK",O170,"Slot46","TICKER",3,,"Valid")</f>
        <v>6.065 (12:14:42.795166)</v>
      </c>
      <c r="R170" s="3" t="s">
        <v>1366</v>
      </c>
      <c r="S170" s="14" t="str">
        <f>_xll.PLContribFull(C170*100,"BID",R170,"Slot46","TICKER",3,,"Valid")</f>
        <v>-0.830 (12:14:42.740168)</v>
      </c>
      <c r="T170" s="14" t="str">
        <f>_xll.PLContribFull(J170*100,"ASK",R170,"Slot46","TICKER",3,,"Valid")</f>
        <v>0.670 (12:14:42.784167)</v>
      </c>
      <c r="U170" s="3" t="s">
        <v>1377</v>
      </c>
      <c r="V170" s="14" t="str">
        <f>_xll.PLContribFull(D170*100,"BID",U170,"Slot46","TICKER",3,,"Valid")</f>
        <v>-1.660 (12:14:42.795166)</v>
      </c>
      <c r="W170" s="5" t="str">
        <f>_xll.PLContribFull(K170*100,"ASK",U170,"Slot46","TICKER",3,,"Valid")</f>
        <v>1.340 (12:14:42.743167)</v>
      </c>
      <c r="X170" s="3" t="s">
        <v>1388</v>
      </c>
      <c r="Y170" s="14" t="str">
        <f>_xll.PLContribFull(E170*100,"BID",X170,"Slot46","TICKER",3,,"Valid")</f>
        <v>-0.370 (12:14:42.783166)</v>
      </c>
      <c r="Z170" s="14" t="str">
        <f>_xll.PLContribFull(L170*100,"ASK",X170,"Slot46","TICKER",3,,"Valid")</f>
        <v>0.630 (12:14:42.796169)</v>
      </c>
      <c r="AA170" s="3" t="s">
        <v>1399</v>
      </c>
      <c r="AB170" s="14" t="str">
        <f>_xll.PLContribFull(F170*100,"BID",AA170,"Slot46","TICKER",3,,"Valid")</f>
        <v>-0.510 (12:14:42.751168)</v>
      </c>
      <c r="AC170" s="5" t="str">
        <f>_xll.PLContribFull(M170*100,"ASK",AA170,"Slot46","TICKER",3,,"Valid")</f>
        <v>1.490 (12:14:42.780166)</v>
      </c>
      <c r="AD170" s="16"/>
    </row>
    <row r="171" spans="1:30" s="1" customFormat="1" x14ac:dyDescent="0.2">
      <c r="A171" s="12" t="s">
        <v>8</v>
      </c>
      <c r="B171" s="11">
        <f>'G7 Cross Input'!Q159</f>
        <v>5.135E-2</v>
      </c>
      <c r="C171" s="11">
        <f>'G7 Cross Input'!R159</f>
        <v>-8.3000000000000001E-3</v>
      </c>
      <c r="D171" s="11">
        <f>'G7 Cross Input'!S159</f>
        <v>-1.6500000000000001E-2</v>
      </c>
      <c r="E171" s="11">
        <f>'G7 Cross Input'!T159</f>
        <v>-3.8000000000000004E-3</v>
      </c>
      <c r="F171" s="11">
        <f>'G7 Cross Input'!U159</f>
        <v>-5.7000000000000002E-3</v>
      </c>
      <c r="H171" s="10" t="s">
        <v>8</v>
      </c>
      <c r="I171" s="11">
        <f>'G7 Cross Input'!X159</f>
        <v>5.7049999999999997E-2</v>
      </c>
      <c r="J171" s="11">
        <f>'G7 Cross Input'!Y159</f>
        <v>6.6999999999999994E-3</v>
      </c>
      <c r="K171" s="11">
        <f>'G7 Cross Input'!Z159</f>
        <v>1.35E-2</v>
      </c>
      <c r="L171" s="11">
        <f>'G7 Cross Input'!AA159</f>
        <v>6.1999999999999998E-3</v>
      </c>
      <c r="M171" s="11">
        <f>'G7 Cross Input'!AB159</f>
        <v>1.43E-2</v>
      </c>
      <c r="O171" s="3" t="s">
        <v>1356</v>
      </c>
      <c r="P171" s="14" t="str">
        <f>_xll.PLContribFull(B171*100,"BID",O171,"Slot46","TICKER",3,,"Valid")</f>
        <v>5.135 (12:14:42.789167)</v>
      </c>
      <c r="Q171" s="5" t="str">
        <f>_xll.PLContribFull(I171*100,"ASK",O171,"Slot46","TICKER",3,,"Valid")</f>
        <v>5.705 (12:14:42.781168)</v>
      </c>
      <c r="R171" s="3" t="s">
        <v>1367</v>
      </c>
      <c r="S171" s="14" t="str">
        <f>_xll.PLContribFull(C171*100,"BID",R171,"Slot46","TICKER",3,,"Valid")</f>
        <v>-0.830 (12:14:42.781168)</v>
      </c>
      <c r="T171" s="14" t="str">
        <f>_xll.PLContribFull(J171*100,"ASK",R171,"Slot46","TICKER",3,,"Valid")</f>
        <v>0.670 (12:14:42.781168)</v>
      </c>
      <c r="U171" s="3" t="s">
        <v>1378</v>
      </c>
      <c r="V171" s="14" t="str">
        <f>_xll.PLContribFull(D171*100,"BID",U171,"Slot46","TICKER",3,,"Valid")</f>
        <v>-1.650 (12:14:42.797167)</v>
      </c>
      <c r="W171" s="5" t="str">
        <f>_xll.PLContribFull(K171*100,"ASK",U171,"Slot46","TICKER",3,,"Valid")</f>
        <v>1.350 (12:14:42.795166)</v>
      </c>
      <c r="X171" s="3" t="s">
        <v>1389</v>
      </c>
      <c r="Y171" s="14" t="str">
        <f>_xll.PLContribFull(E171*100,"BID",X171,"Slot46","TICKER",3,,"Valid")</f>
        <v>-0.380 (12:14:42.750168)</v>
      </c>
      <c r="Z171" s="14" t="str">
        <f>_xll.PLContribFull(L171*100,"ASK",X171,"Slot46","TICKER",3,,"Valid")</f>
        <v>0.620 (12:14:42.783166)</v>
      </c>
      <c r="AA171" s="3" t="s">
        <v>1400</v>
      </c>
      <c r="AB171" s="14" t="str">
        <f>_xll.PLContribFull(F171*100,"BID",AA171,"Slot46","TICKER",3,,"Valid")</f>
        <v>-0.570 (12:14:42.782167)</v>
      </c>
      <c r="AC171" s="5" t="str">
        <f>_xll.PLContribFull(M171*100,"ASK",AA171,"Slot46","TICKER",3,,"Valid")</f>
        <v>1.430 (12:14:42.787167)</v>
      </c>
      <c r="AD171" s="16"/>
    </row>
    <row r="172" spans="1:30" s="1" customFormat="1" x14ac:dyDescent="0.2">
      <c r="A172" s="12" t="s">
        <v>9</v>
      </c>
      <c r="B172" s="11">
        <f>'G7 Cross Input'!Q160</f>
        <v>5.6799999999999996E-2</v>
      </c>
      <c r="C172" s="11">
        <f>'G7 Cross Input'!R160</f>
        <v>-4.8999999999999998E-3</v>
      </c>
      <c r="D172" s="11">
        <f>'G7 Cross Input'!S160</f>
        <v>-9.7000000000000003E-3</v>
      </c>
      <c r="E172" s="11">
        <f>'G7 Cross Input'!T160</f>
        <v>-1.0999999999999998E-3</v>
      </c>
      <c r="F172" s="11">
        <f>'G7 Cross Input'!U160</f>
        <v>0</v>
      </c>
      <c r="H172" s="10" t="s">
        <v>9</v>
      </c>
      <c r="I172" s="11">
        <f>'G7 Cross Input'!X160</f>
        <v>6.2E-2</v>
      </c>
      <c r="J172" s="11">
        <f>'G7 Cross Input'!Y160</f>
        <v>3.1000000000000003E-3</v>
      </c>
      <c r="K172" s="11">
        <f>'G7 Cross Input'!Z160</f>
        <v>6.3E-3</v>
      </c>
      <c r="L172" s="11">
        <f>'G7 Cross Input'!AA160</f>
        <v>3.9000000000000003E-3</v>
      </c>
      <c r="M172" s="11">
        <f>'G7 Cross Input'!AB160</f>
        <v>0.01</v>
      </c>
      <c r="O172" s="3" t="s">
        <v>1357</v>
      </c>
      <c r="P172" s="14" t="str">
        <f>_xll.PLContribFull(B172*100,"BID",O172,"Slot46","TICKER",3,,"Valid")</f>
        <v>5.680 (12:14:42.782167)</v>
      </c>
      <c r="Q172" s="5" t="str">
        <f>_xll.PLContribFull(I172*100,"ASK",O172,"Slot46","TICKER",3,,"Valid")</f>
        <v>6.200 (12:14:42.791166)</v>
      </c>
      <c r="R172" s="3" t="s">
        <v>1368</v>
      </c>
      <c r="S172" s="14" t="str">
        <f>_xll.PLContribFull(C172*100,"BID",R172,"Slot46","TICKER",3,,"Valid")</f>
        <v>-0.490 (12:14:42.793169)</v>
      </c>
      <c r="T172" s="14" t="str">
        <f>_xll.PLContribFull(J172*100,"ASK",R172,"Slot46","TICKER",3,,"Valid")</f>
        <v>0.310 (12:14:42.743167)</v>
      </c>
      <c r="U172" s="3" t="s">
        <v>1379</v>
      </c>
      <c r="V172" s="14" t="str">
        <f>_xll.PLContribFull(D172*100,"BID",U172,"Slot46","TICKER",3,,"Valid")</f>
        <v>-0.970 (12:14:42.795166)</v>
      </c>
      <c r="W172" s="5" t="str">
        <f>_xll.PLContribFull(K172*100,"ASK",U172,"Slot46","TICKER",3,,"Valid")</f>
        <v>0.630 (12:14:42.780166)</v>
      </c>
      <c r="X172" s="3" t="s">
        <v>1390</v>
      </c>
      <c r="Y172" s="14" t="str">
        <f>_xll.PLContribFull(E172*100,"BID",X172,"Slot46","TICKER",3,,"Valid")</f>
        <v>-0.110 (12:14:42.793169)</v>
      </c>
      <c r="Z172" s="14" t="str">
        <f>_xll.PLContribFull(L172*100,"ASK",X172,"Slot46","TICKER",3,,"Valid")</f>
        <v>0.390 (12:14:42.788167)</v>
      </c>
      <c r="AA172" s="3" t="s">
        <v>1401</v>
      </c>
      <c r="AB172" s="14" t="str">
        <f>_xll.PLContribFull(F172*100,"BID",AA172,"Slot46","TICKER",3,,"Valid")</f>
        <v>0.000 (12:14:42.741170)</v>
      </c>
      <c r="AC172" s="5" t="str">
        <f>_xll.PLContribFull(M172*100,"ASK",AA172,"Slot46","TICKER",3,,"Valid")</f>
        <v>1.000 (12:14:42.799167)</v>
      </c>
      <c r="AD172" s="16"/>
    </row>
    <row r="173" spans="1:30" s="1" customFormat="1" x14ac:dyDescent="0.2">
      <c r="A173" s="12" t="s">
        <v>10</v>
      </c>
      <c r="B173" s="11">
        <f>'G7 Cross Input'!Q161</f>
        <v>5.7050000000000003E-2</v>
      </c>
      <c r="C173" s="11">
        <f>'G7 Cross Input'!R161</f>
        <v>-5.0000000000000001E-3</v>
      </c>
      <c r="D173" s="11">
        <f>'G7 Cross Input'!S161</f>
        <v>-9.7999999999999997E-3</v>
      </c>
      <c r="E173" s="11">
        <f>'G7 Cross Input'!T161</f>
        <v>-1.0999999999999998E-3</v>
      </c>
      <c r="F173" s="11">
        <f>'G7 Cross Input'!U161</f>
        <v>2.9999999999999992E-4</v>
      </c>
      <c r="H173" s="10" t="s">
        <v>10</v>
      </c>
      <c r="I173" s="11">
        <f>'G7 Cross Input'!X161</f>
        <v>6.2149999999999997E-2</v>
      </c>
      <c r="J173" s="11">
        <f>'G7 Cross Input'!Y161</f>
        <v>3.0000000000000001E-3</v>
      </c>
      <c r="K173" s="11">
        <f>'G7 Cross Input'!Z161</f>
        <v>6.2000000000000006E-3</v>
      </c>
      <c r="L173" s="11">
        <f>'G7 Cross Input'!AA161</f>
        <v>3.9000000000000003E-3</v>
      </c>
      <c r="M173" s="11">
        <f>'G7 Cross Input'!AB161</f>
        <v>1.03E-2</v>
      </c>
      <c r="O173" s="3" t="s">
        <v>1358</v>
      </c>
      <c r="P173" s="14" t="str">
        <f>_xll.PLContribFull(B173*100,"BID",O173,"Slot46","TICKER",3,,"Valid")</f>
        <v>5.705 (12:14:42.789167)</v>
      </c>
      <c r="Q173" s="5" t="str">
        <f>_xll.PLContribFull(I173*100,"ASK",O173,"Slot46","TICKER",3,,"Valid")</f>
        <v>6.215 (12:14:42.789167)</v>
      </c>
      <c r="R173" s="3" t="s">
        <v>1369</v>
      </c>
      <c r="S173" s="14" t="str">
        <f>_xll.PLContribFull(C173*100,"BID",R173,"Slot46","TICKER",3,,"Valid")</f>
        <v>-0.500 (12:14:42.754169)</v>
      </c>
      <c r="T173" s="14" t="str">
        <f>_xll.PLContribFull(J173*100,"ASK",R173,"Slot46","TICKER",3,,"Valid")</f>
        <v>0.300 (12:14:42.795166)</v>
      </c>
      <c r="U173" s="3" t="s">
        <v>1380</v>
      </c>
      <c r="V173" s="14" t="str">
        <f>_xll.PLContribFull(D173*100,"BID",U173,"Slot46","TICKER",3,,"Valid")</f>
        <v>-0.980 (12:14:42.784167)</v>
      </c>
      <c r="W173" s="5" t="str">
        <f>_xll.PLContribFull(K173*100,"ASK",U173,"Slot46","TICKER",3,,"Valid")</f>
        <v>0.620 (12:14:42.799167)</v>
      </c>
      <c r="X173" s="3" t="s">
        <v>1391</v>
      </c>
      <c r="Y173" s="14" t="str">
        <f>_xll.PLContribFull(E173*100,"BID",X173,"Slot46","TICKER",3,,"Valid")</f>
        <v>-0.110 (12:14:42.782167)</v>
      </c>
      <c r="Z173" s="14" t="str">
        <f>_xll.PLContribFull(L173*100,"ASK",X173,"Slot46","TICKER",3,,"Valid")</f>
        <v>0.390 (12:14:42.743167)</v>
      </c>
      <c r="AA173" s="3" t="s">
        <v>1402</v>
      </c>
      <c r="AB173" s="14" t="str">
        <f>_xll.PLContribFull(F173*100,"BID",AA173,"Slot46","TICKER",3,,"Valid")</f>
        <v>0.030 (12:14:42.781168)</v>
      </c>
      <c r="AC173" s="5" t="str">
        <f>_xll.PLContribFull(M173*100,"ASK",AA173,"Slot46","TICKER",3,,"Valid")</f>
        <v>1.030 (12:14:42.795166)</v>
      </c>
      <c r="AD173" s="16"/>
    </row>
    <row r="174" spans="1:30" s="1" customFormat="1" x14ac:dyDescent="0.2">
      <c r="A174" s="12" t="s">
        <v>11</v>
      </c>
      <c r="B174" s="11">
        <f>'G7 Cross Input'!Q162</f>
        <v>5.9499999999999997E-2</v>
      </c>
      <c r="C174" s="11">
        <f>'G7 Cross Input'!R162</f>
        <v>-5.0000000000000001E-3</v>
      </c>
      <c r="D174" s="11">
        <f>'G7 Cross Input'!S162</f>
        <v>-9.7999999999999997E-3</v>
      </c>
      <c r="E174" s="11">
        <f>'G7 Cross Input'!T162</f>
        <v>-7.9999999999999993E-4</v>
      </c>
      <c r="F174" s="11">
        <f>'G7 Cross Input'!U162</f>
        <v>1.5999999999999999E-3</v>
      </c>
      <c r="H174" s="10" t="s">
        <v>11</v>
      </c>
      <c r="I174" s="11">
        <f>'G7 Cross Input'!X162</f>
        <v>6.4299999999999996E-2</v>
      </c>
      <c r="J174" s="11">
        <f>'G7 Cross Input'!Y162</f>
        <v>3.0000000000000001E-3</v>
      </c>
      <c r="K174" s="11">
        <f>'G7 Cross Input'!Z162</f>
        <v>6.2000000000000006E-3</v>
      </c>
      <c r="L174" s="11">
        <f>'G7 Cross Input'!AA162</f>
        <v>4.2000000000000006E-3</v>
      </c>
      <c r="M174" s="11">
        <f>'G7 Cross Input'!AB162</f>
        <v>1.1599999999999999E-2</v>
      </c>
      <c r="O174" s="3" t="s">
        <v>1359</v>
      </c>
      <c r="P174" s="14" t="str">
        <f>_xll.PLContribFull(B174*100,"BID",O174,"Slot46","TICKER",3,,"Valid")</f>
        <v>5.950 (12:14:42.792167)</v>
      </c>
      <c r="Q174" s="5" t="str">
        <f>_xll.PLContribFull(I174*100,"ASK",O174,"Slot46","TICKER",3,,"Valid")</f>
        <v>6.430 (12:14:42.795166)</v>
      </c>
      <c r="R174" s="3" t="s">
        <v>1370</v>
      </c>
      <c r="S174" s="14" t="str">
        <f>_xll.PLContribFull(C174*100,"BID",R174,"Slot46","TICKER",3,,"Valid")</f>
        <v>-0.500 (12:14:42.793169)</v>
      </c>
      <c r="T174" s="14" t="str">
        <f>_xll.PLContribFull(J174*100,"ASK",R174,"Slot46","TICKER",3,,"Valid")</f>
        <v>0.300 (12:14:42.796169)</v>
      </c>
      <c r="U174" s="3" t="s">
        <v>1381</v>
      </c>
      <c r="V174" s="14" t="str">
        <f>_xll.PLContribFull(D174*100,"BID",U174,"Slot46","TICKER",3,,"Valid")</f>
        <v>-0.980 (12:14:42.797167)</v>
      </c>
      <c r="W174" s="5" t="str">
        <f>_xll.PLContribFull(K174*100,"ASK",U174,"Slot46","TICKER",3,,"Valid")</f>
        <v>0.620 (12:14:42.783166)</v>
      </c>
      <c r="X174" s="3" t="s">
        <v>1392</v>
      </c>
      <c r="Y174" s="14" t="str">
        <f>_xll.PLContribFull(E174*100,"BID",X174,"Slot46","TICKER",3,,"Valid")</f>
        <v>-0.080 (12:14:42.794168)</v>
      </c>
      <c r="Z174" s="14" t="str">
        <f>_xll.PLContribFull(L174*100,"ASK",X174,"Slot46","TICKER",3,,"Valid")</f>
        <v>0.420 (12:14:42.781168)</v>
      </c>
      <c r="AA174" s="3" t="s">
        <v>1403</v>
      </c>
      <c r="AB174" s="14" t="str">
        <f>_xll.PLContribFull(F174*100,"BID",AA174,"Slot46","TICKER",3,,"Valid")</f>
        <v>0.160 (12:14:42.785170)</v>
      </c>
      <c r="AC174" s="5" t="str">
        <f>_xll.PLContribFull(M174*100,"ASK",AA174,"Slot46","TICKER",3,,"Valid")</f>
        <v>1.160 (12:14:42.793169)</v>
      </c>
      <c r="AD174" s="16"/>
    </row>
    <row r="175" spans="1:30" s="1" customFormat="1" x14ac:dyDescent="0.2">
      <c r="A175" s="12" t="s">
        <v>12</v>
      </c>
      <c r="B175" s="11">
        <f>'G7 Cross Input'!Q163</f>
        <v>6.2549999999999994E-2</v>
      </c>
      <c r="C175" s="11">
        <f>'G7 Cross Input'!R163</f>
        <v>-5.1000000000000004E-3</v>
      </c>
      <c r="D175" s="11">
        <f>'G7 Cross Input'!S163</f>
        <v>-9.7999999999999997E-3</v>
      </c>
      <c r="E175" s="11">
        <f>'G7 Cross Input'!T163</f>
        <v>-4.0000000000000018E-4</v>
      </c>
      <c r="F175" s="11">
        <f>'G7 Cross Input'!U163</f>
        <v>3.0000000000000001E-3</v>
      </c>
      <c r="H175" s="10" t="s">
        <v>12</v>
      </c>
      <c r="I175" s="11">
        <f>'G7 Cross Input'!X163</f>
        <v>6.7250000000000004E-2</v>
      </c>
      <c r="J175" s="11">
        <f>'G7 Cross Input'!Y163</f>
        <v>2.8999999999999998E-3</v>
      </c>
      <c r="K175" s="11">
        <f>'G7 Cross Input'!Z163</f>
        <v>6.2000000000000006E-3</v>
      </c>
      <c r="L175" s="11">
        <f>'G7 Cross Input'!AA163</f>
        <v>4.5999999999999999E-3</v>
      </c>
      <c r="M175" s="11">
        <f>'G7 Cross Input'!AB163</f>
        <v>1.3000000000000001E-2</v>
      </c>
      <c r="O175" s="3" t="s">
        <v>1360</v>
      </c>
      <c r="P175" s="14" t="str">
        <f>_xll.PLContribFull(B175*100,"BID",O175,"Slot46","TICKER",3,,"Valid")</f>
        <v>6.255 (12:14:42.788167)</v>
      </c>
      <c r="Q175" s="5" t="str">
        <f>_xll.PLContribFull(I175*100,"ASK",O175,"Slot46","TICKER",3,,"Valid")</f>
        <v>6.725 (12:14:42.786167)</v>
      </c>
      <c r="R175" s="3" t="s">
        <v>1371</v>
      </c>
      <c r="S175" s="14" t="str">
        <f>_xll.PLContribFull(C175*100,"BID",R175,"Slot46","TICKER",3,,"Valid")</f>
        <v>-0.510 (12:14:42.788167)</v>
      </c>
      <c r="T175" s="14" t="str">
        <f>_xll.PLContribFull(J175*100,"ASK",R175,"Slot46","TICKER",3,,"Valid")</f>
        <v>0.290 (12:14:42.798166)</v>
      </c>
      <c r="U175" s="3" t="s">
        <v>1382</v>
      </c>
      <c r="V175" s="14" t="str">
        <f>_xll.PLContribFull(D175*100,"BID",U175,"Slot46","TICKER",3,,"Valid")</f>
        <v>-0.980 (12:14:42.784167)</v>
      </c>
      <c r="W175" s="5" t="str">
        <f>_xll.PLContribFull(K175*100,"ASK",U175,"Slot46","TICKER",3,,"Valid")</f>
        <v>0.620 (12:14:42.783166)</v>
      </c>
      <c r="X175" s="3" t="s">
        <v>1393</v>
      </c>
      <c r="Y175" s="14" t="str">
        <f>_xll.PLContribFull(E175*100,"BID",X175,"Slot46","TICKER",3,,"Valid")</f>
        <v>-0.040 (12:14:42.788167)</v>
      </c>
      <c r="Z175" s="14" t="str">
        <f>_xll.PLContribFull(L175*100,"ASK",X175,"Slot46","TICKER",3,,"Valid")</f>
        <v>0.460 (12:14:42.783166)</v>
      </c>
      <c r="AA175" s="3" t="s">
        <v>1404</v>
      </c>
      <c r="AB175" s="14" t="str">
        <f>_xll.PLContribFull(F175*100,"BID",AA175,"Slot46","TICKER",3,,"Valid")</f>
        <v>0.300 (12:14:42.797167)</v>
      </c>
      <c r="AC175" s="5" t="str">
        <f>_xll.PLContribFull(M175*100,"ASK",AA175,"Slot46","TICKER",3,,"Valid")</f>
        <v>1.300 (12:14:42.787167)</v>
      </c>
      <c r="AD175" s="16"/>
    </row>
    <row r="176" spans="1:30" s="1" customFormat="1" x14ac:dyDescent="0.2">
      <c r="A176" s="12" t="s">
        <v>13</v>
      </c>
      <c r="B176" s="11">
        <f>'G7 Cross Input'!Q164</f>
        <v>6.5299999999999997E-2</v>
      </c>
      <c r="C176" s="11">
        <f>'G7 Cross Input'!R164</f>
        <v>-5.0000000000000001E-3</v>
      </c>
      <c r="D176" s="11">
        <f>'G7 Cross Input'!S164</f>
        <v>-9.4000000000000004E-3</v>
      </c>
      <c r="E176" s="11">
        <f>'G7 Cross Input'!T164</f>
        <v>-1.0000000000000026E-4</v>
      </c>
      <c r="F176" s="11">
        <f>'G7 Cross Input'!U164</f>
        <v>4.5999999999999991E-3</v>
      </c>
      <c r="H176" s="10" t="s">
        <v>13</v>
      </c>
      <c r="I176" s="11">
        <f>'G7 Cross Input'!X164</f>
        <v>7.0099999999999996E-2</v>
      </c>
      <c r="J176" s="11">
        <f>'G7 Cross Input'!Y164</f>
        <v>3.0000000000000001E-3</v>
      </c>
      <c r="K176" s="11">
        <f>'G7 Cross Input'!Z164</f>
        <v>6.6E-3</v>
      </c>
      <c r="L176" s="11">
        <f>'G7 Cross Input'!AA164</f>
        <v>4.8999999999999998E-3</v>
      </c>
      <c r="M176" s="11">
        <f>'G7 Cross Input'!AB164</f>
        <v>1.4599999999999998E-2</v>
      </c>
      <c r="O176" s="3" t="s">
        <v>1361</v>
      </c>
      <c r="P176" s="14" t="str">
        <f>_xll.PLContribFull(B176*100,"BID",O176,"Slot46","TICKER",3,,"Valid")</f>
        <v>6.530 (12:14:42.785170)</v>
      </c>
      <c r="Q176" s="5" t="str">
        <f>_xll.PLContribFull(I176*100,"ASK",O176,"Slot46","TICKER",3,,"Valid")</f>
        <v>7.010 (12:14:42.784167)</v>
      </c>
      <c r="R176" s="3" t="s">
        <v>1372</v>
      </c>
      <c r="S176" s="14" t="str">
        <f>_xll.PLContribFull(C176*100,"BID",R176,"Slot46","TICKER",3,,"Valid")</f>
        <v>-0.500 (12:14:42.796169)</v>
      </c>
      <c r="T176" s="14" t="str">
        <f>_xll.PLContribFull(J176*100,"ASK",R176,"Slot46","TICKER",3,,"Valid")</f>
        <v>0.300 (12:14:42.788167)</v>
      </c>
      <c r="U176" s="3" t="s">
        <v>1383</v>
      </c>
      <c r="V176" s="14" t="str">
        <f>_xll.PLContribFull(D176*100,"BID",U176,"Slot46","TICKER",3,,"Valid")</f>
        <v>-0.940 (12:14:42.780166)</v>
      </c>
      <c r="W176" s="5" t="str">
        <f>_xll.PLContribFull(K176*100,"ASK",U176,"Slot46","TICKER",3,,"Valid")</f>
        <v>0.660 (12:14:42.791166)</v>
      </c>
      <c r="X176" s="3" t="s">
        <v>1394</v>
      </c>
      <c r="Y176" s="14" t="str">
        <f>_xll.PLContribFull(E176*100,"BID",X176,"Slot46","TICKER",3,,"Valid")</f>
        <v>-0.010 (12:14:42.744167)</v>
      </c>
      <c r="Z176" s="14" t="str">
        <f>_xll.PLContribFull(L176*100,"ASK",X176,"Slot46","TICKER",3,,"Valid")</f>
        <v>0.490 (12:14:42.788167)</v>
      </c>
      <c r="AA176" s="3" t="s">
        <v>1405</v>
      </c>
      <c r="AB176" s="14" t="str">
        <f>_xll.PLContribFull(F176*100,"BID",AA176,"Slot46","TICKER",3,,"Valid")</f>
        <v>0.460 (12:14:42.788167)</v>
      </c>
      <c r="AC176" s="5" t="str">
        <f>_xll.PLContribFull(M176*100,"ASK",AA176,"Slot46","TICKER",3,,"Valid")</f>
        <v>1.460 (12:14:42.780166)</v>
      </c>
      <c r="AD176" s="16"/>
    </row>
    <row r="177" spans="1:30" s="1" customFormat="1" x14ac:dyDescent="0.2">
      <c r="A177" s="12" t="s">
        <v>14</v>
      </c>
      <c r="B177" s="11">
        <f>'G7 Cross Input'!Q165</f>
        <v>6.8400000000000002E-2</v>
      </c>
      <c r="C177" s="11">
        <f>'G7 Cross Input'!R165</f>
        <v>-7.0000000000000001E-3</v>
      </c>
      <c r="D177" s="11">
        <f>'G7 Cross Input'!S165</f>
        <v>-1.32E-2</v>
      </c>
      <c r="E177" s="11">
        <f>'G7 Cross Input'!T165</f>
        <v>-1.1999999999999997E-3</v>
      </c>
      <c r="F177" s="11">
        <f>'G7 Cross Input'!U165</f>
        <v>2.3E-3</v>
      </c>
      <c r="H177" s="10" t="s">
        <v>14</v>
      </c>
      <c r="I177" s="11">
        <f>'G7 Cross Input'!X165</f>
        <v>7.3999999999999996E-2</v>
      </c>
      <c r="J177" s="11">
        <f>'G7 Cross Input'!Y165</f>
        <v>5.0000000000000001E-3</v>
      </c>
      <c r="K177" s="11">
        <f>'G7 Cross Input'!Z165</f>
        <v>1.0800000000000001E-2</v>
      </c>
      <c r="L177" s="11">
        <f>'G7 Cross Input'!AA165</f>
        <v>6.8000000000000005E-3</v>
      </c>
      <c r="M177" s="11">
        <f>'G7 Cross Input'!AB165</f>
        <v>1.83E-2</v>
      </c>
      <c r="O177" s="3" t="s">
        <v>1362</v>
      </c>
      <c r="P177" s="14" t="str">
        <f>_xll.PLContribFull(B177*100,"BID",O177,"Slot46","TICKER",3,,"Valid")</f>
        <v>6.840 (12:14:42.792167)</v>
      </c>
      <c r="Q177" s="5" t="str">
        <f>_xll.PLContribFull(I177*100,"ASK",O177,"Slot46","TICKER",3,,"Valid")</f>
        <v>7.400 (12:14:42.780166)</v>
      </c>
      <c r="R177" s="3" t="s">
        <v>1373</v>
      </c>
      <c r="S177" s="14" t="str">
        <f>_xll.PLContribFull(C177*100,"BID",R177,"Slot46","TICKER",3,,"Valid")</f>
        <v>-0.700 (12:14:42.780166)</v>
      </c>
      <c r="T177" s="14" t="str">
        <f>_xll.PLContribFull(J177*100,"ASK",R177,"Slot46","TICKER",3,,"Valid")</f>
        <v>0.500 (12:14:42.798166)</v>
      </c>
      <c r="U177" s="3" t="s">
        <v>1384</v>
      </c>
      <c r="V177" s="14" t="str">
        <f>_xll.PLContribFull(D177*100,"BID",U177,"Slot46","TICKER",3,,"Valid")</f>
        <v>-1.320 (12:14:42.781168)</v>
      </c>
      <c r="W177" s="5" t="str">
        <f>_xll.PLContribFull(K177*100,"ASK",U177,"Slot46","TICKER",3,,"Valid")</f>
        <v>1.080 (12:14:42.793169)</v>
      </c>
      <c r="X177" s="3" t="s">
        <v>1395</v>
      </c>
      <c r="Y177" s="14" t="str">
        <f>_xll.PLContribFull(E177*100,"BID",X177,"Slot46","TICKER",3,,"Valid")</f>
        <v>-0.120 (12:14:42.753167)</v>
      </c>
      <c r="Z177" s="14" t="str">
        <f>_xll.PLContribFull(L177*100,"ASK",X177,"Slot46","TICKER",3,,"Valid")</f>
        <v>0.680 (12:14:42.786167)</v>
      </c>
      <c r="AA177" s="3" t="s">
        <v>1406</v>
      </c>
      <c r="AB177" s="14" t="str">
        <f>_xll.PLContribFull(F177*100,"BID",AA177,"Slot46","TICKER",3,,"Valid")</f>
        <v>0.230 (12:14:42.780166)</v>
      </c>
      <c r="AC177" s="5" t="str">
        <f>_xll.PLContribFull(M177*100,"ASK",AA177,"Slot46","TICKER",3,,"Valid")</f>
        <v>1.830 (12:14:42.795166)</v>
      </c>
      <c r="AD177" s="16"/>
    </row>
    <row r="178" spans="1:30" x14ac:dyDescent="0.2">
      <c r="A178" s="12" t="s">
        <v>876</v>
      </c>
      <c r="B178" s="11">
        <f>'G7 Cross Input'!Q166</f>
        <v>6.8349999999999994E-2</v>
      </c>
      <c r="C178" s="11">
        <f>'G7 Cross Input'!R166</f>
        <v>-7.0000000000000001E-3</v>
      </c>
      <c r="D178" s="11">
        <f>'G7 Cross Input'!S166</f>
        <v>-1.3000000000000001E-2</v>
      </c>
      <c r="E178" s="11">
        <f>'G7 Cross Input'!T166</f>
        <v>-1.1999999999999997E-3</v>
      </c>
      <c r="F178" s="11">
        <f>'G7 Cross Input'!U166</f>
        <v>2.700000000000001E-3</v>
      </c>
      <c r="G178" s="1"/>
      <c r="H178" s="10" t="s">
        <v>876</v>
      </c>
      <c r="I178" s="11">
        <f>'G7 Cross Input'!X166</f>
        <v>7.9449999999999993E-2</v>
      </c>
      <c r="J178" s="11">
        <f>'G7 Cross Input'!Y166</f>
        <v>5.0000000000000001E-3</v>
      </c>
      <c r="K178" s="11">
        <f>'G7 Cross Input'!Z166</f>
        <v>1.0999999999999999E-2</v>
      </c>
      <c r="L178" s="11">
        <f>'G7 Cross Input'!AA166</f>
        <v>6.8000000000000005E-3</v>
      </c>
      <c r="M178" s="11">
        <f>'G7 Cross Input'!AB166</f>
        <v>1.8700000000000001E-2</v>
      </c>
      <c r="N178" s="1"/>
      <c r="O178" s="3" t="s">
        <v>1363</v>
      </c>
      <c r="P178" s="14" t="str">
        <f>_xll.PLContribFull(B178*100,"BID",O178,"Slot46","TICKER",3,,"Valid")</f>
        <v>6.835 (12:14:42.789167)</v>
      </c>
      <c r="Q178" s="5" t="str">
        <f>_xll.PLContribFull(I178*100,"ASK",O178,"Slot46","TICKER",3,,"Valid")</f>
        <v>7.945 (12:14:42.792167)</v>
      </c>
      <c r="R178" s="3" t="s">
        <v>1374</v>
      </c>
      <c r="S178" s="14" t="str">
        <f>_xll.PLContribFull(C178*100,"BID",R178,"Slot46","TICKER",3,,"Valid")</f>
        <v>-0.700 (12:14:42.782167)</v>
      </c>
      <c r="T178" s="14" t="str">
        <f>_xll.PLContribFull(J178*100,"ASK",R178,"Slot46","TICKER",3,,"Valid")</f>
        <v>0.500 (12:14:42.783166)</v>
      </c>
      <c r="U178" s="3" t="s">
        <v>1385</v>
      </c>
      <c r="V178" s="14" t="str">
        <f>_xll.PLContribFull(D178*100,"BID",U178,"Slot46","TICKER",3,,"Valid")</f>
        <v>-1.300 (12:14:42.786167)</v>
      </c>
      <c r="W178" s="5" t="str">
        <f>_xll.PLContribFull(K178*100,"ASK",U178,"Slot46","TICKER",3,,"Valid")</f>
        <v>1.100 (12:14:42.795166)</v>
      </c>
      <c r="X178" s="3" t="s">
        <v>1396</v>
      </c>
      <c r="Y178" s="14" t="str">
        <f>_xll.PLContribFull(E178*100,"BID",X178,"Slot46","TICKER",3,,"Valid")</f>
        <v>-0.120 (12:14:42.791166)</v>
      </c>
      <c r="Z178" s="14" t="str">
        <f>_xll.PLContribFull(L178*100,"ASK",X178,"Slot46","TICKER",3,,"Valid")</f>
        <v>0.680 (12:14:42.756167)</v>
      </c>
      <c r="AA178" s="3" t="s">
        <v>1407</v>
      </c>
      <c r="AB178" s="14" t="str">
        <f>_xll.PLContribFull(F178*100,"BID",AA178,"Slot46","TICKER",3,,"Valid")</f>
        <v>0.270 (12:14:42.742167)</v>
      </c>
      <c r="AC178" s="5" t="str">
        <f>_xll.PLContribFull(M178*100,"ASK",AA178,"Slot46","TICKER",3,,"Valid")</f>
        <v>1.870 (12:14:42.770167)</v>
      </c>
    </row>
    <row r="181" spans="1:30" s="1" customFormat="1" x14ac:dyDescent="0.25">
      <c r="A181" s="10" t="s">
        <v>946</v>
      </c>
      <c r="B181" s="10"/>
      <c r="C181" s="10"/>
      <c r="D181" s="10"/>
      <c r="E181" s="10"/>
      <c r="F181" s="10"/>
      <c r="O181" s="3" t="s">
        <v>67</v>
      </c>
      <c r="P181" s="15" t="s">
        <v>68</v>
      </c>
      <c r="Q181" s="15"/>
      <c r="R181" s="3" t="s">
        <v>67</v>
      </c>
      <c r="S181" s="15" t="s">
        <v>68</v>
      </c>
      <c r="T181" s="15"/>
      <c r="U181" s="3" t="s">
        <v>67</v>
      </c>
      <c r="V181" s="15" t="s">
        <v>68</v>
      </c>
      <c r="W181" s="15"/>
      <c r="X181" s="3" t="s">
        <v>67</v>
      </c>
      <c r="Y181" s="15" t="s">
        <v>68</v>
      </c>
      <c r="Z181" s="6"/>
      <c r="AA181" s="3" t="s">
        <v>67</v>
      </c>
      <c r="AB181" s="15" t="s">
        <v>68</v>
      </c>
      <c r="AC181" s="6"/>
      <c r="AD181"/>
    </row>
    <row r="182" spans="1:30" s="1" customFormat="1" ht="14.25" x14ac:dyDescent="0.25">
      <c r="A182" s="12" t="s">
        <v>331</v>
      </c>
      <c r="B182" s="12" t="s">
        <v>0</v>
      </c>
      <c r="C182" s="12" t="s">
        <v>1</v>
      </c>
      <c r="D182" s="12" t="s">
        <v>2</v>
      </c>
      <c r="E182" s="12" t="s">
        <v>3</v>
      </c>
      <c r="F182" s="12" t="s">
        <v>4</v>
      </c>
      <c r="H182" s="10" t="s">
        <v>16</v>
      </c>
      <c r="I182" s="10" t="s">
        <v>0</v>
      </c>
      <c r="J182" s="10" t="s">
        <v>1</v>
      </c>
      <c r="K182" s="10" t="s">
        <v>2</v>
      </c>
      <c r="L182" s="10" t="s">
        <v>3</v>
      </c>
      <c r="M182" s="10" t="s">
        <v>4</v>
      </c>
      <c r="O182" s="3" t="s">
        <v>66</v>
      </c>
      <c r="P182" s="13" t="s">
        <v>15</v>
      </c>
      <c r="Q182" s="13" t="s">
        <v>16</v>
      </c>
      <c r="R182" s="3" t="s">
        <v>1</v>
      </c>
      <c r="S182" s="13" t="s">
        <v>15</v>
      </c>
      <c r="T182" s="13" t="s">
        <v>16</v>
      </c>
      <c r="U182" s="3" t="s">
        <v>2</v>
      </c>
      <c r="V182" s="13" t="s">
        <v>15</v>
      </c>
      <c r="W182" s="13" t="s">
        <v>16</v>
      </c>
      <c r="X182" s="3" t="s">
        <v>3</v>
      </c>
      <c r="Y182" s="13" t="s">
        <v>15</v>
      </c>
      <c r="Z182" s="4" t="s">
        <v>16</v>
      </c>
      <c r="AA182" s="3" t="s">
        <v>4</v>
      </c>
      <c r="AB182" s="13" t="s">
        <v>15</v>
      </c>
      <c r="AC182" s="4" t="s">
        <v>16</v>
      </c>
      <c r="AD182" s="2"/>
    </row>
    <row r="183" spans="1:30" s="1" customFormat="1" x14ac:dyDescent="0.2">
      <c r="A183" s="12" t="s">
        <v>5</v>
      </c>
      <c r="B183" s="11">
        <f>'G7 Cross Input'!Q170</f>
        <v>4.7449999999999992E-2</v>
      </c>
      <c r="C183" s="11">
        <f>'G7 Cross Input'!R170</f>
        <v>-1.95E-2</v>
      </c>
      <c r="D183" s="11">
        <f>'G7 Cross Input'!S170</f>
        <v>-3.8699999999999998E-2</v>
      </c>
      <c r="E183" s="11">
        <f>'G7 Cross Input'!T170</f>
        <v>-9.5000000000000015E-3</v>
      </c>
      <c r="F183" s="11">
        <f>'G7 Cross Input'!U170</f>
        <v>-1.6500000000000001E-2</v>
      </c>
      <c r="H183" s="10" t="s">
        <v>5</v>
      </c>
      <c r="I183" s="11">
        <f>'G7 Cross Input'!X170</f>
        <v>0.10894999999999999</v>
      </c>
      <c r="J183" s="11">
        <f>'G7 Cross Input'!Y170</f>
        <v>1.2500000000000001E-2</v>
      </c>
      <c r="K183" s="11">
        <f>'G7 Cross Input'!Z170</f>
        <v>2.53E-2</v>
      </c>
      <c r="L183" s="11">
        <f>'G7 Cross Input'!AA170</f>
        <v>1.2500000000000001E-2</v>
      </c>
      <c r="M183" s="11">
        <f>'G7 Cross Input'!AB170</f>
        <v>2.7500000000000004E-2</v>
      </c>
      <c r="O183" s="3" t="s">
        <v>1408</v>
      </c>
      <c r="P183" s="14" t="str">
        <f>_xll.PLContribFull(B183*100,"BID",O183,"Slot46","TICKER",3,,"Valid")</f>
        <v>4.745 (12:14:42.782167)</v>
      </c>
      <c r="Q183" s="5" t="str">
        <f>_xll.PLContribFull(I183*100,"ASK",O183,"Slot46","TICKER",3,,"Valid")</f>
        <v>10.895 (12:14:42.797167)</v>
      </c>
      <c r="R183" s="3" t="s">
        <v>1419</v>
      </c>
      <c r="S183" s="14" t="str">
        <f>_xll.PLContribFull(C183*100,"BID",R183,"Slot46","TICKER",3,,"Valid")</f>
        <v>-1.950 (12:14:42.754169)</v>
      </c>
      <c r="T183" s="14" t="str">
        <f>_xll.PLContribFull(J183*100,"ASK",R183,"Slot46","TICKER",3,,"Valid")</f>
        <v>1.250 (12:14:42.799167)</v>
      </c>
      <c r="U183" s="3" t="s">
        <v>1430</v>
      </c>
      <c r="V183" s="14" t="str">
        <f>_xll.PLContribFull(D183*100,"BID",U183,"Slot46","TICKER",3,,"Valid")</f>
        <v>-3.870 (12:14:42.793169)</v>
      </c>
      <c r="W183" s="5" t="str">
        <f>_xll.PLContribFull(K183*100,"ASK",U183,"Slot46","TICKER",3,,"Valid")</f>
        <v>2.530 (12:14:42.784167)</v>
      </c>
      <c r="X183" s="3" t="s">
        <v>1441</v>
      </c>
      <c r="Y183" s="14" t="str">
        <f>_xll.PLContribFull(E183*100,"BID",X183,"Slot46","TICKER",3,,"Valid")</f>
        <v>-0.950 (12:14:42.783166)</v>
      </c>
      <c r="Z183" s="14" t="str">
        <f>_xll.PLContribFull(L183*100,"ASK",X183,"Slot46","TICKER",3,,"Valid")</f>
        <v>1.250 (12:14:42.790167)</v>
      </c>
      <c r="AA183" s="3" t="s">
        <v>1452</v>
      </c>
      <c r="AB183" s="14" t="str">
        <f>_xll.PLContribFull(F183*100,"BID",AA183,"Slot46","TICKER",3,,"Valid")</f>
        <v>-1.650 (12:14:42.744167)</v>
      </c>
      <c r="AC183" s="5" t="str">
        <f>_xll.PLContribFull(M183*100,"ASK",AA183,"Slot46","TICKER",3,,"Valid")</f>
        <v>2.750 (12:14:42.798166)</v>
      </c>
      <c r="AD183" s="16"/>
    </row>
    <row r="184" spans="1:30" s="1" customFormat="1" x14ac:dyDescent="0.2">
      <c r="A184" s="12" t="s">
        <v>6</v>
      </c>
      <c r="B184" s="11">
        <f>'G7 Cross Input'!Q171</f>
        <v>5.1900000000000002E-2</v>
      </c>
      <c r="C184" s="11">
        <f>'G7 Cross Input'!R171</f>
        <v>-7.7000000000000002E-3</v>
      </c>
      <c r="D184" s="11">
        <f>'G7 Cross Input'!S171</f>
        <v>-1.52E-2</v>
      </c>
      <c r="E184" s="11">
        <f>'G7 Cross Input'!T171</f>
        <v>-2.3E-3</v>
      </c>
      <c r="F184" s="11">
        <f>'G7 Cross Input'!U171</f>
        <v>-2.6999999999999993E-3</v>
      </c>
      <c r="H184" s="10" t="s">
        <v>6</v>
      </c>
      <c r="I184" s="11">
        <f>'G7 Cross Input'!X171</f>
        <v>6.9099999999999995E-2</v>
      </c>
      <c r="J184" s="11">
        <f>'G7 Cross Input'!Y171</f>
        <v>2.3E-3</v>
      </c>
      <c r="K184" s="11">
        <f>'G7 Cross Input'!Z171</f>
        <v>4.8000000000000004E-3</v>
      </c>
      <c r="L184" s="11">
        <f>'G7 Cross Input'!AA171</f>
        <v>4.6999999999999993E-3</v>
      </c>
      <c r="M184" s="11">
        <f>'G7 Cross Input'!AB171</f>
        <v>1.1299999999999999E-2</v>
      </c>
      <c r="O184" s="3" t="s">
        <v>1409</v>
      </c>
      <c r="P184" s="14" t="str">
        <f>_xll.PLContribFull(B184*100,"BID",O184,"Slot46","TICKER",3,,"Valid")</f>
        <v>5.190 (12:14:42.791166)</v>
      </c>
      <c r="Q184" s="5" t="str">
        <f>_xll.PLContribFull(I184*100,"ASK",O184,"Slot46","TICKER",3,,"Valid")</f>
        <v>6.910 (12:14:42.782167)</v>
      </c>
      <c r="R184" s="3" t="s">
        <v>1420</v>
      </c>
      <c r="S184" s="14" t="str">
        <f>_xll.PLContribFull(C184*100,"BID",R184,"Slot46","TICKER",3,,"Valid")</f>
        <v>-0.770 (12:14:42.789167)</v>
      </c>
      <c r="T184" s="14" t="str">
        <f>_xll.PLContribFull(J184*100,"ASK",R184,"Slot46","TICKER",3,,"Valid")</f>
        <v>0.230 (12:14:42.793169)</v>
      </c>
      <c r="U184" s="3" t="s">
        <v>1431</v>
      </c>
      <c r="V184" s="14" t="str">
        <f>_xll.PLContribFull(D184*100,"BID",U184,"Slot46","TICKER",3,,"Valid")</f>
        <v>-1.520 (12:14:42.755167)</v>
      </c>
      <c r="W184" s="5" t="str">
        <f>_xll.PLContribFull(K184*100,"ASK",U184,"Slot46","TICKER",3,,"Valid")</f>
        <v>0.480 (12:14:42.782167)</v>
      </c>
      <c r="X184" s="3" t="s">
        <v>1442</v>
      </c>
      <c r="Y184" s="14" t="str">
        <f>_xll.PLContribFull(E184*100,"BID",X184,"Slot46","TICKER",3,,"Valid")</f>
        <v>-0.230 (12:14:42.782167)</v>
      </c>
      <c r="Z184" s="14" t="str">
        <f>_xll.PLContribFull(L184*100,"ASK",X184,"Slot46","TICKER",3,,"Valid")</f>
        <v>0.470 (12:14:42.744167)</v>
      </c>
      <c r="AA184" s="3" t="s">
        <v>1453</v>
      </c>
      <c r="AB184" s="14" t="str">
        <f>_xll.PLContribFull(F184*100,"BID",AA184,"Slot46","TICKER",3,,"Valid")</f>
        <v>-0.270 (12:14:42.786167)</v>
      </c>
      <c r="AC184" s="5" t="str">
        <f>_xll.PLContribFull(M184*100,"ASK",AA184,"Slot46","TICKER",3,,"Valid")</f>
        <v>1.130 (12:14:42.786167)</v>
      </c>
      <c r="AD184" s="16"/>
    </row>
    <row r="185" spans="1:30" s="1" customFormat="1" x14ac:dyDescent="0.2">
      <c r="A185" s="12" t="s">
        <v>7</v>
      </c>
      <c r="B185" s="11">
        <f>'G7 Cross Input'!Q172</f>
        <v>5.1950000000000003E-2</v>
      </c>
      <c r="C185" s="11">
        <f>'G7 Cross Input'!R172</f>
        <v>-6.1999999999999998E-3</v>
      </c>
      <c r="D185" s="11">
        <f>'G7 Cross Input'!S172</f>
        <v>-1.21E-2</v>
      </c>
      <c r="E185" s="11">
        <f>'G7 Cross Input'!T172</f>
        <v>-1.4E-3</v>
      </c>
      <c r="F185" s="11">
        <f>'G7 Cross Input'!U172</f>
        <v>-9.0000000000000063E-4</v>
      </c>
      <c r="H185" s="10" t="s">
        <v>7</v>
      </c>
      <c r="I185" s="11">
        <f>'G7 Cross Input'!X172</f>
        <v>6.2450000000000006E-2</v>
      </c>
      <c r="J185" s="11">
        <f>'G7 Cross Input'!Y172</f>
        <v>7.999999999999995E-4</v>
      </c>
      <c r="K185" s="11">
        <f>'G7 Cross Input'!Z172</f>
        <v>1.8999999999999989E-3</v>
      </c>
      <c r="L185" s="11">
        <f>'G7 Cross Input'!AA172</f>
        <v>3.5999999999999999E-3</v>
      </c>
      <c r="M185" s="11">
        <f>'G7 Cross Input'!AB172</f>
        <v>9.1000000000000004E-3</v>
      </c>
      <c r="O185" s="3" t="s">
        <v>1410</v>
      </c>
      <c r="P185" s="14" t="str">
        <f>_xll.PLContribFull(B185*100,"BID",O185,"Slot46","TICKER",3,,"Valid")</f>
        <v>5.195 (12:14:42.783166)</v>
      </c>
      <c r="Q185" s="5" t="str">
        <f>_xll.PLContribFull(I185*100,"ASK",O185,"Slot46","TICKER",3,,"Valid")</f>
        <v>6.245 (12:14:42.780166)</v>
      </c>
      <c r="R185" s="3" t="s">
        <v>1421</v>
      </c>
      <c r="S185" s="14" t="str">
        <f>_xll.PLContribFull(C185*100,"BID",R185,"Slot46","TICKER",3,,"Valid")</f>
        <v>-0.620 (12:14:42.782167)</v>
      </c>
      <c r="T185" s="14" t="str">
        <f>_xll.PLContribFull(J185*100,"ASK",R185,"Slot46","TICKER",3,,"Valid")</f>
        <v>0.080 (12:14:42.756167)</v>
      </c>
      <c r="U185" s="3" t="s">
        <v>1432</v>
      </c>
      <c r="V185" s="14" t="str">
        <f>_xll.PLContribFull(D185*100,"BID",U185,"Slot46","TICKER",3,,"Valid")</f>
        <v>-1.210 (12:14:42.792167)</v>
      </c>
      <c r="W185" s="5" t="str">
        <f>_xll.PLContribFull(K185*100,"ASK",U185,"Slot46","TICKER",3,,"Valid")</f>
        <v>0.190 (12:14:42.792167)</v>
      </c>
      <c r="X185" s="3" t="s">
        <v>1443</v>
      </c>
      <c r="Y185" s="14" t="str">
        <f>_xll.PLContribFull(E185*100,"BID",X185,"Slot46","TICKER",3,,"Valid")</f>
        <v>-0.140 (12:14:42.792167)</v>
      </c>
      <c r="Z185" s="14" t="str">
        <f>_xll.PLContribFull(L185*100,"ASK",X185,"Slot46","TICKER",3,,"Valid")</f>
        <v>0.360 (12:14:42.782167)</v>
      </c>
      <c r="AA185" s="3" t="s">
        <v>1454</v>
      </c>
      <c r="AB185" s="14" t="str">
        <f>_xll.PLContribFull(F185*100,"BID",AA185,"Slot46","TICKER",3,,"Valid")</f>
        <v>-0.090 (12:14:42.782167)</v>
      </c>
      <c r="AC185" s="5" t="str">
        <f>_xll.PLContribFull(M185*100,"ASK",AA185,"Slot46","TICKER",3,,"Valid")</f>
        <v>0.910 (12:14:42.780166)</v>
      </c>
      <c r="AD185" s="16"/>
    </row>
    <row r="186" spans="1:30" s="1" customFormat="1" x14ac:dyDescent="0.2">
      <c r="A186" s="12" t="s">
        <v>8</v>
      </c>
      <c r="B186" s="11">
        <f>'G7 Cross Input'!Q173</f>
        <v>5.4449999999999991E-2</v>
      </c>
      <c r="C186" s="11">
        <f>'G7 Cross Input'!R173</f>
        <v>-5.4999999999999997E-3</v>
      </c>
      <c r="D186" s="11">
        <f>'G7 Cross Input'!S173</f>
        <v>-1.0800000000000001E-2</v>
      </c>
      <c r="E186" s="11">
        <f>'G7 Cross Input'!T173</f>
        <v>-5.4999999999999992E-4</v>
      </c>
      <c r="F186" s="11">
        <f>'G7 Cross Input'!U173</f>
        <v>9.0000000000000063E-4</v>
      </c>
      <c r="H186" s="10" t="s">
        <v>8</v>
      </c>
      <c r="I186" s="11">
        <f>'G7 Cross Input'!X173</f>
        <v>6.094999999999999E-2</v>
      </c>
      <c r="J186" s="11">
        <f>'G7 Cross Input'!Y173</f>
        <v>-5.0000000000000001E-4</v>
      </c>
      <c r="K186" s="11">
        <f>'G7 Cross Input'!Z173</f>
        <v>-7.999999999999995E-4</v>
      </c>
      <c r="L186" s="11">
        <f>'G7 Cross Input'!AA173</f>
        <v>2.9499999999999995E-3</v>
      </c>
      <c r="M186" s="11">
        <f>'G7 Cross Input'!AB173</f>
        <v>7.9000000000000008E-3</v>
      </c>
      <c r="O186" s="3" t="s">
        <v>1411</v>
      </c>
      <c r="P186" s="14" t="str">
        <f>_xll.PLContribFull(B186*100,"BID",O186,"Slot46","TICKER",3,,"Valid")</f>
        <v>5.445 (12:14:42.783166)</v>
      </c>
      <c r="Q186" s="5" t="str">
        <f>_xll.PLContribFull(I186*100,"ASK",O186,"Slot46","TICKER",3,,"Valid")</f>
        <v>6.095 (12:14:42.787167)</v>
      </c>
      <c r="R186" s="3" t="s">
        <v>1422</v>
      </c>
      <c r="S186" s="14" t="str">
        <f>_xll.PLContribFull(C186*100,"BID",R186,"Slot46","TICKER",3,,"Valid")</f>
        <v>-0.550 (12:14:42.796169)</v>
      </c>
      <c r="T186" s="14" t="str">
        <f>_xll.PLContribFull(J186*100,"ASK",R186,"Slot46","TICKER",3,,"Valid")</f>
        <v>-0.050 (12:14:42.754169)</v>
      </c>
      <c r="U186" s="3" t="s">
        <v>1433</v>
      </c>
      <c r="V186" s="14" t="str">
        <f>_xll.PLContribFull(D186*100,"BID",U186,"Slot46","TICKER",3,,"Valid")</f>
        <v>-1.080 (12:14:42.793169)</v>
      </c>
      <c r="W186" s="5" t="str">
        <f>_xll.PLContribFull(K186*100,"ASK",U186,"Slot46","TICKER",3,,"Valid")</f>
        <v>-0.080 (12:14:42.791166)</v>
      </c>
      <c r="X186" s="3" t="s">
        <v>1444</v>
      </c>
      <c r="Y186" s="14" t="str">
        <f>_xll.PLContribFull(E186*100,"BID",X186,"Slot46","TICKER",3,,"Valid")</f>
        <v>-0.055 (12:14:42.786167)</v>
      </c>
      <c r="Z186" s="14" t="str">
        <f>_xll.PLContribFull(L186*100,"ASK",X186,"Slot46","TICKER",3,,"Valid")</f>
        <v>0.295 (12:14:42.795166)</v>
      </c>
      <c r="AA186" s="3" t="s">
        <v>1455</v>
      </c>
      <c r="AB186" s="14" t="str">
        <f>_xll.PLContribFull(F186*100,"BID",AA186,"Slot46","TICKER",3,,"Valid")</f>
        <v>0.090 (12:14:42.786167)</v>
      </c>
      <c r="AC186" s="5" t="str">
        <f>_xll.PLContribFull(M186*100,"ASK",AA186,"Slot46","TICKER",3,,"Valid")</f>
        <v>0.790 (12:14:42.791166)</v>
      </c>
      <c r="AD186" s="16"/>
    </row>
    <row r="187" spans="1:30" s="1" customFormat="1" x14ac:dyDescent="0.2">
      <c r="A187" s="12" t="s">
        <v>9</v>
      </c>
      <c r="B187" s="11">
        <f>'G7 Cross Input'!Q174</f>
        <v>5.7749999999999989E-2</v>
      </c>
      <c r="C187" s="11">
        <f>'G7 Cross Input'!R174</f>
        <v>-6.0000000000000001E-3</v>
      </c>
      <c r="D187" s="11">
        <f>'G7 Cross Input'!S174</f>
        <v>-1.17E-2</v>
      </c>
      <c r="E187" s="11">
        <f>'G7 Cross Input'!T174</f>
        <v>-3.4999999999999962E-4</v>
      </c>
      <c r="F187" s="11">
        <f>'G7 Cross Input'!U174</f>
        <v>1.8000000000000004E-3</v>
      </c>
      <c r="H187" s="10" t="s">
        <v>9</v>
      </c>
      <c r="I187" s="11">
        <f>'G7 Cross Input'!X174</f>
        <v>6.3649999999999984E-2</v>
      </c>
      <c r="J187" s="11">
        <f>'G7 Cross Input'!Y174</f>
        <v>-9.9999999999999959E-4</v>
      </c>
      <c r="K187" s="11">
        <f>'G7 Cross Input'!Z174</f>
        <v>-1.7000000000000001E-3</v>
      </c>
      <c r="L187" s="11">
        <f>'G7 Cross Input'!AA174</f>
        <v>3.15E-3</v>
      </c>
      <c r="M187" s="11">
        <f>'G7 Cross Input'!AB174</f>
        <v>8.7999999999999988E-3</v>
      </c>
      <c r="O187" s="3" t="s">
        <v>1412</v>
      </c>
      <c r="P187" s="14" t="str">
        <f>_xll.PLContribFull(B187*100,"BID",O187,"Slot46","TICKER",3,,"Valid")</f>
        <v>5.775 (12:14:42.791166)</v>
      </c>
      <c r="Q187" s="5" t="str">
        <f>_xll.PLContribFull(I187*100,"ASK",O187,"Slot46","TICKER",3,,"Valid")</f>
        <v>6.365 (12:14:42.795166)</v>
      </c>
      <c r="R187" s="3" t="s">
        <v>1423</v>
      </c>
      <c r="S187" s="14" t="str">
        <f>_xll.PLContribFull(C187*100,"BID",R187,"Slot46","TICKER",3,,"Valid")</f>
        <v>-0.600 (12:14:42.796169)</v>
      </c>
      <c r="T187" s="14" t="str">
        <f>_xll.PLContribFull(J187*100,"ASK",R187,"Slot46","TICKER",3,,"Valid")</f>
        <v>-0.100 (12:14:42.785170)</v>
      </c>
      <c r="U187" s="3" t="s">
        <v>1434</v>
      </c>
      <c r="V187" s="14" t="str">
        <f>_xll.PLContribFull(D187*100,"BID",U187,"Slot46","TICKER",3,,"Valid")</f>
        <v>-1.170 (12:14:42.786167)</v>
      </c>
      <c r="W187" s="5" t="str">
        <f>_xll.PLContribFull(K187*100,"ASK",U187,"Slot46","TICKER",3,,"Valid")</f>
        <v>-0.170 (12:14:42.789167)</v>
      </c>
      <c r="X187" s="3" t="s">
        <v>1445</v>
      </c>
      <c r="Y187" s="14" t="str">
        <f>_xll.PLContribFull(E187*100,"BID",X187,"Slot46","TICKER",3,,"Valid")</f>
        <v>-0.035 (12:14:42.754169)</v>
      </c>
      <c r="Z187" s="14" t="str">
        <f>_xll.PLContribFull(L187*100,"ASK",X187,"Slot46","TICKER",3,,"Valid")</f>
        <v>0.315 (12:14:42.793169)</v>
      </c>
      <c r="AA187" s="3" t="s">
        <v>1456</v>
      </c>
      <c r="AB187" s="14" t="str">
        <f>_xll.PLContribFull(F187*100,"BID",AA187,"Slot46","TICKER",3,,"Valid")</f>
        <v>0.180 (12:14:42.752166)</v>
      </c>
      <c r="AC187" s="5" t="str">
        <f>_xll.PLContribFull(M187*100,"ASK",AA187,"Slot46","TICKER",3,,"Valid")</f>
        <v>0.880 (12:14:42.791166)</v>
      </c>
      <c r="AD187" s="16"/>
    </row>
    <row r="188" spans="1:30" s="1" customFormat="1" x14ac:dyDescent="0.2">
      <c r="A188" s="12" t="s">
        <v>10</v>
      </c>
      <c r="B188" s="11">
        <f>'G7 Cross Input'!Q175</f>
        <v>5.8049999999999997E-2</v>
      </c>
      <c r="C188" s="11">
        <f>'G7 Cross Input'!R175</f>
        <v>-6.3E-3</v>
      </c>
      <c r="D188" s="11">
        <f>'G7 Cross Input'!S175</f>
        <v>-1.23E-2</v>
      </c>
      <c r="E188" s="11">
        <f>'G7 Cross Input'!T175</f>
        <v>-1.4999999999999974E-4</v>
      </c>
      <c r="F188" s="11">
        <f>'G7 Cross Input'!U175</f>
        <v>2.5000000000000005E-3</v>
      </c>
      <c r="H188" s="10" t="s">
        <v>10</v>
      </c>
      <c r="I188" s="11">
        <f>'G7 Cross Input'!X175</f>
        <v>6.3949999999999993E-2</v>
      </c>
      <c r="J188" s="11">
        <f>'G7 Cross Input'!Y175</f>
        <v>-1.2999999999999999E-3</v>
      </c>
      <c r="K188" s="11">
        <f>'G7 Cross Input'!Z175</f>
        <v>-2.3E-3</v>
      </c>
      <c r="L188" s="11">
        <f>'G7 Cross Input'!AA175</f>
        <v>3.3499999999999997E-3</v>
      </c>
      <c r="M188" s="11">
        <f>'G7 Cross Input'!AB175</f>
        <v>9.4999999999999998E-3</v>
      </c>
      <c r="O188" s="3" t="s">
        <v>1413</v>
      </c>
      <c r="P188" s="14" t="str">
        <f>_xll.PLContribFull(B188*100,"BID",O188,"Slot46","TICKER",3,,"Valid")</f>
        <v>5.805 (12:14:42.796169)</v>
      </c>
      <c r="Q188" s="5" t="str">
        <f>_xll.PLContribFull(I188*100,"ASK",O188,"Slot46","TICKER",3,,"Valid")</f>
        <v>6.395 (12:14:42.789167)</v>
      </c>
      <c r="R188" s="3" t="s">
        <v>1424</v>
      </c>
      <c r="S188" s="14" t="str">
        <f>_xll.PLContribFull(C188*100,"BID",R188,"Slot46","TICKER",3,,"Valid")</f>
        <v>-0.630 (12:14:42.743167)</v>
      </c>
      <c r="T188" s="14" t="str">
        <f>_xll.PLContribFull(J188*100,"ASK",R188,"Slot46","TICKER",3,,"Valid")</f>
        <v>-0.130 (12:14:42.790167)</v>
      </c>
      <c r="U188" s="3" t="s">
        <v>1435</v>
      </c>
      <c r="V188" s="14" t="str">
        <f>_xll.PLContribFull(D188*100,"BID",U188,"Slot46","TICKER",3,,"Valid")</f>
        <v>-1.230 (12:14:42.797167)</v>
      </c>
      <c r="W188" s="5" t="str">
        <f>_xll.PLContribFull(K188*100,"ASK",U188,"Slot46","TICKER",3,,"Valid")</f>
        <v>-0.230 (12:14:42.782167)</v>
      </c>
      <c r="X188" s="3" t="s">
        <v>1446</v>
      </c>
      <c r="Y188" s="14" t="str">
        <f>_xll.PLContribFull(E188*100,"BID",X188,"Slot46","TICKER",3,,"Valid")</f>
        <v>-0.015 (12:14:42.792167)</v>
      </c>
      <c r="Z188" s="14" t="str">
        <f>_xll.PLContribFull(L188*100,"ASK",X188,"Slot46","TICKER",3,,"Valid")</f>
        <v>0.335 (12:14:42.793169)</v>
      </c>
      <c r="AA188" s="3" t="s">
        <v>1457</v>
      </c>
      <c r="AB188" s="14" t="str">
        <f>_xll.PLContribFull(F188*100,"BID",AA188,"Slot46","TICKER",3,,"Valid")</f>
        <v>0.250 (12:14:42.795166)</v>
      </c>
      <c r="AC188" s="5" t="str">
        <f>_xll.PLContribFull(M188*100,"ASK",AA188,"Slot46","TICKER",3,,"Valid")</f>
        <v>0.950 (12:14:42.789167)</v>
      </c>
      <c r="AD188" s="16"/>
    </row>
    <row r="189" spans="1:30" s="1" customFormat="1" x14ac:dyDescent="0.2">
      <c r="A189" s="12" t="s">
        <v>11</v>
      </c>
      <c r="B189" s="11">
        <f>'G7 Cross Input'!Q176</f>
        <v>5.7450000000000001E-2</v>
      </c>
      <c r="C189" s="11">
        <f>'G7 Cross Input'!R176</f>
        <v>-6.8000000000000005E-3</v>
      </c>
      <c r="D189" s="11">
        <f>'G7 Cross Input'!S176</f>
        <v>-1.3299999999999999E-2</v>
      </c>
      <c r="E189" s="11">
        <f>'G7 Cross Input'!T176</f>
        <v>-4.9999999999999697E-5</v>
      </c>
      <c r="F189" s="11">
        <f>'G7 Cross Input'!U176</f>
        <v>3.2000000000000006E-3</v>
      </c>
      <c r="H189" s="10" t="s">
        <v>11</v>
      </c>
      <c r="I189" s="11">
        <f>'G7 Cross Input'!X176</f>
        <v>6.4950000000000008E-2</v>
      </c>
      <c r="J189" s="11">
        <f>'G7 Cross Input'!Y176</f>
        <v>-1.8E-3</v>
      </c>
      <c r="K189" s="11">
        <f>'G7 Cross Input'!Z176</f>
        <v>-3.3E-3</v>
      </c>
      <c r="L189" s="11">
        <f>'G7 Cross Input'!AA176</f>
        <v>3.4499999999999999E-3</v>
      </c>
      <c r="M189" s="11">
        <f>'G7 Cross Input'!AB176</f>
        <v>1.0200000000000001E-2</v>
      </c>
      <c r="O189" s="3" t="s">
        <v>1414</v>
      </c>
      <c r="P189" s="14" t="str">
        <f>_xll.PLContribFull(B189*100,"BID",O189,"Slot46","TICKER",3,,"Valid")</f>
        <v>5.745 (12:14:42.787167)</v>
      </c>
      <c r="Q189" s="5" t="str">
        <f>_xll.PLContribFull(I189*100,"ASK",O189,"Slot46","TICKER",3,,"Valid")</f>
        <v>6.495 (12:14:42.798166)</v>
      </c>
      <c r="R189" s="3" t="s">
        <v>1425</v>
      </c>
      <c r="S189" s="14" t="str">
        <f>_xll.PLContribFull(C189*100,"BID",R189,"Slot46","TICKER",3,,"Valid")</f>
        <v>-0.680 (12:14:42.792167)</v>
      </c>
      <c r="T189" s="14" t="str">
        <f>_xll.PLContribFull(J189*100,"ASK",R189,"Slot46","TICKER",3,,"Valid")</f>
        <v>-0.180 (12:14:42.747168)</v>
      </c>
      <c r="U189" s="3" t="s">
        <v>1436</v>
      </c>
      <c r="V189" s="14" t="str">
        <f>_xll.PLContribFull(D189*100,"BID",U189,"Slot46","TICKER",3,,"Valid")</f>
        <v>-1.330 (12:14:42.784167)</v>
      </c>
      <c r="W189" s="5" t="str">
        <f>_xll.PLContribFull(K189*100,"ASK",U189,"Slot46","TICKER",3,,"Valid")</f>
        <v>-0.330 (12:14:42.751168)</v>
      </c>
      <c r="X189" s="3" t="s">
        <v>1447</v>
      </c>
      <c r="Y189" s="14" t="str">
        <f>_xll.PLContribFull(E189*100,"BID",X189,"Slot46","TICKER",3,,"Valid")</f>
        <v>-0.005 (12:14:42.793169)</v>
      </c>
      <c r="Z189" s="14" t="str">
        <f>_xll.PLContribFull(L189*100,"ASK",X189,"Slot46","TICKER",3,,"Valid")</f>
        <v>0.345 (12:14:42.741170)</v>
      </c>
      <c r="AA189" s="3" t="s">
        <v>1458</v>
      </c>
      <c r="AB189" s="14" t="str">
        <f>_xll.PLContribFull(F189*100,"BID",AA189,"Slot46","TICKER",3,,"Valid")</f>
        <v>0.320 (12:14:42.788167)</v>
      </c>
      <c r="AC189" s="5" t="str">
        <f>_xll.PLContribFull(M189*100,"ASK",AA189,"Slot46","TICKER",3,,"Valid")</f>
        <v>1.020 (12:14:42.797167)</v>
      </c>
      <c r="AD189" s="16"/>
    </row>
    <row r="190" spans="1:30" s="1" customFormat="1" x14ac:dyDescent="0.2">
      <c r="A190" s="12" t="s">
        <v>12</v>
      </c>
      <c r="B190" s="11">
        <f>'G7 Cross Input'!Q177</f>
        <v>5.8199999999999988E-2</v>
      </c>
      <c r="C190" s="11">
        <f>'G7 Cross Input'!R177</f>
        <v>-7.2999999999999992E-3</v>
      </c>
      <c r="D190" s="11">
        <f>'G7 Cross Input'!S177</f>
        <v>-1.4499999999999999E-2</v>
      </c>
      <c r="E190" s="11">
        <f>'G7 Cross Input'!T177</f>
        <v>1.5000000000000018E-4</v>
      </c>
      <c r="F190" s="11">
        <f>'G7 Cross Input'!U177</f>
        <v>4.1000000000000003E-3</v>
      </c>
      <c r="H190" s="10" t="s">
        <v>12</v>
      </c>
      <c r="I190" s="11">
        <f>'G7 Cross Input'!X177</f>
        <v>6.6199999999999995E-2</v>
      </c>
      <c r="J190" s="11">
        <f>'G7 Cross Input'!Y177</f>
        <v>-2.2999999999999995E-3</v>
      </c>
      <c r="K190" s="11">
        <f>'G7 Cross Input'!Z177</f>
        <v>-4.4999999999999997E-3</v>
      </c>
      <c r="L190" s="11">
        <f>'G7 Cross Input'!AA177</f>
        <v>3.6499999999999996E-3</v>
      </c>
      <c r="M190" s="11">
        <f>'G7 Cross Input'!AB177</f>
        <v>1.1099999999999999E-2</v>
      </c>
      <c r="O190" s="3" t="s">
        <v>1415</v>
      </c>
      <c r="P190" s="14" t="str">
        <f>_xll.PLContribFull(B190*100,"BID",O190,"Slot46","TICKER",3,,"Valid")</f>
        <v>5.820 (12:14:42.797167)</v>
      </c>
      <c r="Q190" s="5" t="str">
        <f>_xll.PLContribFull(I190*100,"ASK",O190,"Slot46","TICKER",3,,"Valid")</f>
        <v>6.620 (12:14:42.747168)</v>
      </c>
      <c r="R190" s="3" t="s">
        <v>1426</v>
      </c>
      <c r="S190" s="14" t="str">
        <f>_xll.PLContribFull(C190*100,"BID",R190,"Slot46","TICKER",3,,"Valid")</f>
        <v>-0.730 (12:14:42.783166)</v>
      </c>
      <c r="T190" s="14" t="str">
        <f>_xll.PLContribFull(J190*100,"ASK",R190,"Slot46","TICKER",3,,"Valid")</f>
        <v>-0.230 (12:14:42.747168)</v>
      </c>
      <c r="U190" s="3" t="s">
        <v>1437</v>
      </c>
      <c r="V190" s="14" t="str">
        <f>_xll.PLContribFull(D190*100,"BID",U190,"Slot46","TICKER",3,,"Valid")</f>
        <v>-1.450 (12:14:42.796169)</v>
      </c>
      <c r="W190" s="5" t="str">
        <f>_xll.PLContribFull(K190*100,"ASK",U190,"Slot46","TICKER",3,,"Valid")</f>
        <v>-0.450 (12:14:42.749167)</v>
      </c>
      <c r="X190" s="3" t="s">
        <v>1448</v>
      </c>
      <c r="Y190" s="14" t="str">
        <f>_xll.PLContribFull(E190*100,"BID",X190,"Slot46","TICKER",3,,"Valid")</f>
        <v>0.015 (12:14:42.790167)</v>
      </c>
      <c r="Z190" s="14" t="str">
        <f>_xll.PLContribFull(L190*100,"ASK",X190,"Slot46","TICKER",3,,"Valid")</f>
        <v>0.365 (12:14:42.780166)</v>
      </c>
      <c r="AA190" s="3" t="s">
        <v>1459</v>
      </c>
      <c r="AB190" s="14" t="str">
        <f>_xll.PLContribFull(F190*100,"BID",AA190,"Slot46","TICKER",3,,"Valid")</f>
        <v>0.410 (12:14:42.794168)</v>
      </c>
      <c r="AC190" s="5" t="str">
        <f>_xll.PLContribFull(M190*100,"ASK",AA190,"Slot46","TICKER",3,,"Valid")</f>
        <v>1.110 (12:14:42.789167)</v>
      </c>
      <c r="AD190" s="16"/>
    </row>
    <row r="191" spans="1:30" s="1" customFormat="1" x14ac:dyDescent="0.2">
      <c r="A191" s="12" t="s">
        <v>13</v>
      </c>
      <c r="B191" s="11">
        <f>'G7 Cross Input'!Q178</f>
        <v>5.9749999999999998E-2</v>
      </c>
      <c r="C191" s="11">
        <f>'G7 Cross Input'!R178</f>
        <v>-8.0000000000000002E-3</v>
      </c>
      <c r="D191" s="11">
        <f>'G7 Cross Input'!S178</f>
        <v>-1.5700000000000002E-2</v>
      </c>
      <c r="E191" s="11">
        <f>'G7 Cross Input'!T178</f>
        <v>3.5000000000000005E-4</v>
      </c>
      <c r="F191" s="11">
        <f>'G7 Cross Input'!U178</f>
        <v>5.1000000000000004E-3</v>
      </c>
      <c r="H191" s="10" t="s">
        <v>13</v>
      </c>
      <c r="I191" s="11">
        <f>'G7 Cross Input'!X178</f>
        <v>6.6849999999999993E-2</v>
      </c>
      <c r="J191" s="11">
        <f>'G7 Cross Input'!Y178</f>
        <v>-3.0000000000000005E-3</v>
      </c>
      <c r="K191" s="11">
        <f>'G7 Cross Input'!Z178</f>
        <v>-5.7000000000000011E-3</v>
      </c>
      <c r="L191" s="11">
        <f>'G7 Cross Input'!AA178</f>
        <v>3.8499999999999997E-3</v>
      </c>
      <c r="M191" s="11">
        <f>'G7 Cross Input'!AB178</f>
        <v>1.21E-2</v>
      </c>
      <c r="O191" s="3" t="s">
        <v>1416</v>
      </c>
      <c r="P191" s="14" t="str">
        <f>_xll.PLContribFull(B191*100,"BID",O191,"Slot46","TICKER",3,,"Valid")</f>
        <v>5.975 (12:14:42.798166)</v>
      </c>
      <c r="Q191" s="5" t="str">
        <f>_xll.PLContribFull(I191*100,"ASK",O191,"Slot46","TICKER",3,,"Valid")</f>
        <v>6.685 (12:14:42.797167)</v>
      </c>
      <c r="R191" s="3" t="s">
        <v>1427</v>
      </c>
      <c r="S191" s="14" t="str">
        <f>_xll.PLContribFull(C191*100,"BID",R191,"Slot46","TICKER",3,,"Valid")</f>
        <v>-0.800 (12:14:42.792167)</v>
      </c>
      <c r="T191" s="14" t="str">
        <f>_xll.PLContribFull(J191*100,"ASK",R191,"Slot46","TICKER",3,,"Valid")</f>
        <v>-0.300 (12:14:42.785170)</v>
      </c>
      <c r="U191" s="3" t="s">
        <v>1438</v>
      </c>
      <c r="V191" s="14" t="str">
        <f>_xll.PLContribFull(D191*100,"BID",U191,"Slot46","TICKER",3,,"Valid")</f>
        <v>-1.570 (12:14:42.753167)</v>
      </c>
      <c r="W191" s="5" t="str">
        <f>_xll.PLContribFull(K191*100,"ASK",U191,"Slot46","TICKER",3,,"Valid")</f>
        <v>-0.570 (12:14:42.791166)</v>
      </c>
      <c r="X191" s="3" t="s">
        <v>1449</v>
      </c>
      <c r="Y191" s="14" t="str">
        <f>_xll.PLContribFull(E191*100,"BID",X191,"Slot46","TICKER",3,,"Valid")</f>
        <v>0.035 (12:14:42.785170)</v>
      </c>
      <c r="Z191" s="14" t="str">
        <f>_xll.PLContribFull(L191*100,"ASK",X191,"Slot46","TICKER",3,,"Valid")</f>
        <v>0.385 (12:14:42.795166)</v>
      </c>
      <c r="AA191" s="3" t="s">
        <v>1460</v>
      </c>
      <c r="AB191" s="14" t="str">
        <f>_xll.PLContribFull(F191*100,"BID",AA191,"Slot46","TICKER",3,,"Valid")</f>
        <v>0.510 (12:14:42.745167)</v>
      </c>
      <c r="AC191" s="5" t="str">
        <f>_xll.PLContribFull(M191*100,"ASK",AA191,"Slot46","TICKER",3,,"Valid")</f>
        <v>1.210 (12:14:42.786167)</v>
      </c>
      <c r="AD191" s="16"/>
    </row>
    <row r="192" spans="1:30" s="1" customFormat="1" x14ac:dyDescent="0.2">
      <c r="A192" s="12" t="s">
        <v>14</v>
      </c>
      <c r="B192" s="11">
        <f>'G7 Cross Input'!Q179</f>
        <v>6.1200000000000004E-2</v>
      </c>
      <c r="C192" s="11">
        <f>'G7 Cross Input'!R179</f>
        <v>-9.1000000000000004E-3</v>
      </c>
      <c r="D192" s="11">
        <f>'G7 Cross Input'!S179</f>
        <v>-1.7399999999999999E-2</v>
      </c>
      <c r="E192" s="11">
        <f>'G7 Cross Input'!T179</f>
        <v>4.5000000000000031E-4</v>
      </c>
      <c r="F192" s="11">
        <f>'G7 Cross Input'!U179</f>
        <v>5.4000000000000003E-3</v>
      </c>
      <c r="H192" s="10" t="s">
        <v>14</v>
      </c>
      <c r="I192" s="11">
        <f>'G7 Cross Input'!X179</f>
        <v>6.8599999999999994E-2</v>
      </c>
      <c r="J192" s="11">
        <f>'G7 Cross Input'!Y179</f>
        <v>-4.0999999999999995E-3</v>
      </c>
      <c r="K192" s="11">
        <f>'G7 Cross Input'!Z179</f>
        <v>-7.3999999999999995E-3</v>
      </c>
      <c r="L192" s="11">
        <f>'G7 Cross Input'!AA179</f>
        <v>3.9500000000000004E-3</v>
      </c>
      <c r="M192" s="11">
        <f>'G7 Cross Input'!AB179</f>
        <v>1.24E-2</v>
      </c>
      <c r="O192" s="3" t="s">
        <v>1417</v>
      </c>
      <c r="P192" s="14" t="str">
        <f>_xll.PLContribFull(B192*100,"BID",O192,"Slot46","TICKER",3,,"Valid")</f>
        <v>6.120 (12:14:42.789167)</v>
      </c>
      <c r="Q192" s="5" t="str">
        <f>_xll.PLContribFull(I192*100,"ASK",O192,"Slot46","TICKER",3,,"Valid")</f>
        <v>6.860 (12:14:42.795166)</v>
      </c>
      <c r="R192" s="3" t="s">
        <v>1428</v>
      </c>
      <c r="S192" s="14" t="str">
        <f>_xll.PLContribFull(C192*100,"BID",R192,"Slot46","TICKER",3,,"Valid")</f>
        <v>-0.910 (12:14:42.754169)</v>
      </c>
      <c r="T192" s="14" t="str">
        <f>_xll.PLContribFull(J192*100,"ASK",R192,"Slot46","TICKER",3,,"Valid")</f>
        <v>-0.410 (12:14:42.796169)</v>
      </c>
      <c r="U192" s="3" t="s">
        <v>1439</v>
      </c>
      <c r="V192" s="14" t="str">
        <f>_xll.PLContribFull(D192*100,"BID",U192,"Slot46","TICKER",3,,"Valid")</f>
        <v>-1.740 (12:14:42.797167)</v>
      </c>
      <c r="W192" s="5" t="str">
        <f>_xll.PLContribFull(K192*100,"ASK",U192,"Slot46","TICKER",3,,"Valid")</f>
        <v>-0.740 (12:14:42.786167)</v>
      </c>
      <c r="X192" s="3" t="s">
        <v>1450</v>
      </c>
      <c r="Y192" s="14" t="str">
        <f>_xll.PLContribFull(E192*100,"BID",X192,"Slot46","TICKER",3,,"Valid")</f>
        <v>0.045 (12:14:42.788167)</v>
      </c>
      <c r="Z192" s="14" t="str">
        <f>_xll.PLContribFull(L192*100,"ASK",X192,"Slot46","TICKER",3,,"Valid")</f>
        <v>0.395 (12:14:42.741170)</v>
      </c>
      <c r="AA192" s="3" t="s">
        <v>1461</v>
      </c>
      <c r="AB192" s="14" t="str">
        <f>_xll.PLContribFull(F192*100,"BID",AA192,"Slot46","TICKER",3,,"Valid")</f>
        <v>0.540 (12:14:42.783166)</v>
      </c>
      <c r="AC192" s="5" t="str">
        <f>_xll.PLContribFull(M192*100,"ASK",AA192,"Slot46","TICKER",3,,"Valid")</f>
        <v>1.240 (12:14:42.790167)</v>
      </c>
      <c r="AD192" s="16"/>
    </row>
    <row r="193" spans="1:30" x14ac:dyDescent="0.2">
      <c r="A193" s="12" t="s">
        <v>876</v>
      </c>
      <c r="B193" s="11">
        <f>'G7 Cross Input'!Q180</f>
        <v>5.9549999999999999E-2</v>
      </c>
      <c r="C193" s="11">
        <f>'G7 Cross Input'!R180</f>
        <v>-9.4000000000000004E-3</v>
      </c>
      <c r="D193" s="11">
        <f>'G7 Cross Input'!S180</f>
        <v>-1.7899999999999999E-2</v>
      </c>
      <c r="E193" s="11">
        <f>'G7 Cross Input'!T180</f>
        <v>4.5000000000000031E-4</v>
      </c>
      <c r="F193" s="11">
        <f>'G7 Cross Input'!U180</f>
        <v>5.4000000000000003E-3</v>
      </c>
      <c r="G193" s="1"/>
      <c r="H193" s="10" t="s">
        <v>876</v>
      </c>
      <c r="I193" s="11">
        <f>'G7 Cross Input'!X180</f>
        <v>7.3050000000000004E-2</v>
      </c>
      <c r="J193" s="11">
        <f>'G7 Cross Input'!Y180</f>
        <v>-4.3999999999999994E-3</v>
      </c>
      <c r="K193" s="11">
        <f>'G7 Cross Input'!Z180</f>
        <v>-7.9000000000000008E-3</v>
      </c>
      <c r="L193" s="11">
        <f>'G7 Cross Input'!AA180</f>
        <v>3.9500000000000004E-3</v>
      </c>
      <c r="M193" s="11">
        <f>'G7 Cross Input'!AB180</f>
        <v>1.24E-2</v>
      </c>
      <c r="N193" s="1"/>
      <c r="O193" s="3" t="s">
        <v>1418</v>
      </c>
      <c r="P193" s="14" t="str">
        <f>_xll.PLContribFull(B193*100,"BID",O193,"Slot46","TICKER",3,,"Valid")</f>
        <v>5.955 (12:14:42.798166)</v>
      </c>
      <c r="Q193" s="5" t="str">
        <f>_xll.PLContribFull(I193*100,"ASK",O193,"Slot46","TICKER",3,,"Valid")</f>
        <v>7.305 (12:14:42.795166)</v>
      </c>
      <c r="R193" s="3" t="s">
        <v>1429</v>
      </c>
      <c r="S193" s="14" t="str">
        <f>_xll.PLContribFull(C193*100,"BID",R193,"Slot46","TICKER",3,,"Valid")</f>
        <v>-0.940 (12:14:42.788167)</v>
      </c>
      <c r="T193" s="14" t="str">
        <f>_xll.PLContribFull(J193*100,"ASK",R193,"Slot46","TICKER",3,,"Valid")</f>
        <v>-0.440 (12:14:42.798166)</v>
      </c>
      <c r="U193" s="3" t="s">
        <v>1440</v>
      </c>
      <c r="V193" s="14" t="str">
        <f>_xll.PLContribFull(D193*100,"BID",U193,"Slot46","TICKER",3,,"Valid")</f>
        <v>-1.790 (12:14:42.785170)</v>
      </c>
      <c r="W193" s="5" t="str">
        <f>_xll.PLContribFull(K193*100,"ASK",U193,"Slot46","TICKER",3,,"Valid")</f>
        <v>-0.790 (12:14:42.781168)</v>
      </c>
      <c r="X193" s="3" t="s">
        <v>1451</v>
      </c>
      <c r="Y193" s="14" t="str">
        <f>_xll.PLContribFull(E193*100,"BID",X193,"Slot46","TICKER",3,,"Valid")</f>
        <v>0.045 (12:14:42.788167)</v>
      </c>
      <c r="Z193" s="14" t="str">
        <f>_xll.PLContribFull(L193*100,"ASK",X193,"Slot46","TICKER",3,,"Valid")</f>
        <v>0.395 (12:14:42.785170)</v>
      </c>
      <c r="AA193" s="3" t="s">
        <v>1462</v>
      </c>
      <c r="AB193" s="14" t="str">
        <f>_xll.PLContribFull(F193*100,"BID",AA193,"Slot46","TICKER",3,,"Valid")</f>
        <v>0.540 (12:14:42.791166)</v>
      </c>
      <c r="AC193" s="5" t="str">
        <f>_xll.PLContribFull(M193*100,"ASK",AA193,"Slot46","TICKER",3,,"Valid")</f>
        <v>1.240 (12:14:42.752166)</v>
      </c>
    </row>
    <row r="196" spans="1:30" s="1" customFormat="1" x14ac:dyDescent="0.25">
      <c r="A196" s="10" t="s">
        <v>358</v>
      </c>
      <c r="B196" s="10"/>
      <c r="C196" s="10"/>
      <c r="D196" s="10"/>
      <c r="E196" s="10"/>
      <c r="F196" s="10"/>
      <c r="O196" s="3" t="s">
        <v>67</v>
      </c>
      <c r="P196" s="15" t="s">
        <v>68</v>
      </c>
      <c r="Q196" s="15"/>
      <c r="R196" s="3" t="s">
        <v>67</v>
      </c>
      <c r="S196" s="15" t="s">
        <v>68</v>
      </c>
      <c r="T196" s="15"/>
      <c r="U196" s="3" t="s">
        <v>67</v>
      </c>
      <c r="V196" s="15" t="s">
        <v>68</v>
      </c>
      <c r="W196" s="15"/>
      <c r="X196" s="3" t="s">
        <v>67</v>
      </c>
      <c r="Y196" s="15" t="s">
        <v>68</v>
      </c>
      <c r="Z196" s="6"/>
      <c r="AA196" s="3" t="s">
        <v>67</v>
      </c>
      <c r="AB196" s="15" t="s">
        <v>68</v>
      </c>
      <c r="AC196" s="6"/>
      <c r="AD196"/>
    </row>
    <row r="197" spans="1:30" s="1" customFormat="1" ht="14.25" x14ac:dyDescent="0.25">
      <c r="A197" s="12" t="s">
        <v>331</v>
      </c>
      <c r="B197" s="12" t="s">
        <v>0</v>
      </c>
      <c r="C197" s="12" t="s">
        <v>1</v>
      </c>
      <c r="D197" s="12" t="s">
        <v>2</v>
      </c>
      <c r="E197" s="12" t="s">
        <v>3</v>
      </c>
      <c r="F197" s="12" t="s">
        <v>4</v>
      </c>
      <c r="H197" s="10" t="s">
        <v>16</v>
      </c>
      <c r="I197" s="10" t="s">
        <v>0</v>
      </c>
      <c r="J197" s="10" t="s">
        <v>1</v>
      </c>
      <c r="K197" s="10" t="s">
        <v>2</v>
      </c>
      <c r="L197" s="10" t="s">
        <v>3</v>
      </c>
      <c r="M197" s="10" t="s">
        <v>4</v>
      </c>
      <c r="O197" s="3" t="s">
        <v>66</v>
      </c>
      <c r="P197" s="13" t="s">
        <v>15</v>
      </c>
      <c r="Q197" s="13" t="s">
        <v>16</v>
      </c>
      <c r="R197" s="3" t="s">
        <v>1</v>
      </c>
      <c r="S197" s="13" t="s">
        <v>15</v>
      </c>
      <c r="T197" s="13" t="s">
        <v>16</v>
      </c>
      <c r="U197" s="3" t="s">
        <v>2</v>
      </c>
      <c r="V197" s="13" t="s">
        <v>15</v>
      </c>
      <c r="W197" s="13" t="s">
        <v>16</v>
      </c>
      <c r="X197" s="3" t="s">
        <v>3</v>
      </c>
      <c r="Y197" s="13" t="s">
        <v>15</v>
      </c>
      <c r="Z197" s="4" t="s">
        <v>16</v>
      </c>
      <c r="AA197" s="3" t="s">
        <v>4</v>
      </c>
      <c r="AB197" s="13" t="s">
        <v>15</v>
      </c>
      <c r="AC197" s="4" t="s">
        <v>16</v>
      </c>
      <c r="AD197" s="2"/>
    </row>
    <row r="198" spans="1:30" s="1" customFormat="1" x14ac:dyDescent="0.2">
      <c r="A198" s="12" t="s">
        <v>5</v>
      </c>
      <c r="B198" s="11">
        <f>'G7 Cross Input'!Q184</f>
        <v>0.10914999999999998</v>
      </c>
      <c r="C198" s="11">
        <f>'G7 Cross Input'!R184</f>
        <v>-4.7E-2</v>
      </c>
      <c r="D198" s="11">
        <f>'G7 Cross Input'!S184</f>
        <v>-8.8100000000000012E-2</v>
      </c>
      <c r="E198" s="11">
        <f>'G7 Cross Input'!T184</f>
        <v>-6.8000000000000014E-3</v>
      </c>
      <c r="F198" s="11">
        <f>'G7 Cross Input'!U184</f>
        <v>-6.8000000000000022E-3</v>
      </c>
      <c r="H198" s="10" t="s">
        <v>5</v>
      </c>
      <c r="I198" s="11">
        <f>'G7 Cross Input'!X184</f>
        <v>0.19264999999999999</v>
      </c>
      <c r="J198" s="11">
        <f>'G7 Cross Input'!Y184</f>
        <v>-1.4999999999999999E-2</v>
      </c>
      <c r="K198" s="11">
        <f>'G7 Cross Input'!Z184</f>
        <v>-2.4100000000000003E-2</v>
      </c>
      <c r="L198" s="11">
        <f>'G7 Cross Input'!AA184</f>
        <v>1.5200000000000002E-2</v>
      </c>
      <c r="M198" s="11">
        <f>'G7 Cross Input'!AB184</f>
        <v>3.7200000000000004E-2</v>
      </c>
      <c r="O198" s="3" t="s">
        <v>726</v>
      </c>
      <c r="P198" s="14" t="str">
        <f>_xll.PLContribFull(B198*100,"BID",O198,"Slot46","TICKER",3,,"Valid")</f>
        <v>10.915 (12:14:42.789167)</v>
      </c>
      <c r="Q198" s="5" t="str">
        <f>_xll.PLContribFull(I198*100,"ASK",O198,"Slot46","TICKER",3,,"Valid")</f>
        <v>19.265 (12:14:42.782167)</v>
      </c>
      <c r="R198" s="3" t="s">
        <v>736</v>
      </c>
      <c r="S198" s="14" t="str">
        <f>_xll.PLContribFull(C198*100,"BID",R198,"Slot46","TICKER",3,,"Valid")</f>
        <v>-4.700 (12:14:42.793169)</v>
      </c>
      <c r="T198" s="14" t="str">
        <f>_xll.PLContribFull(J198*100,"ASK",R198,"Slot46","TICKER",3,,"Valid")</f>
        <v>-1.500 (12:14:42.785170)</v>
      </c>
      <c r="U198" s="3" t="s">
        <v>746</v>
      </c>
      <c r="V198" s="14" t="str">
        <f>_xll.PLContribFull(D198*100,"BID",U198,"Slot46","TICKER",3,,"Valid")</f>
        <v>-8.810 (12:14:42.746167)</v>
      </c>
      <c r="W198" s="5" t="str">
        <f>_xll.PLContribFull(K198*100,"ASK",U198,"Slot46","TICKER",3,,"Valid")</f>
        <v>-2.410 (12:14:42.780166)</v>
      </c>
      <c r="X198" s="3" t="s">
        <v>756</v>
      </c>
      <c r="Y198" s="14" t="str">
        <f>_xll.PLContribFull(E198*100,"BID",X198,"Slot46","TICKER",3,,"Valid")</f>
        <v>-0.680 (12:14:42.781168)</v>
      </c>
      <c r="Z198" s="14" t="str">
        <f>_xll.PLContribFull(L198*100,"ASK",X198,"Slot46","TICKER",3,,"Valid")</f>
        <v>1.520 (12:14:42.792167)</v>
      </c>
      <c r="AA198" s="3" t="s">
        <v>766</v>
      </c>
      <c r="AB198" s="14" t="str">
        <f>_xll.PLContribFull(F198*100,"BID",AA198,"Slot46","TICKER",3,,"Valid")</f>
        <v>-0.680 (12:14:42.798166)</v>
      </c>
      <c r="AC198" s="5" t="str">
        <f>_xll.PLContribFull(M198*100,"ASK",AA198,"Slot46","TICKER",3,,"Valid")</f>
        <v>3.720 (12:14:42.781168)</v>
      </c>
      <c r="AD198" s="16"/>
    </row>
    <row r="199" spans="1:30" s="1" customFormat="1" x14ac:dyDescent="0.2">
      <c r="A199" s="12" t="s">
        <v>6</v>
      </c>
      <c r="B199" s="11">
        <f>'G7 Cross Input'!Q185</f>
        <v>9.6350000000000005E-2</v>
      </c>
      <c r="C199" s="11">
        <f>'G7 Cross Input'!R185</f>
        <v>-2.7900000000000001E-2</v>
      </c>
      <c r="D199" s="11">
        <f>'G7 Cross Input'!S185</f>
        <v>-5.1400000000000001E-2</v>
      </c>
      <c r="E199" s="11">
        <f>'G7 Cross Input'!T185</f>
        <v>0</v>
      </c>
      <c r="F199" s="11">
        <f>'G7 Cross Input'!U185</f>
        <v>4.1000000000000012E-3</v>
      </c>
      <c r="H199" s="10" t="s">
        <v>6</v>
      </c>
      <c r="I199" s="11">
        <f>'G7 Cross Input'!X185</f>
        <v>0.12645000000000001</v>
      </c>
      <c r="J199" s="11">
        <f>'G7 Cross Input'!Y185</f>
        <v>-1.7899999999999999E-2</v>
      </c>
      <c r="K199" s="11">
        <f>'G7 Cross Input'!Z185</f>
        <v>-3.1399999999999997E-2</v>
      </c>
      <c r="L199" s="11">
        <f>'G7 Cross Input'!AA185</f>
        <v>6.9999999999999993E-3</v>
      </c>
      <c r="M199" s="11">
        <f>'G7 Cross Input'!AB185</f>
        <v>1.8099999999999998E-2</v>
      </c>
      <c r="O199" s="3" t="s">
        <v>727</v>
      </c>
      <c r="P199" s="14" t="str">
        <f>_xll.PLContribFull(B199*100,"BID",O199,"Slot46","TICKER",3,,"Valid")</f>
        <v>9.635 (12:14:42.784167)</v>
      </c>
      <c r="Q199" s="5" t="str">
        <f>_xll.PLContribFull(I199*100,"ASK",O199,"Slot46","TICKER",3,,"Valid")</f>
        <v>12.645 (12:14:42.795166)</v>
      </c>
      <c r="R199" s="3" t="s">
        <v>737</v>
      </c>
      <c r="S199" s="14" t="str">
        <f>_xll.PLContribFull(C199*100,"BID",R199,"Slot46","TICKER",3,,"Valid")</f>
        <v>-2.790 (12:14:42.799167)</v>
      </c>
      <c r="T199" s="14" t="str">
        <f>_xll.PLContribFull(J199*100,"ASK",R199,"Slot46","TICKER",3,,"Valid")</f>
        <v>-1.790 (12:14:42.742167)</v>
      </c>
      <c r="U199" s="3" t="s">
        <v>747</v>
      </c>
      <c r="V199" s="14" t="str">
        <f>_xll.PLContribFull(D199*100,"BID",U199,"Slot46","TICKER",3,,"Valid")</f>
        <v>-5.140 (12:14:42.743167)</v>
      </c>
      <c r="W199" s="5" t="str">
        <f>_xll.PLContribFull(K199*100,"ASK",U199,"Slot46","TICKER",3,,"Valid")</f>
        <v>-3.140 (12:14:42.790167)</v>
      </c>
      <c r="X199" s="3" t="s">
        <v>757</v>
      </c>
      <c r="Y199" s="14" t="str">
        <f>_xll.PLContribFull(E199*100,"BID",X199,"Slot46","TICKER",3,,"Valid")</f>
        <v>0.000 (12:14:42.797167)</v>
      </c>
      <c r="Z199" s="14" t="str">
        <f>_xll.PLContribFull(L199*100,"ASK",X199,"Slot46","TICKER",3,,"Valid")</f>
        <v>0.700 (12:14:42.788167)</v>
      </c>
      <c r="AA199" s="3" t="s">
        <v>767</v>
      </c>
      <c r="AB199" s="14" t="str">
        <f>_xll.PLContribFull(F199*100,"BID",AA199,"Slot46","TICKER",3,,"Valid")</f>
        <v>0.410 (12:14:42.781168)</v>
      </c>
      <c r="AC199" s="5" t="str">
        <f>_xll.PLContribFull(M199*100,"ASK",AA199,"Slot46","TICKER",3,,"Valid")</f>
        <v>1.810 (12:14:42.786167)</v>
      </c>
      <c r="AD199" s="16"/>
    </row>
    <row r="200" spans="1:30" s="1" customFormat="1" x14ac:dyDescent="0.2">
      <c r="A200" s="12" t="s">
        <v>7</v>
      </c>
      <c r="B200" s="11">
        <f>'G7 Cross Input'!Q186</f>
        <v>0.10214999999999999</v>
      </c>
      <c r="C200" s="11">
        <f>'G7 Cross Input'!R186</f>
        <v>-2.6699999999999998E-2</v>
      </c>
      <c r="D200" s="11">
        <f>'G7 Cross Input'!S186</f>
        <v>-4.9099999999999998E-2</v>
      </c>
      <c r="E200" s="11">
        <f>'G7 Cross Input'!T186</f>
        <v>9.9999999999999959E-4</v>
      </c>
      <c r="F200" s="11">
        <f>'G7 Cross Input'!U186</f>
        <v>6.3999999999999986E-3</v>
      </c>
      <c r="H200" s="10" t="s">
        <v>7</v>
      </c>
      <c r="I200" s="11">
        <f>'G7 Cross Input'!X186</f>
        <v>0.11924999999999999</v>
      </c>
      <c r="J200" s="11">
        <f>'G7 Cross Input'!Y186</f>
        <v>-1.9699999999999999E-2</v>
      </c>
      <c r="K200" s="11">
        <f>'G7 Cross Input'!Z186</f>
        <v>-3.5099999999999999E-2</v>
      </c>
      <c r="L200" s="11">
        <f>'G7 Cross Input'!AA186</f>
        <v>6.0000000000000001E-3</v>
      </c>
      <c r="M200" s="11">
        <f>'G7 Cross Input'!AB186</f>
        <v>1.6399999999999998E-2</v>
      </c>
      <c r="O200" s="3" t="s">
        <v>728</v>
      </c>
      <c r="P200" s="14" t="str">
        <f>_xll.PLContribFull(B200*100,"BID",O200,"Slot46","TICKER",3,,"Valid")</f>
        <v>10.215 (12:14:42.794168)</v>
      </c>
      <c r="Q200" s="5" t="str">
        <f>_xll.PLContribFull(I200*100,"ASK",O200,"Slot46","TICKER",3,,"Valid")</f>
        <v>11.925 (12:14:42.796169)</v>
      </c>
      <c r="R200" s="3" t="s">
        <v>738</v>
      </c>
      <c r="S200" s="14" t="str">
        <f>_xll.PLContribFull(C200*100,"BID",R200,"Slot46","TICKER",3,,"Valid")</f>
        <v>-2.670 (12:14:42.785170)</v>
      </c>
      <c r="T200" s="14" t="str">
        <f>_xll.PLContribFull(J200*100,"ASK",R200,"Slot46","TICKER",3,,"Valid")</f>
        <v>-1.970 (12:14:42.797167)</v>
      </c>
      <c r="U200" s="3" t="s">
        <v>748</v>
      </c>
      <c r="V200" s="14" t="str">
        <f>_xll.PLContribFull(D200*100,"BID",U200,"Slot46","TICKER",3,,"Valid")</f>
        <v>-4.910 (12:14:42.792167)</v>
      </c>
      <c r="W200" s="5" t="str">
        <f>_xll.PLContribFull(K200*100,"ASK",U200,"Slot46","TICKER",3,,"Valid")</f>
        <v>-3.510 (12:14:42.781168)</v>
      </c>
      <c r="X200" s="3" t="s">
        <v>758</v>
      </c>
      <c r="Y200" s="14" t="str">
        <f>_xll.PLContribFull(E200*100,"BID",X200,"Slot46","TICKER",3,,"Valid")</f>
        <v>0.100 (12:14:42.796169)</v>
      </c>
      <c r="Z200" s="14" t="str">
        <f>_xll.PLContribFull(L200*100,"ASK",X200,"Slot46","TICKER",3,,"Valid")</f>
        <v>0.600 (12:14:42.787167)</v>
      </c>
      <c r="AA200" s="3" t="s">
        <v>768</v>
      </c>
      <c r="AB200" s="14" t="str">
        <f>_xll.PLContribFull(F200*100,"BID",AA200,"Slot46","TICKER",3,,"Valid")</f>
        <v>0.640 (12:14:42.785170)</v>
      </c>
      <c r="AC200" s="5" t="str">
        <f>_xll.PLContribFull(M200*100,"ASK",AA200,"Slot46","TICKER",3,,"Valid")</f>
        <v>1.640 (12:14:42.784167)</v>
      </c>
      <c r="AD200" s="16"/>
    </row>
    <row r="201" spans="1:30" s="1" customFormat="1" x14ac:dyDescent="0.2">
      <c r="A201" s="12" t="s">
        <v>8</v>
      </c>
      <c r="B201" s="11">
        <f>'G7 Cross Input'!Q187</f>
        <v>9.8299999999999998E-2</v>
      </c>
      <c r="C201" s="11">
        <f>'G7 Cross Input'!R187</f>
        <v>-2.4900000000000002E-2</v>
      </c>
      <c r="D201" s="11">
        <f>'G7 Cross Input'!S187</f>
        <v>-4.58E-2</v>
      </c>
      <c r="E201" s="11">
        <f>'G7 Cross Input'!T187</f>
        <v>1.5500000000000002E-3</v>
      </c>
      <c r="F201" s="11">
        <f>'G7 Cross Input'!U187</f>
        <v>7.899999999999999E-3</v>
      </c>
      <c r="H201" s="10" t="s">
        <v>8</v>
      </c>
      <c r="I201" s="11">
        <f>'G7 Cross Input'!X187</f>
        <v>0.10730000000000001</v>
      </c>
      <c r="J201" s="11">
        <f>'G7 Cross Input'!Y187</f>
        <v>-1.9900000000000004E-2</v>
      </c>
      <c r="K201" s="11">
        <f>'G7 Cross Input'!Z187</f>
        <v>-3.5800000000000005E-2</v>
      </c>
      <c r="L201" s="11">
        <f>'G7 Cross Input'!AA187</f>
        <v>5.0499999999999998E-3</v>
      </c>
      <c r="M201" s="11">
        <f>'G7 Cross Input'!AB187</f>
        <v>1.4899999999999998E-2</v>
      </c>
      <c r="O201" s="3" t="s">
        <v>729</v>
      </c>
      <c r="P201" s="14" t="str">
        <f>_xll.PLContribFull(B201*100,"BID",O201,"Slot46","TICKER",3,,"Valid")</f>
        <v>9.830 (12:14:42.785170)</v>
      </c>
      <c r="Q201" s="5" t="str">
        <f>_xll.PLContribFull(I201*100,"ASK",O201,"Slot46","TICKER",3,,"Valid")</f>
        <v>10.730 (12:14:42.798166)</v>
      </c>
      <c r="R201" s="3" t="s">
        <v>739</v>
      </c>
      <c r="S201" s="14" t="str">
        <f>_xll.PLContribFull(C201*100,"BID",R201,"Slot46","TICKER",3,,"Valid")</f>
        <v>-2.490 (12:14:42.786167)</v>
      </c>
      <c r="T201" s="14" t="str">
        <f>_xll.PLContribFull(J201*100,"ASK",R201,"Slot46","TICKER",3,,"Valid")</f>
        <v>-1.990 (12:14:42.743167)</v>
      </c>
      <c r="U201" s="3" t="s">
        <v>749</v>
      </c>
      <c r="V201" s="14" t="str">
        <f>_xll.PLContribFull(D201*100,"BID",U201,"Slot46","TICKER",3,,"Valid")</f>
        <v>-4.580 (12:14:42.794168)</v>
      </c>
      <c r="W201" s="5" t="str">
        <f>_xll.PLContribFull(K201*100,"ASK",U201,"Slot46","TICKER",3,,"Valid")</f>
        <v>-3.580 (12:14:42.798166)</v>
      </c>
      <c r="X201" s="3" t="s">
        <v>759</v>
      </c>
      <c r="Y201" s="14" t="str">
        <f>_xll.PLContribFull(E201*100,"BID",X201,"Slot46","TICKER",3,,"Valid")</f>
        <v>0.155 (12:14:42.784167)</v>
      </c>
      <c r="Z201" s="14" t="str">
        <f>_xll.PLContribFull(L201*100,"ASK",X201,"Slot46","TICKER",3,,"Valid")</f>
        <v>0.505 (12:14:42.795166)</v>
      </c>
      <c r="AA201" s="3" t="s">
        <v>769</v>
      </c>
      <c r="AB201" s="14" t="str">
        <f>_xll.PLContribFull(F201*100,"BID",AA201,"Slot46","TICKER",3,,"Valid")</f>
        <v>0.790 (12:14:42.797167)</v>
      </c>
      <c r="AC201" s="5" t="str">
        <f>_xll.PLContribFull(M201*100,"ASK",AA201,"Slot46","TICKER",3,,"Valid")</f>
        <v>1.490 (12:14:42.797167)</v>
      </c>
      <c r="AD201" s="16"/>
    </row>
    <row r="202" spans="1:30" s="1" customFormat="1" x14ac:dyDescent="0.2">
      <c r="A202" s="12" t="s">
        <v>9</v>
      </c>
      <c r="B202" s="11">
        <f>'G7 Cross Input'!Q188</f>
        <v>9.6599999999999991E-2</v>
      </c>
      <c r="C202" s="11">
        <f>'G7 Cross Input'!R188</f>
        <v>-2.4599999999999997E-2</v>
      </c>
      <c r="D202" s="11">
        <f>'G7 Cross Input'!S188</f>
        <v>-4.58E-2</v>
      </c>
      <c r="E202" s="11">
        <f>'G7 Cross Input'!T188</f>
        <v>1.7499999999999998E-3</v>
      </c>
      <c r="F202" s="11">
        <f>'G7 Cross Input'!U188</f>
        <v>8.6E-3</v>
      </c>
      <c r="H202" s="10" t="s">
        <v>9</v>
      </c>
      <c r="I202" s="11">
        <f>'G7 Cross Input'!X188</f>
        <v>0.10499999999999998</v>
      </c>
      <c r="J202" s="11">
        <f>'G7 Cross Input'!Y188</f>
        <v>-1.9599999999999999E-2</v>
      </c>
      <c r="K202" s="11">
        <f>'G7 Cross Input'!Z188</f>
        <v>-3.5800000000000005E-2</v>
      </c>
      <c r="L202" s="11">
        <f>'G7 Cross Input'!AA188</f>
        <v>5.2499999999999995E-3</v>
      </c>
      <c r="M202" s="11">
        <f>'G7 Cross Input'!AB188</f>
        <v>1.5599999999999999E-2</v>
      </c>
      <c r="O202" s="3" t="s">
        <v>730</v>
      </c>
      <c r="P202" s="14" t="str">
        <f>_xll.PLContribFull(B202*100,"BID",O202,"Slot46","TICKER",3,,"Valid")</f>
        <v>9.660 (12:14:42.797167)</v>
      </c>
      <c r="Q202" s="5" t="str">
        <f>_xll.PLContribFull(I202*100,"ASK",O202,"Slot46","TICKER",3,,"Valid")</f>
        <v>10.500 (12:14:42.793169)</v>
      </c>
      <c r="R202" s="3" t="s">
        <v>740</v>
      </c>
      <c r="S202" s="14" t="str">
        <f>_xll.PLContribFull(C202*100,"BID",R202,"Slot46","TICKER",3,,"Valid")</f>
        <v>-2.460 (12:14:42.751168)</v>
      </c>
      <c r="T202" s="14" t="str">
        <f>_xll.PLContribFull(J202*100,"ASK",R202,"Slot46","TICKER",3,,"Valid")</f>
        <v>-1.960 (12:14:42.794168)</v>
      </c>
      <c r="U202" s="3" t="s">
        <v>750</v>
      </c>
      <c r="V202" s="14" t="str">
        <f>_xll.PLContribFull(D202*100,"BID",U202,"Slot46","TICKER",3,,"Valid")</f>
        <v>-4.580 (12:14:42.784167)</v>
      </c>
      <c r="W202" s="5" t="str">
        <f>_xll.PLContribFull(K202*100,"ASK",U202,"Slot46","TICKER",3,,"Valid")</f>
        <v>-3.580 (12:14:42.788167)</v>
      </c>
      <c r="X202" s="3" t="s">
        <v>760</v>
      </c>
      <c r="Y202" s="14" t="str">
        <f>_xll.PLContribFull(E202*100,"BID",X202,"Slot46","TICKER",3,,"Valid")</f>
        <v>0.175 (12:14:42.752166)</v>
      </c>
      <c r="Z202" s="14" t="str">
        <f>_xll.PLContribFull(L202*100,"ASK",X202,"Slot46","TICKER",3,,"Valid")</f>
        <v>0.525 (12:14:42.794168)</v>
      </c>
      <c r="AA202" s="3" t="s">
        <v>770</v>
      </c>
      <c r="AB202" s="14" t="str">
        <f>_xll.PLContribFull(F202*100,"BID",AA202,"Slot46","TICKER",3,,"Valid")</f>
        <v>0.860 (12:14:42.791166)</v>
      </c>
      <c r="AC202" s="5" t="str">
        <f>_xll.PLContribFull(M202*100,"ASK",AA202,"Slot46","TICKER",3,,"Valid")</f>
        <v>1.560 (12:14:42.791166)</v>
      </c>
      <c r="AD202" s="16"/>
    </row>
    <row r="203" spans="1:30" s="1" customFormat="1" x14ac:dyDescent="0.2">
      <c r="A203" s="12" t="s">
        <v>10</v>
      </c>
      <c r="B203" s="11">
        <f>'G7 Cross Input'!Q189</f>
        <v>9.4799999999999995E-2</v>
      </c>
      <c r="C203" s="11">
        <f>'G7 Cross Input'!R189</f>
        <v>-2.4199999999999999E-2</v>
      </c>
      <c r="D203" s="11">
        <f>'G7 Cross Input'!S189</f>
        <v>-4.58E-2</v>
      </c>
      <c r="E203" s="11">
        <f>'G7 Cross Input'!T189</f>
        <v>1.9500000000000003E-3</v>
      </c>
      <c r="F203" s="11">
        <f>'G7 Cross Input'!U189</f>
        <v>9.1999999999999998E-3</v>
      </c>
      <c r="H203" s="10" t="s">
        <v>10</v>
      </c>
      <c r="I203" s="11">
        <f>'G7 Cross Input'!X189</f>
        <v>0.10319999999999999</v>
      </c>
      <c r="J203" s="11">
        <f>'G7 Cross Input'!Y189</f>
        <v>-1.9200000000000002E-2</v>
      </c>
      <c r="K203" s="11">
        <f>'G7 Cross Input'!Z189</f>
        <v>-3.5800000000000005E-2</v>
      </c>
      <c r="L203" s="11">
        <f>'G7 Cross Input'!AA189</f>
        <v>5.45E-3</v>
      </c>
      <c r="M203" s="11">
        <f>'G7 Cross Input'!AB189</f>
        <v>1.6199999999999999E-2</v>
      </c>
      <c r="O203" s="3" t="s">
        <v>731</v>
      </c>
      <c r="P203" s="14" t="str">
        <f>_xll.PLContribFull(B203*100,"BID",O203,"Slot46","TICKER",3,,"Valid")</f>
        <v>9.480 (12:14:42.799167)</v>
      </c>
      <c r="Q203" s="5" t="str">
        <f>_xll.PLContribFull(I203*100,"ASK",O203,"Slot46","TICKER",3,,"Valid")</f>
        <v>10.320 (12:14:42.794168)</v>
      </c>
      <c r="R203" s="3" t="s">
        <v>741</v>
      </c>
      <c r="S203" s="14" t="str">
        <f>_xll.PLContribFull(C203*100,"BID",R203,"Slot46","TICKER",3,,"Valid")</f>
        <v>-2.420 (12:14:42.756167)</v>
      </c>
      <c r="T203" s="14" t="str">
        <f>_xll.PLContribFull(J203*100,"ASK",R203,"Slot46","TICKER",3,,"Valid")</f>
        <v>-1.920 (12:14:42.793169)</v>
      </c>
      <c r="U203" s="3" t="s">
        <v>751</v>
      </c>
      <c r="V203" s="14" t="str">
        <f>_xll.PLContribFull(D203*100,"BID",U203,"Slot46","TICKER",3,,"Valid")</f>
        <v>-4.580 (12:14:42.750168)</v>
      </c>
      <c r="W203" s="5" t="str">
        <f>_xll.PLContribFull(K203*100,"ASK",U203,"Slot46","TICKER",3,,"Valid")</f>
        <v>-3.580 (12:14:42.781168)</v>
      </c>
      <c r="X203" s="3" t="s">
        <v>761</v>
      </c>
      <c r="Y203" s="14" t="str">
        <f>_xll.PLContribFull(E203*100,"BID",X203,"Slot46","TICKER",3,,"Valid")</f>
        <v>0.195 (12:14:42.795166)</v>
      </c>
      <c r="Z203" s="14" t="str">
        <f>_xll.PLContribFull(L203*100,"ASK",X203,"Slot46","TICKER",3,,"Valid")</f>
        <v>0.545 (12:14:42.741170)</v>
      </c>
      <c r="AA203" s="3" t="s">
        <v>771</v>
      </c>
      <c r="AB203" s="14" t="str">
        <f>_xll.PLContribFull(F203*100,"BID",AA203,"Slot46","TICKER",3,,"Valid")</f>
        <v>0.920 (12:14:42.783166)</v>
      </c>
      <c r="AC203" s="5" t="str">
        <f>_xll.PLContribFull(M203*100,"ASK",AA203,"Slot46","TICKER",3,,"Valid")</f>
        <v>1.620 (12:14:42.739168)</v>
      </c>
      <c r="AD203" s="16"/>
    </row>
    <row r="204" spans="1:30" s="1" customFormat="1" x14ac:dyDescent="0.2">
      <c r="A204" s="12" t="s">
        <v>11</v>
      </c>
      <c r="B204" s="11">
        <f>'G7 Cross Input'!Q190</f>
        <v>9.3399999999999997E-2</v>
      </c>
      <c r="C204" s="11">
        <f>'G7 Cross Input'!R190</f>
        <v>-2.1699999999999997E-2</v>
      </c>
      <c r="D204" s="11">
        <f>'G7 Cross Input'!S190</f>
        <v>-4.2699999999999995E-2</v>
      </c>
      <c r="E204" s="11">
        <f>'G7 Cross Input'!T190</f>
        <v>2.3499999999999997E-3</v>
      </c>
      <c r="F204" s="11">
        <f>'G7 Cross Input'!U190</f>
        <v>1.0499999999999999E-2</v>
      </c>
      <c r="H204" s="10" t="s">
        <v>11</v>
      </c>
      <c r="I204" s="11">
        <f>'G7 Cross Input'!X190</f>
        <v>0.10099999999999999</v>
      </c>
      <c r="J204" s="11">
        <f>'G7 Cross Input'!Y190</f>
        <v>-1.67E-2</v>
      </c>
      <c r="K204" s="11">
        <f>'G7 Cross Input'!Z190</f>
        <v>-3.27E-2</v>
      </c>
      <c r="L204" s="11">
        <f>'G7 Cross Input'!AA190</f>
        <v>5.8499999999999993E-3</v>
      </c>
      <c r="M204" s="11">
        <f>'G7 Cross Input'!AB190</f>
        <v>1.7499999999999998E-2</v>
      </c>
      <c r="O204" s="3" t="s">
        <v>732</v>
      </c>
      <c r="P204" s="14" t="str">
        <f>_xll.PLContribFull(B204*100,"BID",O204,"Slot46","TICKER",3,,"Valid")</f>
        <v>9.340 (12:14:42.789167)</v>
      </c>
      <c r="Q204" s="5" t="str">
        <f>_xll.PLContribFull(I204*100,"ASK",O204,"Slot46","TICKER",3,,"Valid")</f>
        <v>10.100 (12:14:42.785170)</v>
      </c>
      <c r="R204" s="3" t="s">
        <v>742</v>
      </c>
      <c r="S204" s="14" t="str">
        <f>_xll.PLContribFull(C204*100,"BID",R204,"Slot46","TICKER",3,,"Valid")</f>
        <v>-2.170 (12:14:42.793169)</v>
      </c>
      <c r="T204" s="14" t="str">
        <f>_xll.PLContribFull(J204*100,"ASK",R204,"Slot46","TICKER",3,,"Valid")</f>
        <v>-1.670 (12:14:42.797167)</v>
      </c>
      <c r="U204" s="3" t="s">
        <v>752</v>
      </c>
      <c r="V204" s="14" t="str">
        <f>_xll.PLContribFull(D204*100,"BID",U204,"Slot46","TICKER",3,,"Valid")</f>
        <v>-4.270 (12:14:42.740168)</v>
      </c>
      <c r="W204" s="5" t="str">
        <f>_xll.PLContribFull(K204*100,"ASK",U204,"Slot46","TICKER",3,,"Valid")</f>
        <v>-3.270 (12:14:42.781168)</v>
      </c>
      <c r="X204" s="3" t="s">
        <v>762</v>
      </c>
      <c r="Y204" s="14" t="str">
        <f>_xll.PLContribFull(E204*100,"BID",X204,"Slot46","TICKER",3,,"Valid")</f>
        <v>0.235 (12:14:42.799167)</v>
      </c>
      <c r="Z204" s="14" t="str">
        <f>_xll.PLContribFull(L204*100,"ASK",X204,"Slot46","TICKER",3,,"Valid")</f>
        <v>0.585 (12:14:42.793169)</v>
      </c>
      <c r="AA204" s="3" t="s">
        <v>772</v>
      </c>
      <c r="AB204" s="14" t="str">
        <f>_xll.PLContribFull(F204*100,"BID",AA204,"Slot46","TICKER",3,,"Valid")</f>
        <v>1.050 (12:14:42.781168)</v>
      </c>
      <c r="AC204" s="5" t="str">
        <f>_xll.PLContribFull(M204*100,"ASK",AA204,"Slot46","TICKER",3,,"Valid")</f>
        <v>1.750 (12:14:42.754169)</v>
      </c>
      <c r="AD204" s="16"/>
    </row>
    <row r="205" spans="1:30" s="1" customFormat="1" x14ac:dyDescent="0.2">
      <c r="A205" s="12" t="s">
        <v>12</v>
      </c>
      <c r="B205" s="11">
        <f>'G7 Cross Input'!Q191</f>
        <v>9.4450000000000006E-2</v>
      </c>
      <c r="C205" s="11">
        <f>'G7 Cross Input'!R191</f>
        <v>-2.1100000000000001E-2</v>
      </c>
      <c r="D205" s="11">
        <f>'G7 Cross Input'!S191</f>
        <v>-4.2900000000000001E-2</v>
      </c>
      <c r="E205" s="11">
        <f>'G7 Cross Input'!T191</f>
        <v>2.4499999999999999E-3</v>
      </c>
      <c r="F205" s="11">
        <f>'G7 Cross Input'!U191</f>
        <v>1.17E-2</v>
      </c>
      <c r="H205" s="10" t="s">
        <v>12</v>
      </c>
      <c r="I205" s="11">
        <f>'G7 Cross Input'!X191</f>
        <v>0.10155</v>
      </c>
      <c r="J205" s="11">
        <f>'G7 Cross Input'!Y191</f>
        <v>-1.6100000000000003E-2</v>
      </c>
      <c r="K205" s="11">
        <f>'G7 Cross Input'!Z191</f>
        <v>-3.2900000000000006E-2</v>
      </c>
      <c r="L205" s="11">
        <f>'G7 Cross Input'!AA191</f>
        <v>5.9499999999999996E-3</v>
      </c>
      <c r="M205" s="11">
        <f>'G7 Cross Input'!AB191</f>
        <v>1.8700000000000001E-2</v>
      </c>
      <c r="O205" s="3" t="s">
        <v>733</v>
      </c>
      <c r="P205" s="14" t="str">
        <f>_xll.PLContribFull(B205*100,"BID",O205,"Slot46","TICKER",3,,"Valid")</f>
        <v>9.445 (12:14:42.785170)</v>
      </c>
      <c r="Q205" s="5" t="str">
        <f>_xll.PLContribFull(I205*100,"ASK",O205,"Slot46","TICKER",3,,"Valid")</f>
        <v>10.155 (12:14:42.792167)</v>
      </c>
      <c r="R205" s="3" t="s">
        <v>743</v>
      </c>
      <c r="S205" s="14" t="str">
        <f>_xll.PLContribFull(C205*100,"BID",R205,"Slot46","TICKER",3,,"Valid")</f>
        <v>-2.110 (12:14:42.798166)</v>
      </c>
      <c r="T205" s="14" t="str">
        <f>_xll.PLContribFull(J205*100,"ASK",R205,"Slot46","TICKER",3,,"Valid")</f>
        <v>-1.610 (12:14:42.784167)</v>
      </c>
      <c r="U205" s="3" t="s">
        <v>753</v>
      </c>
      <c r="V205" s="14" t="str">
        <f>_xll.PLContribFull(D205*100,"BID",U205,"Slot46","TICKER",3,,"Valid")</f>
        <v>-4.290 (12:14:42.792167)</v>
      </c>
      <c r="W205" s="5" t="str">
        <f>_xll.PLContribFull(K205*100,"ASK",U205,"Slot46","TICKER",3,,"Valid")</f>
        <v>-3.290 (12:14:42.756167)</v>
      </c>
      <c r="X205" s="3" t="s">
        <v>763</v>
      </c>
      <c r="Y205" s="14" t="str">
        <f>_xll.PLContribFull(E205*100,"BID",X205,"Slot46","TICKER",3,,"Valid")</f>
        <v>0.245 (12:14:42.742167)</v>
      </c>
      <c r="Z205" s="14" t="str">
        <f>_xll.PLContribFull(L205*100,"ASK",X205,"Slot46","TICKER",3,,"Valid")</f>
        <v>0.595 (12:14:42.792167)</v>
      </c>
      <c r="AA205" s="3" t="s">
        <v>773</v>
      </c>
      <c r="AB205" s="14" t="str">
        <f>_xll.PLContribFull(F205*100,"BID",AA205,"Slot46","TICKER",3,,"Valid")</f>
        <v>1.170 (12:14:42.784167)</v>
      </c>
      <c r="AC205" s="5" t="str">
        <f>_xll.PLContribFull(M205*100,"ASK",AA205,"Slot46","TICKER",3,,"Valid")</f>
        <v>1.870 (12:14:42.794168)</v>
      </c>
      <c r="AD205" s="16"/>
    </row>
    <row r="206" spans="1:30" s="1" customFormat="1" x14ac:dyDescent="0.2">
      <c r="A206" s="12" t="s">
        <v>13</v>
      </c>
      <c r="B206" s="11">
        <f>'G7 Cross Input'!Q192</f>
        <v>9.5799999999999996E-2</v>
      </c>
      <c r="C206" s="11">
        <f>'G7 Cross Input'!R192</f>
        <v>-2.0500000000000001E-2</v>
      </c>
      <c r="D206" s="11">
        <f>'G7 Cross Input'!S192</f>
        <v>-4.2699999999999995E-2</v>
      </c>
      <c r="E206" s="11">
        <f>'G7 Cross Input'!T192</f>
        <v>2.6500000000000004E-3</v>
      </c>
      <c r="F206" s="11">
        <f>'G7 Cross Input'!U192</f>
        <v>1.3000000000000001E-2</v>
      </c>
      <c r="H206" s="10" t="s">
        <v>13</v>
      </c>
      <c r="I206" s="11">
        <f>'G7 Cross Input'!X192</f>
        <v>0.1028</v>
      </c>
      <c r="J206" s="11">
        <f>'G7 Cross Input'!Y192</f>
        <v>-1.5500000000000002E-2</v>
      </c>
      <c r="K206" s="11">
        <f>'G7 Cross Input'!Z192</f>
        <v>-3.27E-2</v>
      </c>
      <c r="L206" s="11">
        <f>'G7 Cross Input'!AA192</f>
        <v>6.1500000000000001E-3</v>
      </c>
      <c r="M206" s="11">
        <f>'G7 Cross Input'!AB192</f>
        <v>0.02</v>
      </c>
      <c r="O206" s="3" t="s">
        <v>734</v>
      </c>
      <c r="P206" s="14" t="str">
        <f>_xll.PLContribFull(B206*100,"BID",O206,"Slot46","TICKER",3,,"Valid")</f>
        <v>9.580 (12:14:42.788167)</v>
      </c>
      <c r="Q206" s="5" t="str">
        <f>_xll.PLContribFull(I206*100,"ASK",O206,"Slot46","TICKER",3,,"Valid")</f>
        <v>10.280 (12:14:42.781168)</v>
      </c>
      <c r="R206" s="3" t="s">
        <v>744</v>
      </c>
      <c r="S206" s="14" t="str">
        <f>_xll.PLContribFull(C206*100,"BID",R206,"Slot46","TICKER",3,,"Valid")</f>
        <v>-2.050 (12:14:42.791166)</v>
      </c>
      <c r="T206" s="14" t="str">
        <f>_xll.PLContribFull(J206*100,"ASK",R206,"Slot46","TICKER",3,,"Valid")</f>
        <v>-1.550 (12:14:42.787167)</v>
      </c>
      <c r="U206" s="3" t="s">
        <v>754</v>
      </c>
      <c r="V206" s="14" t="str">
        <f>_xll.PLContribFull(D206*100,"BID",U206,"Slot46","TICKER",3,,"Valid")</f>
        <v>-4.270 (12:14:42.743167)</v>
      </c>
      <c r="W206" s="5" t="str">
        <f>_xll.PLContribFull(K206*100,"ASK",U206,"Slot46","TICKER",3,,"Valid")</f>
        <v>-3.270 (12:14:42.792167)</v>
      </c>
      <c r="X206" s="3" t="s">
        <v>764</v>
      </c>
      <c r="Y206" s="14" t="str">
        <f>_xll.PLContribFull(E206*100,"BID",X206,"Slot46","TICKER",3,,"Valid")</f>
        <v>0.265 (12:14:42.788167)</v>
      </c>
      <c r="Z206" s="14" t="str">
        <f>_xll.PLContribFull(L206*100,"ASK",X206,"Slot46","TICKER",3,,"Valid")</f>
        <v>0.615 (12:14:42.790167)</v>
      </c>
      <c r="AA206" s="3" t="s">
        <v>774</v>
      </c>
      <c r="AB206" s="14" t="str">
        <f>_xll.PLContribFull(F206*100,"BID",AA206,"Slot46","TICKER",3,,"Valid")</f>
        <v>1.300 (12:14:42.793169)</v>
      </c>
      <c r="AC206" s="5" t="str">
        <f>_xll.PLContribFull(M206*100,"ASK",AA206,"Slot46","TICKER",3,,"Valid")</f>
        <v>2.000 (12:14:42.796169)</v>
      </c>
      <c r="AD206" s="16"/>
    </row>
    <row r="207" spans="1:30" s="1" customFormat="1" x14ac:dyDescent="0.2">
      <c r="A207" s="12" t="s">
        <v>14</v>
      </c>
      <c r="B207" s="11">
        <f>'G7 Cross Input'!Q193</f>
        <v>9.5299999999999996E-2</v>
      </c>
      <c r="C207" s="11">
        <f>'G7 Cross Input'!R193</f>
        <v>-2.1799999999999996E-2</v>
      </c>
      <c r="D207" s="11">
        <f>'G7 Cross Input'!S193</f>
        <v>-4.2499999999999996E-2</v>
      </c>
      <c r="E207" s="11">
        <f>'G7 Cross Input'!T193</f>
        <v>3.7500000000000007E-3</v>
      </c>
      <c r="F207" s="11">
        <f>'G7 Cross Input'!U193</f>
        <v>1.5799999999999998E-2</v>
      </c>
      <c r="H207" s="10" t="s">
        <v>14</v>
      </c>
      <c r="I207" s="11">
        <f>'G7 Cross Input'!X193</f>
        <v>0.1031</v>
      </c>
      <c r="J207" s="11">
        <f>'G7 Cross Input'!Y193</f>
        <v>-1.6799999999999999E-2</v>
      </c>
      <c r="K207" s="11">
        <f>'G7 Cross Input'!Z193</f>
        <v>-3.2500000000000001E-2</v>
      </c>
      <c r="L207" s="11">
        <f>'G7 Cross Input'!AA193</f>
        <v>7.2500000000000004E-3</v>
      </c>
      <c r="M207" s="11">
        <f>'G7 Cross Input'!AB193</f>
        <v>2.2799999999999997E-2</v>
      </c>
      <c r="O207" s="3" t="s">
        <v>735</v>
      </c>
      <c r="P207" s="14" t="str">
        <f>_xll.PLContribFull(B207*100,"BID",O207,"Slot46","TICKER",3,,"Valid")</f>
        <v>9.530 (12:14:42.795166)</v>
      </c>
      <c r="Q207" s="5" t="str">
        <f>_xll.PLContribFull(I207*100,"ASK",O207,"Slot46","TICKER",3,,"Valid")</f>
        <v>10.310 (12:14:42.797167)</v>
      </c>
      <c r="R207" s="3" t="s">
        <v>745</v>
      </c>
      <c r="S207" s="14" t="str">
        <f>_xll.PLContribFull(C207*100,"BID",R207,"Slot46","TICKER",3,,"Valid")</f>
        <v>-2.180 (12:14:42.795166)</v>
      </c>
      <c r="T207" s="14" t="str">
        <f>_xll.PLContribFull(J207*100,"ASK",R207,"Slot46","TICKER",3,,"Valid")</f>
        <v>-1.680 (12:14:42.787167)</v>
      </c>
      <c r="U207" s="3" t="s">
        <v>755</v>
      </c>
      <c r="V207" s="14" t="str">
        <f>_xll.PLContribFull(D207*100,"BID",U207,"Slot46","TICKER",3,,"Valid")</f>
        <v>-4.250 (12:14:42.786167)</v>
      </c>
      <c r="W207" s="5" t="str">
        <f>_xll.PLContribFull(K207*100,"ASK",U207,"Slot46","TICKER",3,,"Valid")</f>
        <v>-3.250 (12:14:42.783166)</v>
      </c>
      <c r="X207" s="3" t="s">
        <v>765</v>
      </c>
      <c r="Y207" s="14" t="str">
        <f>_xll.PLContribFull(E207*100,"BID",X207,"Slot46","TICKER",3,,"Valid")</f>
        <v>0.375 (12:14:42.782167)</v>
      </c>
      <c r="Z207" s="14" t="str">
        <f>_xll.PLContribFull(L207*100,"ASK",X207,"Slot46","TICKER",3,,"Valid")</f>
        <v>0.725 (12:14:42.754169)</v>
      </c>
      <c r="AA207" s="3" t="s">
        <v>775</v>
      </c>
      <c r="AB207" s="14" t="str">
        <f>_xll.PLContribFull(F207*100,"BID",AA207,"Slot46","TICKER",3,,"Valid")</f>
        <v>1.580 (12:14:42.786167)</v>
      </c>
      <c r="AC207" s="5" t="str">
        <f>_xll.PLContribFull(M207*100,"ASK",AA207,"Slot46","TICKER",3,,"Valid")</f>
        <v>2.280 (12:14:42.746167)</v>
      </c>
      <c r="AD207" s="16"/>
    </row>
    <row r="208" spans="1:30" x14ac:dyDescent="0.2">
      <c r="A208" s="12" t="s">
        <v>876</v>
      </c>
      <c r="B208" s="11">
        <f>'G7 Cross Input'!Q194</f>
        <v>9.5149999999999998E-2</v>
      </c>
      <c r="C208" s="11">
        <f>'G7 Cross Input'!R194</f>
        <v>-2.2299999999999997E-2</v>
      </c>
      <c r="D208" s="11">
        <f>'G7 Cross Input'!S194</f>
        <v>-4.3399999999999994E-2</v>
      </c>
      <c r="E208" s="11">
        <f>'G7 Cross Input'!T194</f>
        <v>3.9499999999999995E-3</v>
      </c>
      <c r="F208" s="11">
        <f>'G7 Cross Input'!U194</f>
        <v>1.6999999999999998E-2</v>
      </c>
      <c r="G208" s="1"/>
      <c r="H208" s="10" t="s">
        <v>876</v>
      </c>
      <c r="I208" s="11">
        <f>'G7 Cross Input'!X194</f>
        <v>0.10445</v>
      </c>
      <c r="J208" s="11">
        <f>'G7 Cross Input'!Y194</f>
        <v>-1.7299999999999999E-2</v>
      </c>
      <c r="K208" s="11">
        <f>'G7 Cross Input'!Z194</f>
        <v>-3.3399999999999999E-2</v>
      </c>
      <c r="L208" s="11">
        <f>'G7 Cross Input'!AA194</f>
        <v>7.4499999999999992E-3</v>
      </c>
      <c r="M208" s="11">
        <f>'G7 Cross Input'!AB194</f>
        <v>2.3999999999999997E-2</v>
      </c>
      <c r="N208" s="1"/>
      <c r="O208" s="3" t="s">
        <v>962</v>
      </c>
      <c r="P208" s="14" t="str">
        <f>_xll.PLContribFull(B208*100,"BID",O208,"Slot46","TICKER",3,,"Valid")</f>
        <v>9.515 (12:14:42.797167)</v>
      </c>
      <c r="Q208" s="5" t="str">
        <f>_xll.PLContribFull(I208*100,"ASK",O208,"Slot46","TICKER",3,,"Valid")</f>
        <v>10.445 (12:14:42.744167)</v>
      </c>
      <c r="R208" s="3" t="s">
        <v>963</v>
      </c>
      <c r="S208" s="14" t="str">
        <f>_xll.PLContribFull(C208*100,"BID",R208,"Slot46","TICKER",3,,"Valid")</f>
        <v>-2.230 (12:14:42.751168)</v>
      </c>
      <c r="T208" s="14" t="str">
        <f>_xll.PLContribFull(J208*100,"ASK",R208,"Slot46","TICKER",3,,"Valid")</f>
        <v>-1.730 (12:14:42.761166)</v>
      </c>
      <c r="U208" s="3" t="s">
        <v>964</v>
      </c>
      <c r="V208" s="14" t="str">
        <f>_xll.PLContribFull(D208*100,"BID",U208,"Slot46","TICKER",3,,"Valid")</f>
        <v>-4.340 (12:14:42.787167)</v>
      </c>
      <c r="W208" s="5" t="str">
        <f>_xll.PLContribFull(K208*100,"ASK",U208,"Slot46","TICKER",3,,"Valid")</f>
        <v>-3.340 (12:14:42.749167)</v>
      </c>
      <c r="X208" s="3" t="s">
        <v>965</v>
      </c>
      <c r="Y208" s="14" t="str">
        <f>_xll.PLContribFull(E208*100,"BID",X208,"Slot46","TICKER",3,,"Valid")</f>
        <v>0.395 (12:14:42.782167)</v>
      </c>
      <c r="Z208" s="14" t="str">
        <f>_xll.PLContribFull(L208*100,"ASK",X208,"Slot46","TICKER",3,,"Valid")</f>
        <v>0.745 (12:14:42.783166)</v>
      </c>
      <c r="AA208" s="3" t="s">
        <v>966</v>
      </c>
      <c r="AB208" s="14" t="str">
        <f>_xll.PLContribFull(F208*100,"BID",AA208,"Slot46","TICKER",3,,"Valid")</f>
        <v>1.700 (12:14:42.787167)</v>
      </c>
      <c r="AC208" s="5" t="str">
        <f>_xll.PLContribFull(M208*100,"ASK",AA208,"Slot46","TICKER",3,,"Valid")</f>
        <v>2.400 (12:14:42.742167)</v>
      </c>
    </row>
    <row r="211" spans="1:30" x14ac:dyDescent="0.25">
      <c r="A211" s="10" t="s">
        <v>967</v>
      </c>
      <c r="B211" s="10"/>
      <c r="C211" s="10"/>
      <c r="D211" s="10"/>
      <c r="E211" s="10"/>
      <c r="F211" s="10"/>
      <c r="G211" s="1"/>
      <c r="H211" s="1"/>
      <c r="I211" s="1"/>
      <c r="J211" s="1"/>
      <c r="K211" s="1"/>
      <c r="L211" s="1"/>
      <c r="M211" s="1"/>
      <c r="N211" s="1"/>
      <c r="O211" s="3" t="s">
        <v>67</v>
      </c>
      <c r="P211" s="15" t="s">
        <v>68</v>
      </c>
      <c r="Q211" s="15"/>
      <c r="R211" s="3" t="s">
        <v>67</v>
      </c>
      <c r="S211" s="15" t="s">
        <v>68</v>
      </c>
      <c r="T211" s="15"/>
      <c r="U211" s="3" t="s">
        <v>67</v>
      </c>
      <c r="V211" s="15" t="s">
        <v>68</v>
      </c>
      <c r="W211" s="15"/>
      <c r="X211" s="3" t="s">
        <v>67</v>
      </c>
      <c r="Y211" s="15" t="s">
        <v>68</v>
      </c>
      <c r="Z211" s="6"/>
      <c r="AA211" s="3" t="s">
        <v>67</v>
      </c>
      <c r="AB211" s="15" t="s">
        <v>68</v>
      </c>
      <c r="AC211" s="6"/>
    </row>
    <row r="212" spans="1:30" x14ac:dyDescent="0.25">
      <c r="A212" s="12" t="s">
        <v>15</v>
      </c>
      <c r="B212" s="12" t="s">
        <v>0</v>
      </c>
      <c r="C212" s="12" t="s">
        <v>1</v>
      </c>
      <c r="D212" s="12" t="s">
        <v>2</v>
      </c>
      <c r="E212" s="12" t="s">
        <v>3</v>
      </c>
      <c r="F212" s="12" t="s">
        <v>4</v>
      </c>
      <c r="G212" s="1"/>
      <c r="H212" s="10" t="s">
        <v>16</v>
      </c>
      <c r="I212" s="10" t="s">
        <v>0</v>
      </c>
      <c r="J212" s="10" t="s">
        <v>1</v>
      </c>
      <c r="K212" s="10" t="s">
        <v>2</v>
      </c>
      <c r="L212" s="10" t="s">
        <v>3</v>
      </c>
      <c r="M212" s="10" t="s">
        <v>4</v>
      </c>
      <c r="N212" s="1"/>
      <c r="O212" s="3" t="s">
        <v>66</v>
      </c>
      <c r="P212" s="13" t="s">
        <v>15</v>
      </c>
      <c r="Q212" s="13" t="s">
        <v>16</v>
      </c>
      <c r="R212" s="3" t="s">
        <v>1</v>
      </c>
      <c r="S212" s="13" t="s">
        <v>15</v>
      </c>
      <c r="T212" s="13" t="s">
        <v>16</v>
      </c>
      <c r="U212" s="3" t="s">
        <v>2</v>
      </c>
      <c r="V212" s="13" t="s">
        <v>15</v>
      </c>
      <c r="W212" s="13" t="s">
        <v>16</v>
      </c>
      <c r="X212" s="3" t="s">
        <v>3</v>
      </c>
      <c r="Y212" s="13" t="s">
        <v>15</v>
      </c>
      <c r="Z212" s="4" t="s">
        <v>16</v>
      </c>
      <c r="AA212" s="3" t="s">
        <v>4</v>
      </c>
      <c r="AB212" s="13" t="s">
        <v>15</v>
      </c>
      <c r="AC212" s="4" t="s">
        <v>16</v>
      </c>
      <c r="AD212" s="2"/>
    </row>
    <row r="213" spans="1:30" x14ac:dyDescent="0.2">
      <c r="A213" s="12" t="s">
        <v>5</v>
      </c>
      <c r="B213" s="11">
        <f>'G7 Cross Input'!Q210</f>
        <v>9.4950000000000007E-2</v>
      </c>
      <c r="C213" s="11">
        <f>'G7 Cross Input'!R210</f>
        <v>-3.32E-2</v>
      </c>
      <c r="D213" s="11">
        <f>'G7 Cross Input'!S210</f>
        <v>-6.4699999999999994E-2</v>
      </c>
      <c r="E213" s="11">
        <f>'G7 Cross Input'!T210</f>
        <v>-1.6000000000000003E-3</v>
      </c>
      <c r="F213" s="11">
        <f>'G7 Cross Input'!U210</f>
        <v>1.1999999999999997E-3</v>
      </c>
      <c r="G213" s="1"/>
      <c r="H213" s="10" t="s">
        <v>5</v>
      </c>
      <c r="I213" s="11">
        <f>'G7 Cross Input'!X210</f>
        <v>0.17605000000000001</v>
      </c>
      <c r="J213" s="11">
        <f>'G7 Cross Input'!Y210</f>
        <v>-2.1200000000000004E-2</v>
      </c>
      <c r="K213" s="11">
        <f>'G7 Cross Input'!Z210</f>
        <v>-4.07E-2</v>
      </c>
      <c r="L213" s="11">
        <f>'G7 Cross Input'!AA210</f>
        <v>6.3999999999999994E-3</v>
      </c>
      <c r="M213" s="11">
        <f>'G7 Cross Input'!AB210</f>
        <v>1.72E-2</v>
      </c>
      <c r="N213" s="1"/>
      <c r="O213" s="3" t="s">
        <v>1831</v>
      </c>
      <c r="P213" s="14" t="str">
        <f>_xll.PLContribFull(B213*100,"BID",O213,"Slot46","TICKER",3,,"Valid")</f>
        <v>9.495 (12:14:42.796169)</v>
      </c>
      <c r="Q213" s="5" t="str">
        <f>_xll.PLContribFull(I213*100,"ASK",O213,"Slot46","TICKER",3,,"Valid")</f>
        <v>17.605 (12:14:42.796169)</v>
      </c>
      <c r="R213" s="3" t="s">
        <v>1842</v>
      </c>
      <c r="S213" s="14" t="str">
        <f>_xll.PLContribFull(C213*100,"BID",R213,"Slot46","TICKER",3,,"Valid")</f>
        <v>-3.320 (12:14:42.755167)</v>
      </c>
      <c r="T213" s="14" t="str">
        <f>_xll.PLContribFull(J213*100,"ASK",R213,"Slot46","TICKER",3,,"Valid")</f>
        <v>-2.120 (12:14:42.786167)</v>
      </c>
      <c r="U213" s="3" t="s">
        <v>1853</v>
      </c>
      <c r="V213" s="14" t="str">
        <f>_xll.PLContribFull(D213*100,"BID",U213,"Slot46","TICKER",3,,"Valid")</f>
        <v>-6.470 (12:14:42.799167)</v>
      </c>
      <c r="W213" s="5" t="str">
        <f>_xll.PLContribFull(K213*100,"ASK",U213,"Slot46","TICKER",3,,"Valid")</f>
        <v>-4.070 (12:14:42.789167)</v>
      </c>
      <c r="X213" s="3" t="s">
        <v>1864</v>
      </c>
      <c r="Y213" s="14" t="str">
        <f>_xll.PLContribFull(E213*100,"BID",X213,"Slot46","TICKER",3,,"Valid")</f>
        <v>-0.160 (12:14:42.797167)</v>
      </c>
      <c r="Z213" s="14" t="str">
        <f>_xll.PLContribFull(L213*100,"ASK",X213,"Slot46","TICKER",3,,"Valid")</f>
        <v>0.640 (12:14:42.751168)</v>
      </c>
      <c r="AA213" s="3" t="s">
        <v>1875</v>
      </c>
      <c r="AB213" s="14" t="str">
        <f>_xll.PLContribFull(F213*100,"BID",AA213,"Slot46","TICKER",3,,"Valid")</f>
        <v>0.120 (12:14:42.743167)</v>
      </c>
      <c r="AC213" s="5" t="str">
        <f>_xll.PLContribFull(M213*100,"ASK",AA213,"Slot46","TICKER",3,,"Valid")</f>
        <v>1.720 (12:14:42.796169)</v>
      </c>
      <c r="AD213" s="16"/>
    </row>
    <row r="214" spans="1:30" x14ac:dyDescent="0.2">
      <c r="A214" s="12" t="s">
        <v>6</v>
      </c>
      <c r="B214" s="11">
        <f>'G7 Cross Input'!Q211</f>
        <v>8.9199999999999988E-2</v>
      </c>
      <c r="C214" s="11">
        <f>'G7 Cross Input'!R211</f>
        <v>-2.35E-2</v>
      </c>
      <c r="D214" s="11">
        <f>'G7 Cross Input'!S211</f>
        <v>-4.6299999999999994E-2</v>
      </c>
      <c r="E214" s="11">
        <f>'G7 Cross Input'!T211</f>
        <v>7.000000000000001E-4</v>
      </c>
      <c r="F214" s="11">
        <f>'G7 Cross Input'!U211</f>
        <v>6.7000000000000011E-3</v>
      </c>
      <c r="G214" s="1"/>
      <c r="H214" s="10" t="s">
        <v>6</v>
      </c>
      <c r="I214" s="11">
        <f>'G7 Cross Input'!X211</f>
        <v>0.11239999999999999</v>
      </c>
      <c r="J214" s="11">
        <f>'G7 Cross Input'!Y211</f>
        <v>-1.8500000000000003E-2</v>
      </c>
      <c r="K214" s="11">
        <f>'G7 Cross Input'!Z211</f>
        <v>-3.6299999999999999E-2</v>
      </c>
      <c r="L214" s="11">
        <f>'G7 Cross Input'!AA211</f>
        <v>4.7000000000000002E-3</v>
      </c>
      <c r="M214" s="11">
        <f>'G7 Cross Input'!AB211</f>
        <v>1.4700000000000001E-2</v>
      </c>
      <c r="N214" s="1"/>
      <c r="O214" s="3" t="s">
        <v>1832</v>
      </c>
      <c r="P214" s="14" t="str">
        <f>_xll.PLContribFull(B214*100,"BID",O214,"Slot46","TICKER",3,,"Valid")</f>
        <v>8.920 (12:14:42.790167)</v>
      </c>
      <c r="Q214" s="5" t="str">
        <f>_xll.PLContribFull(I214*100,"ASK",O214,"Slot46","TICKER",3,,"Valid")</f>
        <v>11.240 (12:14:42.780166)</v>
      </c>
      <c r="R214" s="3" t="s">
        <v>1843</v>
      </c>
      <c r="S214" s="14" t="str">
        <f>_xll.PLContribFull(C214*100,"BID",R214,"Slot46","TICKER",3,,"Valid")</f>
        <v>-2.350 (12:14:42.787167)</v>
      </c>
      <c r="T214" s="14" t="str">
        <f>_xll.PLContribFull(J214*100,"ASK",R214,"Slot46","TICKER",3,,"Valid")</f>
        <v>-1.850 (12:14:42.752166)</v>
      </c>
      <c r="U214" s="3" t="s">
        <v>1854</v>
      </c>
      <c r="V214" s="14" t="str">
        <f>_xll.PLContribFull(D214*100,"BID",U214,"Slot46","TICKER",3,,"Valid")</f>
        <v>-4.630 (12:14:42.793169)</v>
      </c>
      <c r="W214" s="5" t="str">
        <f>_xll.PLContribFull(K214*100,"ASK",U214,"Slot46","TICKER",3,,"Valid")</f>
        <v>-3.630 (12:14:42.787167)</v>
      </c>
      <c r="X214" s="3" t="s">
        <v>1865</v>
      </c>
      <c r="Y214" s="14" t="str">
        <f>_xll.PLContribFull(E214*100,"BID",X214,"Slot46","TICKER",3,,"Valid")</f>
        <v>0.070 (12:14:42.791166)</v>
      </c>
      <c r="Z214" s="14" t="str">
        <f>_xll.PLContribFull(L214*100,"ASK",X214,"Slot46","TICKER",3,,"Valid")</f>
        <v>0.470 (12:14:42.745167)</v>
      </c>
      <c r="AA214" s="3" t="s">
        <v>1876</v>
      </c>
      <c r="AB214" s="14" t="str">
        <f>_xll.PLContribFull(F214*100,"BID",AA214,"Slot46","TICKER",3,,"Valid")</f>
        <v>0.670 (12:14:42.796169)</v>
      </c>
      <c r="AC214" s="5" t="str">
        <f>_xll.PLContribFull(M214*100,"ASK",AA214,"Slot46","TICKER",3,,"Valid")</f>
        <v>1.470 (12:14:42.794168)</v>
      </c>
      <c r="AD214" s="16"/>
    </row>
    <row r="215" spans="1:30" x14ac:dyDescent="0.2">
      <c r="A215" s="12" t="s">
        <v>7</v>
      </c>
      <c r="B215" s="11">
        <f>'G7 Cross Input'!Q212</f>
        <v>9.5149999999999998E-2</v>
      </c>
      <c r="C215" s="11">
        <f>'G7 Cross Input'!R212</f>
        <v>-2.3199999999999998E-2</v>
      </c>
      <c r="D215" s="11">
        <f>'G7 Cross Input'!S212</f>
        <v>-4.4499999999999998E-2</v>
      </c>
      <c r="E215" s="11">
        <f>'G7 Cross Input'!T212</f>
        <v>1.2000000000000001E-3</v>
      </c>
      <c r="F215" s="11">
        <f>'G7 Cross Input'!U212</f>
        <v>7.5000000000000006E-3</v>
      </c>
      <c r="G215" s="1"/>
      <c r="H215" s="10" t="s">
        <v>7</v>
      </c>
      <c r="I215" s="11">
        <f>'G7 Cross Input'!X212</f>
        <v>0.10865000000000001</v>
      </c>
      <c r="J215" s="11">
        <f>'G7 Cross Input'!Y212</f>
        <v>-1.9200000000000002E-2</v>
      </c>
      <c r="K215" s="11">
        <f>'G7 Cross Input'!Z212</f>
        <v>-3.6500000000000005E-2</v>
      </c>
      <c r="L215" s="11">
        <f>'G7 Cross Input'!AA212</f>
        <v>4.2000000000000006E-3</v>
      </c>
      <c r="M215" s="11">
        <f>'G7 Cross Input'!AB212</f>
        <v>1.3500000000000002E-2</v>
      </c>
      <c r="N215" s="1"/>
      <c r="O215" s="3" t="s">
        <v>1833</v>
      </c>
      <c r="P215" s="14" t="str">
        <f>_xll.PLContribFull(B215*100,"BID",O215,"Slot46","TICKER",3,,"Valid")</f>
        <v>9.515 (12:14:42.790167)</v>
      </c>
      <c r="Q215" s="5" t="str">
        <f>_xll.PLContribFull(I215*100,"ASK",O215,"Slot46","TICKER",3,,"Valid")</f>
        <v>10.865 (12:14:42.783166)</v>
      </c>
      <c r="R215" s="3" t="s">
        <v>1844</v>
      </c>
      <c r="S215" s="14" t="str">
        <f>_xll.PLContribFull(C215*100,"BID",R215,"Slot46","TICKER",3,,"Valid")</f>
        <v>-2.320 (12:14:42.749167)</v>
      </c>
      <c r="T215" s="14" t="str">
        <f>_xll.PLContribFull(J215*100,"ASK",R215,"Slot46","TICKER",3,,"Valid")</f>
        <v>-1.920 (12:14:42.796169)</v>
      </c>
      <c r="U215" s="3" t="s">
        <v>1855</v>
      </c>
      <c r="V215" s="14" t="str">
        <f>_xll.PLContribFull(D215*100,"BID",U215,"Slot46","TICKER",3,,"Valid")</f>
        <v>-4.450 (12:14:42.795166)</v>
      </c>
      <c r="W215" s="5" t="str">
        <f>_xll.PLContribFull(K215*100,"ASK",U215,"Slot46","TICKER",3,,"Valid")</f>
        <v>-3.650 (12:14:42.799167)</v>
      </c>
      <c r="X215" s="3" t="s">
        <v>1866</v>
      </c>
      <c r="Y215" s="14" t="str">
        <f>_xll.PLContribFull(E215*100,"BID",X215,"Slot46","TICKER",3,,"Valid")</f>
        <v>0.120 (12:14:42.787167)</v>
      </c>
      <c r="Z215" s="14" t="str">
        <f>_xll.PLContribFull(L215*100,"ASK",X215,"Slot46","TICKER",3,,"Valid")</f>
        <v>0.420 (12:14:42.793169)</v>
      </c>
      <c r="AA215" s="3" t="s">
        <v>1877</v>
      </c>
      <c r="AB215" s="14" t="str">
        <f>_xll.PLContribFull(F215*100,"BID",AA215,"Slot46","TICKER",3,,"Valid")</f>
        <v>0.750 (12:14:42.751168)</v>
      </c>
      <c r="AC215" s="5" t="str">
        <f>_xll.PLContribFull(M215*100,"ASK",AA215,"Slot46","TICKER",3,,"Valid")</f>
        <v>1.350 (12:14:42.784167)</v>
      </c>
      <c r="AD215" s="16"/>
    </row>
    <row r="216" spans="1:30" x14ac:dyDescent="0.2">
      <c r="A216" s="12" t="s">
        <v>8</v>
      </c>
      <c r="B216" s="11">
        <f>'G7 Cross Input'!Q213</f>
        <v>9.144999999999999E-2</v>
      </c>
      <c r="C216" s="11">
        <f>'G7 Cross Input'!R213</f>
        <v>-2.1599999999999998E-2</v>
      </c>
      <c r="D216" s="11">
        <f>'G7 Cross Input'!S213</f>
        <v>-3.85E-2</v>
      </c>
      <c r="E216" s="11">
        <f>'G7 Cross Input'!T213</f>
        <v>1.3999999999999998E-3</v>
      </c>
      <c r="F216" s="11">
        <f>'G7 Cross Input'!U213</f>
        <v>7.7000000000000002E-3</v>
      </c>
      <c r="G216" s="1"/>
      <c r="H216" s="10" t="s">
        <v>8</v>
      </c>
      <c r="I216" s="11">
        <f>'G7 Cross Input'!X213</f>
        <v>9.8150000000000001E-2</v>
      </c>
      <c r="J216" s="11">
        <f>'G7 Cross Input'!Y213</f>
        <v>-1.8599999999999995E-2</v>
      </c>
      <c r="K216" s="11">
        <f>'G7 Cross Input'!Z213</f>
        <v>-3.2499999999999994E-2</v>
      </c>
      <c r="L216" s="11">
        <f>'G7 Cross Input'!AA213</f>
        <v>3.3999999999999998E-3</v>
      </c>
      <c r="M216" s="11">
        <f>'G7 Cross Input'!AB213</f>
        <v>1.17E-2</v>
      </c>
      <c r="N216" s="1"/>
      <c r="O216" s="3" t="s">
        <v>1834</v>
      </c>
      <c r="P216" s="14" t="str">
        <f>_xll.PLContribFull(B216*100,"BID",O216,"Slot46","TICKER",3,,"Valid")</f>
        <v>9.145 (12:14:42.780166)</v>
      </c>
      <c r="Q216" s="5" t="str">
        <f>_xll.PLContribFull(I216*100,"ASK",O216,"Slot46","TICKER",3,,"Valid")</f>
        <v>9.815 (12:14:42.790167)</v>
      </c>
      <c r="R216" s="3" t="s">
        <v>1845</v>
      </c>
      <c r="S216" s="14" t="str">
        <f>_xll.PLContribFull(C216*100,"BID",R216,"Slot46","TICKER",3,,"Valid")</f>
        <v>-2.160 (12:14:42.754169)</v>
      </c>
      <c r="T216" s="14" t="str">
        <f>_xll.PLContribFull(J216*100,"ASK",R216,"Slot46","TICKER",3,,"Valid")</f>
        <v>-1.860 (12:14:42.784167)</v>
      </c>
      <c r="U216" s="3" t="s">
        <v>1856</v>
      </c>
      <c r="V216" s="14" t="str">
        <f>_xll.PLContribFull(D216*100,"BID",U216,"Slot46","TICKER",3,,"Valid")</f>
        <v>-3.850 (12:14:42.798166)</v>
      </c>
      <c r="W216" s="5" t="str">
        <f>_xll.PLContribFull(K216*100,"ASK",U216,"Slot46","TICKER",3,,"Valid")</f>
        <v>-3.250 (12:14:42.780166)</v>
      </c>
      <c r="X216" s="3" t="s">
        <v>1867</v>
      </c>
      <c r="Y216" s="14" t="str">
        <f>_xll.PLContribFull(E216*100,"BID",X216,"Slot46","TICKER",3,,"Valid")</f>
        <v>0.140 (12:14:42.785170)</v>
      </c>
      <c r="Z216" s="14" t="str">
        <f>_xll.PLContribFull(L216*100,"ASK",X216,"Slot46","TICKER",3,,"Valid")</f>
        <v>0.340 (12:14:42.792167)</v>
      </c>
      <c r="AA216" s="3" t="s">
        <v>1878</v>
      </c>
      <c r="AB216" s="14" t="str">
        <f>_xll.PLContribFull(F216*100,"BID",AA216,"Slot46","TICKER",3,,"Valid")</f>
        <v>0.770 (12:14:42.786167)</v>
      </c>
      <c r="AC216" s="5" t="str">
        <f>_xll.PLContribFull(M216*100,"ASK",AA216,"Slot46","TICKER",3,,"Valid")</f>
        <v>1.170 (12:14:42.750168)</v>
      </c>
      <c r="AD216" s="16"/>
    </row>
    <row r="217" spans="1:30" x14ac:dyDescent="0.2">
      <c r="A217" s="12" t="s">
        <v>9</v>
      </c>
      <c r="B217" s="11">
        <f>'G7 Cross Input'!Q214</f>
        <v>8.5650000000000004E-2</v>
      </c>
      <c r="C217" s="11">
        <f>'G7 Cross Input'!R214</f>
        <v>-1.83E-2</v>
      </c>
      <c r="D217" s="11">
        <f>'G7 Cross Input'!S214</f>
        <v>-3.2900000000000006E-2</v>
      </c>
      <c r="E217" s="11">
        <f>'G7 Cross Input'!T214</f>
        <v>1.5E-3</v>
      </c>
      <c r="F217" s="11">
        <f>'G7 Cross Input'!U214</f>
        <v>7.7999999999999996E-3</v>
      </c>
      <c r="G217" s="1"/>
      <c r="H217" s="10" t="s">
        <v>9</v>
      </c>
      <c r="I217" s="11">
        <f>'G7 Cross Input'!X214</f>
        <v>9.1950000000000004E-2</v>
      </c>
      <c r="J217" s="11">
        <f>'G7 Cross Input'!Y214</f>
        <v>-1.5299999999999999E-2</v>
      </c>
      <c r="K217" s="11">
        <f>'G7 Cross Input'!Z214</f>
        <v>-2.6900000000000004E-2</v>
      </c>
      <c r="L217" s="11">
        <f>'G7 Cross Input'!AA214</f>
        <v>3.5000000000000001E-3</v>
      </c>
      <c r="M217" s="11">
        <f>'G7 Cross Input'!AB214</f>
        <v>1.18E-2</v>
      </c>
      <c r="N217" s="1"/>
      <c r="O217" s="3" t="s">
        <v>1835</v>
      </c>
      <c r="P217" s="14" t="str">
        <f>_xll.PLContribFull(B217*100,"BID",O217,"Slot46","TICKER",3,,"Valid")</f>
        <v>8.565 (12:14:42.796169)</v>
      </c>
      <c r="Q217" s="5" t="str">
        <f>_xll.PLContribFull(I217*100,"ASK",O217,"Slot46","TICKER",3,,"Valid")</f>
        <v>9.195 (12:14:42.794168)</v>
      </c>
      <c r="R217" s="3" t="s">
        <v>1846</v>
      </c>
      <c r="S217" s="14" t="str">
        <f>_xll.PLContribFull(C217*100,"BID",R217,"Slot46","TICKER",3,,"Valid")</f>
        <v>-1.830 (12:14:42.784167)</v>
      </c>
      <c r="T217" s="14" t="str">
        <f>_xll.PLContribFull(J217*100,"ASK",R217,"Slot46","TICKER",3,,"Valid")</f>
        <v>-1.530 (12:14:42.781168)</v>
      </c>
      <c r="U217" s="3" t="s">
        <v>1857</v>
      </c>
      <c r="V217" s="14" t="str">
        <f>_xll.PLContribFull(D217*100,"BID",U217,"Slot46","TICKER",3,,"Valid")</f>
        <v>-3.290 (12:14:42.742167)</v>
      </c>
      <c r="W217" s="5" t="str">
        <f>_xll.PLContribFull(K217*100,"ASK",U217,"Slot46","TICKER",3,,"Valid")</f>
        <v>-2.690 (12:14:42.794168)</v>
      </c>
      <c r="X217" s="3" t="s">
        <v>1868</v>
      </c>
      <c r="Y217" s="14" t="str">
        <f>_xll.PLContribFull(E217*100,"BID",X217,"Slot46","TICKER",3,,"Valid")</f>
        <v>0.150 (12:14:42.797167)</v>
      </c>
      <c r="Z217" s="14" t="str">
        <f>_xll.PLContribFull(L217*100,"ASK",X217,"Slot46","TICKER",3,,"Valid")</f>
        <v>0.350 (12:14:42.790167)</v>
      </c>
      <c r="AA217" s="3" t="s">
        <v>1879</v>
      </c>
      <c r="AB217" s="14" t="str">
        <f>_xll.PLContribFull(F217*100,"BID",AA217,"Slot46","TICKER",3,,"Valid")</f>
        <v>0.780 (12:14:42.750168)</v>
      </c>
      <c r="AC217" s="5" t="str">
        <f>_xll.PLContribFull(M217*100,"ASK",AA217,"Slot46","TICKER",3,,"Valid")</f>
        <v>1.180 (12:14:42.798166)</v>
      </c>
      <c r="AD217" s="16"/>
    </row>
    <row r="218" spans="1:30" x14ac:dyDescent="0.2">
      <c r="A218" s="12" t="s">
        <v>10</v>
      </c>
      <c r="B218" s="11">
        <f>'G7 Cross Input'!Q215</f>
        <v>8.3149999999999988E-2</v>
      </c>
      <c r="C218" s="11">
        <f>'G7 Cross Input'!R215</f>
        <v>-1.7300000000000003E-2</v>
      </c>
      <c r="D218" s="11">
        <f>'G7 Cross Input'!S215</f>
        <v>-3.1300000000000001E-2</v>
      </c>
      <c r="E218" s="11">
        <f>'G7 Cross Input'!T215</f>
        <v>1.5999999999999999E-3</v>
      </c>
      <c r="F218" s="11">
        <f>'G7 Cross Input'!U215</f>
        <v>8.3000000000000001E-3</v>
      </c>
      <c r="G218" s="1"/>
      <c r="H218" s="10" t="s">
        <v>10</v>
      </c>
      <c r="I218" s="11">
        <f>'G7 Cross Input'!X215</f>
        <v>8.9649999999999994E-2</v>
      </c>
      <c r="J218" s="11">
        <f>'G7 Cross Input'!Y215</f>
        <v>-1.4300000000000002E-2</v>
      </c>
      <c r="K218" s="11">
        <f>'G7 Cross Input'!Z215</f>
        <v>-2.5300000000000003E-2</v>
      </c>
      <c r="L218" s="11">
        <f>'G7 Cross Input'!AA215</f>
        <v>3.5999999999999999E-3</v>
      </c>
      <c r="M218" s="11">
        <f>'G7 Cross Input'!AB215</f>
        <v>1.23E-2</v>
      </c>
      <c r="N218" s="1"/>
      <c r="O218" s="3" t="s">
        <v>1836</v>
      </c>
      <c r="P218" s="14" t="str">
        <f>_xll.PLContribFull(B218*100,"BID",O218,"Slot46","TICKER",3,,"Valid")</f>
        <v>8.315 (12:14:42.788167)</v>
      </c>
      <c r="Q218" s="5" t="str">
        <f>_xll.PLContribFull(I218*100,"ASK",O218,"Slot46","TICKER",3,,"Valid")</f>
        <v>8.965 (12:14:42.781168)</v>
      </c>
      <c r="R218" s="3" t="s">
        <v>1847</v>
      </c>
      <c r="S218" s="14" t="str">
        <f>_xll.PLContribFull(C218*100,"BID",R218,"Slot46","TICKER",3,,"Valid")</f>
        <v>-1.730 (12:14:42.783166)</v>
      </c>
      <c r="T218" s="14" t="str">
        <f>_xll.PLContribFull(J218*100,"ASK",R218,"Slot46","TICKER",3,,"Valid")</f>
        <v>-1.430 (12:14:42.797167)</v>
      </c>
      <c r="U218" s="3" t="s">
        <v>1858</v>
      </c>
      <c r="V218" s="14" t="str">
        <f>_xll.PLContribFull(D218*100,"BID",U218,"Slot46","TICKER",3,,"Valid")</f>
        <v>-3.130 (12:14:42.753167)</v>
      </c>
      <c r="W218" s="5" t="str">
        <f>_xll.PLContribFull(K218*100,"ASK",U218,"Slot46","TICKER",3,,"Valid")</f>
        <v>-2.530 (12:14:42.782167)</v>
      </c>
      <c r="X218" s="3" t="s">
        <v>1869</v>
      </c>
      <c r="Y218" s="14" t="str">
        <f>_xll.PLContribFull(E218*100,"BID",X218,"Slot46","TICKER",3,,"Valid")</f>
        <v>0.160 (12:14:42.754169)</v>
      </c>
      <c r="Z218" s="14" t="str">
        <f>_xll.PLContribFull(L218*100,"ASK",X218,"Slot46","TICKER",3,,"Valid")</f>
        <v>0.360 (12:14:42.797167)</v>
      </c>
      <c r="AA218" s="3" t="s">
        <v>1880</v>
      </c>
      <c r="AB218" s="14" t="str">
        <f>_xll.PLContribFull(F218*100,"BID",AA218,"Slot46","TICKER",3,,"Valid")</f>
        <v>0.830 (12:14:42.781168)</v>
      </c>
      <c r="AC218" s="5" t="str">
        <f>_xll.PLContribFull(M218*100,"ASK",AA218,"Slot46","TICKER",3,,"Valid")</f>
        <v>1.230 (12:14:42.754169)</v>
      </c>
      <c r="AD218" s="16"/>
    </row>
    <row r="219" spans="1:30" x14ac:dyDescent="0.2">
      <c r="A219" s="12" t="s">
        <v>11</v>
      </c>
      <c r="B219" s="11">
        <f>'G7 Cross Input'!Q216</f>
        <v>8.0299999999999983E-2</v>
      </c>
      <c r="C219" s="11">
        <f>'G7 Cross Input'!R216</f>
        <v>-1.2200000000000001E-2</v>
      </c>
      <c r="D219" s="11">
        <f>'G7 Cross Input'!S216</f>
        <v>-2.2599999999999999E-2</v>
      </c>
      <c r="E219" s="11">
        <f>'G7 Cross Input'!T216</f>
        <v>1.5E-3</v>
      </c>
      <c r="F219" s="11">
        <f>'G7 Cross Input'!U216</f>
        <v>8.0999999999999996E-3</v>
      </c>
      <c r="G219" s="1"/>
      <c r="H219" s="10" t="s">
        <v>11</v>
      </c>
      <c r="I219" s="11">
        <f>'G7 Cross Input'!X216</f>
        <v>8.6499999999999994E-2</v>
      </c>
      <c r="J219" s="11">
        <f>'G7 Cross Input'!Y216</f>
        <v>-9.2000000000000016E-3</v>
      </c>
      <c r="K219" s="11">
        <f>'G7 Cross Input'!Z216</f>
        <v>-1.66E-2</v>
      </c>
      <c r="L219" s="11">
        <f>'G7 Cross Input'!AA216</f>
        <v>3.5000000000000001E-3</v>
      </c>
      <c r="M219" s="11">
        <f>'G7 Cross Input'!AB216</f>
        <v>1.21E-2</v>
      </c>
      <c r="N219" s="1"/>
      <c r="O219" s="3" t="s">
        <v>1837</v>
      </c>
      <c r="P219" s="14" t="str">
        <f>_xll.PLContribFull(B219*100,"BID",O219,"Slot46","TICKER",3,,"Valid")</f>
        <v>8.030 (12:14:42.792167)</v>
      </c>
      <c r="Q219" s="5" t="str">
        <f>_xll.PLContribFull(I219*100,"ASK",O219,"Slot46","TICKER",3,,"Valid")</f>
        <v>8.650 (12:14:42.793169)</v>
      </c>
      <c r="R219" s="3" t="s">
        <v>1848</v>
      </c>
      <c r="S219" s="14" t="str">
        <f>_xll.PLContribFull(C219*100,"BID",R219,"Slot46","TICKER",3,,"Valid")</f>
        <v>-1.220 (12:14:42.786167)</v>
      </c>
      <c r="T219" s="14" t="str">
        <f>_xll.PLContribFull(J219*100,"ASK",R219,"Slot46","TICKER",3,,"Valid")</f>
        <v>-0.920 (12:14:42.791166)</v>
      </c>
      <c r="U219" s="3" t="s">
        <v>1859</v>
      </c>
      <c r="V219" s="14" t="str">
        <f>_xll.PLContribFull(D219*100,"BID",U219,"Slot46","TICKER",3,,"Valid")</f>
        <v>-2.260 (12:14:42.787167)</v>
      </c>
      <c r="W219" s="5" t="str">
        <f>_xll.PLContribFull(K219*100,"ASK",U219,"Slot46","TICKER",3,,"Valid")</f>
        <v>-1.660 (12:14:42.784167)</v>
      </c>
      <c r="X219" s="3" t="s">
        <v>1870</v>
      </c>
      <c r="Y219" s="14" t="str">
        <f>_xll.PLContribFull(E219*100,"BID",X219,"Slot46","TICKER",3,,"Valid")</f>
        <v>0.150 (12:14:42.795166)</v>
      </c>
      <c r="Z219" s="14" t="str">
        <f>_xll.PLContribFull(L219*100,"ASK",X219,"Slot46","TICKER",3,,"Valid")</f>
        <v>0.350 (12:14:42.754169)</v>
      </c>
      <c r="AA219" s="3" t="s">
        <v>1881</v>
      </c>
      <c r="AB219" s="14" t="str">
        <f>_xll.PLContribFull(F219*100,"BID",AA219,"Slot46","TICKER",3,,"Valid")</f>
        <v>0.810 (12:14:42.783166)</v>
      </c>
      <c r="AC219" s="5" t="str">
        <f>_xll.PLContribFull(M219*100,"ASK",AA219,"Slot46","TICKER",3,,"Valid")</f>
        <v>1.210 (12:14:42.790167)</v>
      </c>
      <c r="AD219" s="16"/>
    </row>
    <row r="220" spans="1:30" x14ac:dyDescent="0.2">
      <c r="A220" s="12" t="s">
        <v>12</v>
      </c>
      <c r="B220" s="11">
        <f>'G7 Cross Input'!Q217</f>
        <v>7.9750000000000001E-2</v>
      </c>
      <c r="C220" s="11">
        <f>'G7 Cross Input'!R217</f>
        <v>-9.8999999999999991E-3</v>
      </c>
      <c r="D220" s="11">
        <f>'G7 Cross Input'!S217</f>
        <v>-1.8700000000000001E-2</v>
      </c>
      <c r="E220" s="11">
        <f>'G7 Cross Input'!T217</f>
        <v>1.7000000000000001E-3</v>
      </c>
      <c r="F220" s="11">
        <f>'G7 Cross Input'!U217</f>
        <v>8.8000000000000005E-3</v>
      </c>
      <c r="G220" s="1"/>
      <c r="H220" s="10" t="s">
        <v>12</v>
      </c>
      <c r="I220" s="11">
        <f>'G7 Cross Input'!X217</f>
        <v>8.5450000000000012E-2</v>
      </c>
      <c r="J220" s="11">
        <f>'G7 Cross Input'!Y217</f>
        <v>-6.8999999999999999E-3</v>
      </c>
      <c r="K220" s="11">
        <f>'G7 Cross Input'!Z217</f>
        <v>-1.2700000000000003E-2</v>
      </c>
      <c r="L220" s="11">
        <f>'G7 Cross Input'!AA217</f>
        <v>3.7000000000000002E-3</v>
      </c>
      <c r="M220" s="11">
        <f>'G7 Cross Input'!AB217</f>
        <v>1.2800000000000001E-2</v>
      </c>
      <c r="N220" s="1"/>
      <c r="O220" s="3" t="s">
        <v>1838</v>
      </c>
      <c r="P220" s="14" t="str">
        <f>_xll.PLContribFull(B220*100,"BID",O220,"Slot46","TICKER",3,,"Valid")</f>
        <v>7.975 (12:14:42.789167)</v>
      </c>
      <c r="Q220" s="5" t="str">
        <f>_xll.PLContribFull(I220*100,"ASK",O220,"Slot46","TICKER",3,,"Valid")</f>
        <v>8.545 (12:14:42.797167)</v>
      </c>
      <c r="R220" s="3" t="s">
        <v>1849</v>
      </c>
      <c r="S220" s="14" t="str">
        <f>_xll.PLContribFull(C220*100,"BID",R220,"Slot46","TICKER",3,,"Valid")</f>
        <v>-0.990 (12:14:42.784167)</v>
      </c>
      <c r="T220" s="14" t="str">
        <f>_xll.PLContribFull(J220*100,"ASK",R220,"Slot46","TICKER",3,,"Valid")</f>
        <v>-0.690 (12:14:42.795166)</v>
      </c>
      <c r="U220" s="3" t="s">
        <v>1860</v>
      </c>
      <c r="V220" s="14" t="str">
        <f>_xll.PLContribFull(D220*100,"BID",U220,"Slot46","TICKER",3,,"Valid")</f>
        <v>-1.870 (12:14:42.793169)</v>
      </c>
      <c r="W220" s="5" t="str">
        <f>_xll.PLContribFull(K220*100,"ASK",U220,"Slot46","TICKER",3,,"Valid")</f>
        <v>-1.270 (12:14:42.785170)</v>
      </c>
      <c r="X220" s="3" t="s">
        <v>1871</v>
      </c>
      <c r="Y220" s="14" t="str">
        <f>_xll.PLContribFull(E220*100,"BID",X220,"Slot46","TICKER",3,,"Valid")</f>
        <v>0.170 (12:14:42.789167)</v>
      </c>
      <c r="Z220" s="14" t="str">
        <f>_xll.PLContribFull(L220*100,"ASK",X220,"Slot46","TICKER",3,,"Valid")</f>
        <v>0.370 (12:14:42.796169)</v>
      </c>
      <c r="AA220" s="3" t="s">
        <v>1882</v>
      </c>
      <c r="AB220" s="14" t="str">
        <f>_xll.PLContribFull(F220*100,"BID",AA220,"Slot46","TICKER",3,,"Valid")</f>
        <v>0.880 (12:14:42.794168)</v>
      </c>
      <c r="AC220" s="5" t="str">
        <f>_xll.PLContribFull(M220*100,"ASK",AA220,"Slot46","TICKER",3,,"Valid")</f>
        <v>1.280 (12:14:42.787167)</v>
      </c>
      <c r="AD220" s="16"/>
    </row>
    <row r="221" spans="1:30" x14ac:dyDescent="0.2">
      <c r="A221" s="12" t="s">
        <v>13</v>
      </c>
      <c r="B221" s="11">
        <f>'G7 Cross Input'!Q218</f>
        <v>7.9549999999999996E-2</v>
      </c>
      <c r="C221" s="11">
        <f>'G7 Cross Input'!R218</f>
        <v>-7.4000000000000003E-3</v>
      </c>
      <c r="D221" s="11">
        <f>'G7 Cross Input'!S218</f>
        <v>-1.4100000000000001E-2</v>
      </c>
      <c r="E221" s="11">
        <f>'G7 Cross Input'!T218</f>
        <v>1.8999999999999998E-3</v>
      </c>
      <c r="F221" s="11">
        <f>'G7 Cross Input'!U218</f>
        <v>9.2000000000000016E-3</v>
      </c>
      <c r="G221" s="1"/>
      <c r="H221" s="10" t="s">
        <v>13</v>
      </c>
      <c r="I221" s="11">
        <f>'G7 Cross Input'!X218</f>
        <v>8.5050000000000001E-2</v>
      </c>
      <c r="J221" s="11">
        <f>'G7 Cross Input'!Y218</f>
        <v>-4.3999999999999994E-3</v>
      </c>
      <c r="K221" s="11">
        <f>'G7 Cross Input'!Z218</f>
        <v>-8.0999999999999996E-3</v>
      </c>
      <c r="L221" s="11">
        <f>'G7 Cross Input'!AA218</f>
        <v>3.8999999999999998E-3</v>
      </c>
      <c r="M221" s="11">
        <f>'G7 Cross Input'!AB218</f>
        <v>1.3200000000000002E-2</v>
      </c>
      <c r="N221" s="1"/>
      <c r="O221" s="3" t="s">
        <v>1839</v>
      </c>
      <c r="P221" s="14" t="str">
        <f>_xll.PLContribFull(B221*100,"BID",O221,"Slot46","TICKER",3,,"Valid")</f>
        <v>7.955 (12:14:42.785170)</v>
      </c>
      <c r="Q221" s="5" t="str">
        <f>_xll.PLContribFull(I221*100,"ASK",O221,"Slot46","TICKER",3,,"Valid")</f>
        <v>8.505 (12:14:42.795166)</v>
      </c>
      <c r="R221" s="3" t="s">
        <v>1850</v>
      </c>
      <c r="S221" s="14" t="str">
        <f>_xll.PLContribFull(C221*100,"BID",R221,"Slot46","TICKER",3,,"Valid")</f>
        <v>-0.740 (12:14:42.787167)</v>
      </c>
      <c r="T221" s="14" t="str">
        <f>_xll.PLContribFull(J221*100,"ASK",R221,"Slot46","TICKER",3,,"Valid")</f>
        <v>-0.440 (12:14:42.790167)</v>
      </c>
      <c r="U221" s="3" t="s">
        <v>1861</v>
      </c>
      <c r="V221" s="14" t="str">
        <f>_xll.PLContribFull(D221*100,"BID",U221,"Slot46","TICKER",3,,"Valid")</f>
        <v>-1.410 (12:14:42.781168)</v>
      </c>
      <c r="W221" s="5" t="str">
        <f>_xll.PLContribFull(K221*100,"ASK",U221,"Slot46","TICKER",3,,"Valid")</f>
        <v>-0.810 (12:14:42.783166)</v>
      </c>
      <c r="X221" s="3" t="s">
        <v>1872</v>
      </c>
      <c r="Y221" s="14" t="str">
        <f>_xll.PLContribFull(E221*100,"BID",X221,"Slot46","TICKER",3,,"Valid")</f>
        <v>0.190 (12:14:42.793169)</v>
      </c>
      <c r="Z221" s="14" t="str">
        <f>_xll.PLContribFull(L221*100,"ASK",X221,"Slot46","TICKER",3,,"Valid")</f>
        <v>0.390 (12:14:42.787167)</v>
      </c>
      <c r="AA221" s="3" t="s">
        <v>1883</v>
      </c>
      <c r="AB221" s="14" t="str">
        <f>_xll.PLContribFull(F221*100,"BID",AA221,"Slot46","TICKER",3,,"Valid")</f>
        <v>0.920 (12:14:42.780166)</v>
      </c>
      <c r="AC221" s="5" t="str">
        <f>_xll.PLContribFull(M221*100,"ASK",AA221,"Slot46","TICKER",3,,"Valid")</f>
        <v>1.320 (12:14:42.787167)</v>
      </c>
      <c r="AD221" s="16"/>
    </row>
    <row r="222" spans="1:30" x14ac:dyDescent="0.2">
      <c r="A222" s="12" t="s">
        <v>14</v>
      </c>
      <c r="B222" s="11">
        <f>'G7 Cross Input'!Q219</f>
        <v>7.8949999999999992E-2</v>
      </c>
      <c r="C222" s="11">
        <f>'G7 Cross Input'!R219</f>
        <v>-6.3999999999999994E-3</v>
      </c>
      <c r="D222" s="11">
        <f>'G7 Cross Input'!S219</f>
        <v>-1.1800000000000001E-2</v>
      </c>
      <c r="E222" s="11">
        <f>'G7 Cross Input'!T219</f>
        <v>2.0999999999999999E-3</v>
      </c>
      <c r="F222" s="11">
        <f>'G7 Cross Input'!U219</f>
        <v>0.01</v>
      </c>
      <c r="G222" s="1"/>
      <c r="H222" s="10" t="s">
        <v>14</v>
      </c>
      <c r="I222" s="11">
        <f>'G7 Cross Input'!X219</f>
        <v>8.6049999999999988E-2</v>
      </c>
      <c r="J222" s="11">
        <f>'G7 Cross Input'!Y219</f>
        <v>-3.3999999999999998E-3</v>
      </c>
      <c r="K222" s="11">
        <f>'G7 Cross Input'!Z219</f>
        <v>-5.8000000000000005E-3</v>
      </c>
      <c r="L222" s="11">
        <f>'G7 Cross Input'!AA219</f>
        <v>4.0999999999999995E-3</v>
      </c>
      <c r="M222" s="11">
        <f>'G7 Cross Input'!AB219</f>
        <v>1.4E-2</v>
      </c>
      <c r="N222" s="1"/>
      <c r="O222" s="3" t="s">
        <v>1840</v>
      </c>
      <c r="P222" s="14" t="str">
        <f>_xll.PLContribFull(B222*100,"BID",O222,"Slot46","TICKER",3,,"Valid")</f>
        <v>7.895 (12:14:42.797167)</v>
      </c>
      <c r="Q222" s="5" t="str">
        <f>_xll.PLContribFull(I222*100,"ASK",O222,"Slot46","TICKER",3,,"Valid")</f>
        <v>8.605 (12:14:42.795166)</v>
      </c>
      <c r="R222" s="3" t="s">
        <v>1851</v>
      </c>
      <c r="S222" s="14" t="str">
        <f>_xll.PLContribFull(C222*100,"BID",R222,"Slot46","TICKER",3,,"Valid")</f>
        <v>-0.640 (12:14:42.755167)</v>
      </c>
      <c r="T222" s="14" t="str">
        <f>_xll.PLContribFull(J222*100,"ASK",R222,"Slot46","TICKER",3,,"Valid")</f>
        <v>-0.340 (12:14:42.781168)</v>
      </c>
      <c r="U222" s="3" t="s">
        <v>1862</v>
      </c>
      <c r="V222" s="14" t="str">
        <f>_xll.PLContribFull(D222*100,"BID",U222,"Slot46","TICKER",3,,"Valid")</f>
        <v>-1.180 (12:14:42.748167)</v>
      </c>
      <c r="W222" s="5" t="str">
        <f>_xll.PLContribFull(K222*100,"ASK",U222,"Slot46","TICKER",3,,"Valid")</f>
        <v>-0.580 (12:14:42.780166)</v>
      </c>
      <c r="X222" s="3" t="s">
        <v>1873</v>
      </c>
      <c r="Y222" s="14" t="str">
        <f>_xll.PLContribFull(E222*100,"BID",X222,"Slot46","TICKER",3,,"Valid")</f>
        <v>0.210 (12:14:42.746167)</v>
      </c>
      <c r="Z222" s="14" t="str">
        <f>_xll.PLContribFull(L222*100,"ASK",X222,"Slot46","TICKER",3,,"Valid")</f>
        <v>0.410 (12:14:42.783166)</v>
      </c>
      <c r="AA222" s="3" t="s">
        <v>1884</v>
      </c>
      <c r="AB222" s="14" t="str">
        <f>_xll.PLContribFull(F222*100,"BID",AA222,"Slot46","TICKER",3,,"Valid")</f>
        <v>1.000 (12:14:42.787167)</v>
      </c>
      <c r="AC222" s="5" t="str">
        <f>_xll.PLContribFull(M222*100,"ASK",AA222,"Slot46","TICKER",3,,"Valid")</f>
        <v>1.400 (12:14:42.748167)</v>
      </c>
      <c r="AD222" s="16"/>
    </row>
    <row r="223" spans="1:30" x14ac:dyDescent="0.2">
      <c r="A223" s="12" t="s">
        <v>876</v>
      </c>
      <c r="B223" s="11">
        <f>'G7 Cross Input'!Q220</f>
        <v>7.9350000000000004E-2</v>
      </c>
      <c r="C223" s="11">
        <f>'G7 Cross Input'!R220</f>
        <v>-6.0000000000000001E-3</v>
      </c>
      <c r="D223" s="11">
        <f>'G7 Cross Input'!S220</f>
        <v>-1.04E-2</v>
      </c>
      <c r="E223" s="11">
        <f>'G7 Cross Input'!T220</f>
        <v>2.8E-3</v>
      </c>
      <c r="F223" s="11">
        <f>'G7 Cross Input'!U220</f>
        <v>1.2999999999999999E-2</v>
      </c>
      <c r="G223" s="1"/>
      <c r="H223" s="10" t="s">
        <v>876</v>
      </c>
      <c r="I223" s="11">
        <f>'G7 Cross Input'!X220</f>
        <v>8.6650000000000005E-2</v>
      </c>
      <c r="J223" s="11">
        <f>'G7 Cross Input'!Y220</f>
        <v>-3.0000000000000005E-3</v>
      </c>
      <c r="K223" s="11">
        <f>'G7 Cross Input'!Z220</f>
        <v>-4.4000000000000003E-3</v>
      </c>
      <c r="L223" s="11">
        <f>'G7 Cross Input'!AA220</f>
        <v>4.8000000000000004E-3</v>
      </c>
      <c r="M223" s="11">
        <f>'G7 Cross Input'!AB220</f>
        <v>1.7000000000000001E-2</v>
      </c>
      <c r="N223" s="1"/>
      <c r="O223" s="3" t="s">
        <v>1841</v>
      </c>
      <c r="P223" s="14" t="str">
        <f>_xll.PLContribFull(B223*100,"BID",O223,"Slot46","TICKER",3,,"Valid")</f>
        <v>7.935 (12:14:42.785170)</v>
      </c>
      <c r="Q223" s="5" t="str">
        <f>_xll.PLContribFull(I223*100,"ASK",O223,"Slot46","TICKER",3,,"Valid")</f>
        <v>8.665 (12:14:42.789167)</v>
      </c>
      <c r="R223" s="3" t="s">
        <v>1852</v>
      </c>
      <c r="S223" s="14" t="str">
        <f>_xll.PLContribFull(C223*100,"BID",R223,"Slot46","TICKER",3,,"Valid")</f>
        <v>-0.600 (12:14:42.753167)</v>
      </c>
      <c r="T223" s="14" t="str">
        <f>_xll.PLContribFull(J223*100,"ASK",R223,"Slot46","TICKER",3,,"Valid")</f>
        <v>-0.300 (12:14:42.788167)</v>
      </c>
      <c r="U223" s="3" t="s">
        <v>1863</v>
      </c>
      <c r="V223" s="14" t="str">
        <f>_xll.PLContribFull(D223*100,"BID",U223,"Slot46","TICKER",3,,"Valid")</f>
        <v>-1.040 (12:14:42.796169)</v>
      </c>
      <c r="W223" s="5" t="str">
        <f>_xll.PLContribFull(K223*100,"ASK",U223,"Slot46","TICKER",3,,"Valid")</f>
        <v>-0.440 (12:14:42.790167)</v>
      </c>
      <c r="X223" s="3" t="s">
        <v>1874</v>
      </c>
      <c r="Y223" s="14" t="str">
        <f>_xll.PLContribFull(E223*100,"BID",X223,"Slot46","TICKER",3,,"Valid")</f>
        <v>0.280 (12:14:42.781168)</v>
      </c>
      <c r="Z223" s="14" t="str">
        <f>_xll.PLContribFull(L223*100,"ASK",X223,"Slot46","TICKER",3,,"Valid")</f>
        <v>0.480 (12:14:42.746167)</v>
      </c>
      <c r="AA223" s="3" t="s">
        <v>1885</v>
      </c>
      <c r="AB223" s="14" t="str">
        <f>_xll.PLContribFull(F223*100,"BID",AA223,"Slot46","TICKER",3,,"Valid")</f>
        <v>1.300 (12:14:42.786167)</v>
      </c>
      <c r="AC223" s="5" t="str">
        <f>_xll.PLContribFull(M223*100,"ASK",AA223,"Slot46","TICKER",3,,"Valid")</f>
        <v>1.700 (12:14:42.788167)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2"/>
  <dimension ref="A1:AD56"/>
  <sheetViews>
    <sheetView zoomScale="70" zoomScaleNormal="70" workbookViewId="0">
      <selection activeCell="N15" sqref="N15"/>
    </sheetView>
  </sheetViews>
  <sheetFormatPr defaultColWidth="9.42578125" defaultRowHeight="15.75" x14ac:dyDescent="0.25"/>
  <cols>
    <col min="1" max="1" width="10" style="10" bestFit="1" customWidth="1"/>
    <col min="2" max="2" width="9.5703125" style="10" bestFit="1" customWidth="1"/>
    <col min="3" max="6" width="8.5703125" style="10" bestFit="1" customWidth="1"/>
    <col min="7" max="7" width="9.42578125" style="1"/>
    <col min="8" max="8" width="5.42578125" style="1" bestFit="1" customWidth="1"/>
    <col min="9" max="9" width="9.5703125" style="1" bestFit="1" customWidth="1"/>
    <col min="10" max="11" width="8.42578125" style="1" bestFit="1" customWidth="1"/>
    <col min="12" max="12" width="8.42578125" style="1" customWidth="1"/>
    <col min="13" max="13" width="8.42578125" style="1" bestFit="1" customWidth="1"/>
    <col min="14" max="14" width="9.42578125" style="1"/>
    <col min="15" max="15" width="12" style="1" bestFit="1" customWidth="1"/>
    <col min="16" max="16" width="23.42578125" style="2" bestFit="1" customWidth="1"/>
    <col min="17" max="17" width="24.5703125" style="2" bestFit="1" customWidth="1"/>
    <col min="18" max="18" width="13.5703125" style="1" bestFit="1" customWidth="1"/>
    <col min="19" max="20" width="24.42578125" style="1" bestFit="1" customWidth="1"/>
    <col min="21" max="21" width="13.5703125" style="1" bestFit="1" customWidth="1"/>
    <col min="22" max="23" width="24.42578125" style="1" bestFit="1" customWidth="1"/>
    <col min="24" max="24" width="13.5703125" style="1" bestFit="1" customWidth="1"/>
    <col min="25" max="25" width="24.42578125" style="1" bestFit="1" customWidth="1"/>
    <col min="26" max="26" width="23.42578125" style="1" bestFit="1" customWidth="1"/>
    <col min="27" max="27" width="13.5703125" style="1" bestFit="1" customWidth="1"/>
    <col min="28" max="29" width="23.42578125" style="1" bestFit="1" customWidth="1"/>
    <col min="30" max="30" width="20" bestFit="1" customWidth="1"/>
    <col min="31" max="16384" width="9.42578125" style="1"/>
  </cols>
  <sheetData>
    <row r="1" spans="1:30" x14ac:dyDescent="0.25">
      <c r="A1" s="10" t="s">
        <v>1681</v>
      </c>
      <c r="O1" s="3" t="s">
        <v>67</v>
      </c>
      <c r="P1" s="15" t="s">
        <v>68</v>
      </c>
      <c r="Q1" s="6"/>
      <c r="R1" s="15" t="s">
        <v>67</v>
      </c>
      <c r="S1" s="15" t="s">
        <v>68</v>
      </c>
      <c r="T1" s="15"/>
      <c r="U1" s="3" t="s">
        <v>67</v>
      </c>
      <c r="V1" s="15" t="s">
        <v>68</v>
      </c>
      <c r="W1" s="6"/>
      <c r="X1" s="15" t="s">
        <v>67</v>
      </c>
      <c r="Y1" s="15" t="s">
        <v>68</v>
      </c>
      <c r="Z1" s="15"/>
      <c r="AA1" s="3" t="s">
        <v>67</v>
      </c>
      <c r="AB1" s="15" t="s">
        <v>68</v>
      </c>
      <c r="AC1" s="6"/>
    </row>
    <row r="2" spans="1:30" ht="14.25" x14ac:dyDescent="0.25">
      <c r="A2" s="12" t="s">
        <v>1512</v>
      </c>
      <c r="B2" s="12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H2" s="10" t="s">
        <v>1511</v>
      </c>
      <c r="I2" s="10" t="s">
        <v>0</v>
      </c>
      <c r="J2" s="10" t="s">
        <v>1</v>
      </c>
      <c r="K2" s="10" t="s">
        <v>2</v>
      </c>
      <c r="L2" s="10" t="s">
        <v>3</v>
      </c>
      <c r="M2" s="10" t="s">
        <v>4</v>
      </c>
      <c r="O2" s="3" t="s">
        <v>66</v>
      </c>
      <c r="P2" s="13" t="s">
        <v>1512</v>
      </c>
      <c r="Q2" s="4" t="s">
        <v>1511</v>
      </c>
      <c r="R2" s="15" t="s">
        <v>1</v>
      </c>
      <c r="S2" s="13" t="s">
        <v>1512</v>
      </c>
      <c r="T2" s="13" t="s">
        <v>1511</v>
      </c>
      <c r="U2" s="3" t="s">
        <v>2</v>
      </c>
      <c r="V2" s="13" t="s">
        <v>1512</v>
      </c>
      <c r="W2" s="4" t="s">
        <v>1511</v>
      </c>
      <c r="X2" s="15" t="s">
        <v>3</v>
      </c>
      <c r="Y2" s="13" t="s">
        <v>1512</v>
      </c>
      <c r="Z2" s="13" t="s">
        <v>1511</v>
      </c>
      <c r="AA2" s="3" t="s">
        <v>4</v>
      </c>
      <c r="AB2" s="13" t="s">
        <v>1512</v>
      </c>
      <c r="AC2" s="4" t="s">
        <v>1511</v>
      </c>
      <c r="AD2" s="2"/>
    </row>
    <row r="3" spans="1:30" x14ac:dyDescent="0.2">
      <c r="A3" s="12" t="s">
        <v>5</v>
      </c>
      <c r="B3" s="11">
        <f>'[4]EM PM Input'!Q2</f>
        <v>6.5000000000000006E-3</v>
      </c>
      <c r="C3" s="11">
        <f>'[4]EM PM Input'!R2</f>
        <v>-6.8000000000000005E-3</v>
      </c>
      <c r="D3" s="11">
        <f>'[4]EM PM Input'!S2</f>
        <v>-1.405E-2</v>
      </c>
      <c r="E3" s="11">
        <f>'[4]EM PM Input'!T2</f>
        <v>-1.6000000000000001E-3</v>
      </c>
      <c r="F3" s="11">
        <f>'[4]EM PM Input'!U2</f>
        <v>-1.8E-3</v>
      </c>
      <c r="H3" s="10" t="s">
        <v>5</v>
      </c>
      <c r="I3" s="11">
        <f>'[4]EM PM Input'!X2</f>
        <v>2.6500000000000003E-2</v>
      </c>
      <c r="J3" s="11">
        <f>'[4]EM PM Input'!Y2</f>
        <v>4.2000000000000006E-3</v>
      </c>
      <c r="K3" s="11">
        <f>'[4]EM PM Input'!Z2</f>
        <v>9.4500000000000001E-3</v>
      </c>
      <c r="L3" s="11">
        <f>'[4]EM PM Input'!AA2</f>
        <v>3.4000000000000002E-3</v>
      </c>
      <c r="M3" s="11">
        <f>'[4]EM PM Input'!AB2</f>
        <v>8.2000000000000007E-3</v>
      </c>
      <c r="O3" s="3" t="s">
        <v>1680</v>
      </c>
      <c r="P3" s="14" t="str">
        <f>_xll.PLContribFull(B3*100,"BID",O3,"Slot46","TICKER",3,,"Valid")</f>
        <v>0.650 (12:14:42.742167)</v>
      </c>
      <c r="Q3" s="5" t="str">
        <f>_xll.PLContribFull(I3*100,"ASK",O3,"Slot46","TICKER",3,,"Valid")</f>
        <v>2.650 (12:14:42.754169)</v>
      </c>
      <c r="R3" s="15" t="s">
        <v>1679</v>
      </c>
      <c r="S3" s="14" t="str">
        <f>_xll.PLContribFull(C3*100,"BID",R3,"Slot46","TICKER",3,,"Valid")</f>
        <v>-0.680 (12:14:42.756167)</v>
      </c>
      <c r="T3" s="14" t="str">
        <f>_xll.PLContribFull(J3*100,"ASK",R3,"Slot46","TICKER",3,,"Valid")</f>
        <v>0.420 (12:14:42.749167)</v>
      </c>
      <c r="U3" s="3" t="s">
        <v>1678</v>
      </c>
      <c r="V3" s="14" t="str">
        <f>_xll.PLContribFull(D3*100,"BID",U3,"Slot46","TICKER",3,,"Valid")</f>
        <v>-1.405 (12:14:42.751168)</v>
      </c>
      <c r="W3" s="5" t="str">
        <f>_xll.PLContribFull(K3*100,"ASK",U3,"Slot46","TICKER",3,,"Valid")</f>
        <v>0.945 (12:14:42.750168)</v>
      </c>
      <c r="X3" s="15" t="s">
        <v>1677</v>
      </c>
      <c r="Y3" s="14" t="str">
        <f>_xll.PLContribFull(E3*100,"BID",X3,"Slot46","TICKER",3,,"Valid")</f>
        <v>-0.160 (12:14:42.745167)</v>
      </c>
      <c r="Z3" s="14" t="str">
        <f>_xll.PLContribFull(L3*100,"ASK",X3,"Slot46","TICKER",3,,"Valid")</f>
        <v>0.340 (12:14:42.750168)</v>
      </c>
      <c r="AA3" s="3" t="s">
        <v>1676</v>
      </c>
      <c r="AB3" s="14" t="str">
        <f>_xll.PLContribFull(F3*100,"BID",AA3,"Slot46","TICKER",3,,"Valid")</f>
        <v>-0.180 (12:14:42.743167)</v>
      </c>
      <c r="AC3" s="5" t="str">
        <f>_xll.PLContribFull(M3*100,"ASK",AA3,"Slot46","TICKER",3,,"Valid")</f>
        <v>0.820 (12:14:42.739168)</v>
      </c>
      <c r="AD3" s="16"/>
    </row>
    <row r="4" spans="1:30" x14ac:dyDescent="0.2">
      <c r="A4" s="12" t="s">
        <v>6</v>
      </c>
      <c r="B4" s="11">
        <f>'[4]EM PM Input'!Q3</f>
        <v>1.4250000000000001E-2</v>
      </c>
      <c r="C4" s="11">
        <f>'[4]EM PM Input'!R3</f>
        <v>-3.5999999999999999E-3</v>
      </c>
      <c r="D4" s="11">
        <f>'[4]EM PM Input'!S3</f>
        <v>-7.0000000000000001E-3</v>
      </c>
      <c r="E4" s="11">
        <f>'[4]EM PM Input'!T3</f>
        <v>-1.1000000000000001E-3</v>
      </c>
      <c r="F4" s="11">
        <f>'[4]EM PM Input'!U3</f>
        <v>-1E-3</v>
      </c>
      <c r="H4" s="10" t="s">
        <v>6</v>
      </c>
      <c r="I4" s="11">
        <f>'[4]EM PM Input'!X3</f>
        <v>1.7750000000000002E-2</v>
      </c>
      <c r="J4" s="11">
        <f>'[4]EM PM Input'!Y3</f>
        <v>8.0000000000000015E-4</v>
      </c>
      <c r="K4" s="11">
        <f>'[4]EM PM Input'!Z3</f>
        <v>1.8000000000000004E-3</v>
      </c>
      <c r="L4" s="11">
        <f>'[4]EM PM Input'!AA3</f>
        <v>2.8999999999999998E-3</v>
      </c>
      <c r="M4" s="11">
        <f>'[4]EM PM Input'!AB3</f>
        <v>7.0000000000000001E-3</v>
      </c>
      <c r="O4" s="3" t="s">
        <v>1675</v>
      </c>
      <c r="P4" s="14" t="str">
        <f>_xll.PLContribFull(B4*100,"BID",O4,"Slot46","TICKER",3,,"Valid")</f>
        <v>1.425 (12:14:42.752166)</v>
      </c>
      <c r="Q4" s="5" t="str">
        <f>_xll.PLContribFull(I4*100,"ASK",O4,"Slot46","TICKER",3,,"Valid")</f>
        <v>1.775 (12:14:42.750168)</v>
      </c>
      <c r="R4" s="15" t="s">
        <v>1674</v>
      </c>
      <c r="S4" s="14" t="str">
        <f>_xll.PLContribFull(C4*100,"BID",R4,"Slot46","TICKER",3,,"Valid")</f>
        <v>-0.360 (12:14:42.756167)</v>
      </c>
      <c r="T4" s="14" t="str">
        <f>_xll.PLContribFull(J4*100,"ASK",R4,"Slot46","TICKER",3,,"Valid")</f>
        <v>0.080 (12:14:42.741170)</v>
      </c>
      <c r="U4" s="3" t="s">
        <v>1673</v>
      </c>
      <c r="V4" s="14" t="str">
        <f>_xll.PLContribFull(D4*100,"BID",U4,"Slot46","TICKER",3,,"Valid")</f>
        <v>-0.700 (12:14:42.741170)</v>
      </c>
      <c r="W4" s="5" t="str">
        <f>_xll.PLContribFull(K4*100,"ASK",U4,"Slot46","TICKER",3,,"Valid")</f>
        <v>0.180 (12:14:42.745167)</v>
      </c>
      <c r="X4" s="15" t="s">
        <v>1672</v>
      </c>
      <c r="Y4" s="14" t="str">
        <f>_xll.PLContribFull(E4*100,"BID",X4,"Slot46","TICKER",3,,"Valid")</f>
        <v>-0.110 (12:14:42.746167)</v>
      </c>
      <c r="Z4" s="14" t="str">
        <f>_xll.PLContribFull(L4*100,"ASK",X4,"Slot46","TICKER",3,,"Valid")</f>
        <v>0.290 (12:14:42.745167)</v>
      </c>
      <c r="AA4" s="3" t="s">
        <v>1671</v>
      </c>
      <c r="AB4" s="14" t="str">
        <f>_xll.PLContribFull(F4*100,"BID",AA4,"Slot46","TICKER",3,,"Valid")</f>
        <v>-0.100 (12:14:42.752166)</v>
      </c>
      <c r="AC4" s="5" t="str">
        <f>_xll.PLContribFull(M4*100,"ASK",AA4,"Slot46","TICKER",3,,"Valid")</f>
        <v>0.700 (12:14:42.751168)</v>
      </c>
      <c r="AD4" s="16"/>
    </row>
    <row r="5" spans="1:30" x14ac:dyDescent="0.2">
      <c r="A5" s="12" t="s">
        <v>7</v>
      </c>
      <c r="B5" s="11">
        <f>'[4]EM PM Input'!Q4</f>
        <v>1.4000000000000002E-2</v>
      </c>
      <c r="C5" s="11">
        <f>'[4]EM PM Input'!R4</f>
        <v>-2.5500000000000002E-3</v>
      </c>
      <c r="D5" s="11">
        <f>'[4]EM PM Input'!S4</f>
        <v>-4.8999999999999998E-3</v>
      </c>
      <c r="E5" s="11">
        <f>'[4]EM PM Input'!T4</f>
        <v>-2.5000000000000001E-4</v>
      </c>
      <c r="F5" s="11">
        <f>'[4]EM PM Input'!U4</f>
        <v>5.0000000000000001E-4</v>
      </c>
      <c r="H5" s="10" t="s">
        <v>7</v>
      </c>
      <c r="I5" s="11">
        <f>'[4]EM PM Input'!X4</f>
        <v>2.1000000000000001E-2</v>
      </c>
      <c r="J5" s="11">
        <f>'[4]EM PM Input'!Y4</f>
        <v>5.4999999999999992E-4</v>
      </c>
      <c r="K5" s="11">
        <f>'[4]EM PM Input'!Z4</f>
        <v>1.2999999999999999E-3</v>
      </c>
      <c r="L5" s="11">
        <f>'[4]EM PM Input'!AA4</f>
        <v>2.2500000000000003E-3</v>
      </c>
      <c r="M5" s="11">
        <f>'[4]EM PM Input'!AB4</f>
        <v>5.4999999999999997E-3</v>
      </c>
      <c r="O5" s="3" t="s">
        <v>1670</v>
      </c>
      <c r="P5" s="14" t="str">
        <f>_xll.PLContribFull(B5*100,"BID",O5,"Slot46","TICKER",3,,"Valid")</f>
        <v>1.400 (12:14:42.741170)</v>
      </c>
      <c r="Q5" s="5" t="str">
        <f>_xll.PLContribFull(I5*100,"ASK",O5,"Slot46","TICKER",3,,"Valid")</f>
        <v>2.100 (12:14:42.748167)</v>
      </c>
      <c r="R5" s="15" t="s">
        <v>1669</v>
      </c>
      <c r="S5" s="14" t="str">
        <f>_xll.PLContribFull(C5*100,"BID",R5,"Slot46","TICKER",3,,"Valid")</f>
        <v>-0.255 (12:14:42.756167)</v>
      </c>
      <c r="T5" s="14" t="str">
        <f>_xll.PLContribFull(J5*100,"ASK",R5,"Slot46","TICKER",3,,"Valid")</f>
        <v>0.055 (12:14:42.751168)</v>
      </c>
      <c r="U5" s="3" t="s">
        <v>1668</v>
      </c>
      <c r="V5" s="14" t="str">
        <f>_xll.PLContribFull(D5*100,"BID",U5,"Slot46","TICKER",3,,"Valid")</f>
        <v>-0.490 (12:14:42.747168)</v>
      </c>
      <c r="W5" s="5" t="str">
        <f>_xll.PLContribFull(K5*100,"ASK",U5,"Slot46","TICKER",3,,"Valid")</f>
        <v>0.130 (12:14:42.743167)</v>
      </c>
      <c r="X5" s="15" t="s">
        <v>1667</v>
      </c>
      <c r="Y5" s="14" t="str">
        <f>_xll.PLContribFull(E5*100,"BID",X5,"Slot46","TICKER",3,,"Valid")</f>
        <v>-0.025 (12:14:42.752166)</v>
      </c>
      <c r="Z5" s="14" t="str">
        <f>_xll.PLContribFull(L5*100,"ASK",X5,"Slot46","TICKER",3,,"Valid")</f>
        <v>0.225 (12:14:42.747168)</v>
      </c>
      <c r="AA5" s="3" t="s">
        <v>1666</v>
      </c>
      <c r="AB5" s="14" t="str">
        <f>_xll.PLContribFull(F5*100,"BID",AA5,"Slot46","TICKER",3,,"Valid")</f>
        <v>0.050 (12:14:42.742167)</v>
      </c>
      <c r="AC5" s="5" t="str">
        <f>_xll.PLContribFull(M5*100,"ASK",AA5,"Slot46","TICKER",3,,"Valid")</f>
        <v>0.550 (12:14:42.752166)</v>
      </c>
      <c r="AD5" s="16"/>
    </row>
    <row r="6" spans="1:30" x14ac:dyDescent="0.2">
      <c r="A6" s="12" t="s">
        <v>8</v>
      </c>
      <c r="B6" s="11">
        <f>'[4]EM PM Input'!Q5</f>
        <v>1.6250000000000001E-2</v>
      </c>
      <c r="C6" s="11">
        <f>'[4]EM PM Input'!R5</f>
        <v>-1.8500000000000001E-3</v>
      </c>
      <c r="D6" s="11">
        <f>'[4]EM PM Input'!S5</f>
        <v>-3.5999999999999999E-3</v>
      </c>
      <c r="E6" s="11">
        <f>'[4]EM PM Input'!T5</f>
        <v>2.5000000000000001E-4</v>
      </c>
      <c r="F6" s="11">
        <f>'[4]EM PM Input'!U5</f>
        <v>1.3999999999999998E-3</v>
      </c>
      <c r="H6" s="10" t="s">
        <v>8</v>
      </c>
      <c r="I6" s="11">
        <f>'[4]EM PM Input'!X5</f>
        <v>1.9750000000000004E-2</v>
      </c>
      <c r="J6" s="11">
        <f>'[4]EM PM Input'!Y5</f>
        <v>2.499999999999999E-4</v>
      </c>
      <c r="K6" s="11">
        <f>'[4]EM PM Input'!Z5</f>
        <v>5.9999999999999984E-4</v>
      </c>
      <c r="L6" s="11">
        <f>'[4]EM PM Input'!AA5</f>
        <v>1.75E-3</v>
      </c>
      <c r="M6" s="11">
        <f>'[4]EM PM Input'!AB5</f>
        <v>4.3999999999999994E-3</v>
      </c>
      <c r="O6" s="3" t="s">
        <v>1665</v>
      </c>
      <c r="P6" s="14" t="str">
        <f>_xll.PLContribFull(B6*100,"BID",O6,"Slot46","TICKER",3,,"Valid")</f>
        <v>1.625 (12:14:42.751168)</v>
      </c>
      <c r="Q6" s="5" t="str">
        <f>_xll.PLContribFull(I6*100,"ASK",O6,"Slot46","TICKER",3,,"Valid")</f>
        <v>1.975 (12:14:42.749167)</v>
      </c>
      <c r="R6" s="15" t="s">
        <v>1664</v>
      </c>
      <c r="S6" s="14" t="str">
        <f>_xll.PLContribFull(C6*100,"BID",R6,"Slot46","TICKER",3,,"Valid")</f>
        <v>-0.185 (12:14:42.750168)</v>
      </c>
      <c r="T6" s="14" t="str">
        <f>_xll.PLContribFull(J6*100,"ASK",R6,"Slot46","TICKER",3,,"Valid")</f>
        <v>0.025 (12:14:42.750168)</v>
      </c>
      <c r="U6" s="3" t="s">
        <v>1663</v>
      </c>
      <c r="V6" s="14" t="str">
        <f>_xll.PLContribFull(D6*100,"BID",U6,"Slot46","TICKER",3,,"Valid")</f>
        <v>-0.360 (12:14:42.740168)</v>
      </c>
      <c r="W6" s="5" t="str">
        <f>_xll.PLContribFull(K6*100,"ASK",U6,"Slot46","TICKER",3,,"Valid")</f>
        <v>0.060 (12:14:42.745167)</v>
      </c>
      <c r="X6" s="15" t="s">
        <v>1662</v>
      </c>
      <c r="Y6" s="14" t="str">
        <f>_xll.PLContribFull(E6*100,"BID",X6,"Slot46","TICKER",3,,"Valid")</f>
        <v>0.025 (12:14:42.751168)</v>
      </c>
      <c r="Z6" s="14" t="str">
        <f>_xll.PLContribFull(L6*100,"ASK",X6,"Slot46","TICKER",3,,"Valid")</f>
        <v>0.175 (12:14:42.751168)</v>
      </c>
      <c r="AA6" s="3" t="s">
        <v>1661</v>
      </c>
      <c r="AB6" s="14" t="str">
        <f>_xll.PLContribFull(F6*100,"BID",AA6,"Slot46","TICKER",3,,"Valid")</f>
        <v>0.140 (12:14:42.743167)</v>
      </c>
      <c r="AC6" s="5" t="str">
        <f>_xll.PLContribFull(M6*100,"ASK",AA6,"Slot46","TICKER",3,,"Valid")</f>
        <v>0.440 (12:14:42.747168)</v>
      </c>
      <c r="AD6" s="16"/>
    </row>
    <row r="7" spans="1:30" x14ac:dyDescent="0.2">
      <c r="A7" s="12" t="s">
        <v>9</v>
      </c>
      <c r="B7" s="11">
        <f>'[4]EM PM Input'!Q6</f>
        <v>1.8749999999999996E-2</v>
      </c>
      <c r="C7" s="11">
        <f>'[4]EM PM Input'!R6</f>
        <v>-1.8E-3</v>
      </c>
      <c r="D7" s="11">
        <f>'[4]EM PM Input'!S6</f>
        <v>-3.15E-3</v>
      </c>
      <c r="E7" s="11">
        <f>'[4]EM PM Input'!T6</f>
        <v>4.4999999999999988E-4</v>
      </c>
      <c r="F7" s="11">
        <f>'[4]EM PM Input'!U6</f>
        <v>1.8999999999999998E-3</v>
      </c>
      <c r="H7" s="10" t="s">
        <v>9</v>
      </c>
      <c r="I7" s="11">
        <f>'[4]EM PM Input'!X6</f>
        <v>2.2249999999999999E-2</v>
      </c>
      <c r="J7" s="11">
        <f>'[4]EM PM Input'!Y6</f>
        <v>1.9999999999999998E-4</v>
      </c>
      <c r="K7" s="11">
        <f>'[4]EM PM Input'!Z6</f>
        <v>1.4999999999999996E-4</v>
      </c>
      <c r="L7" s="11">
        <f>'[4]EM PM Input'!AA6</f>
        <v>1.9499999999999999E-3</v>
      </c>
      <c r="M7" s="11">
        <f>'[4]EM PM Input'!AB6</f>
        <v>4.8999999999999998E-3</v>
      </c>
      <c r="O7" s="3" t="s">
        <v>1660</v>
      </c>
      <c r="P7" s="14" t="str">
        <f>_xll.PLContribFull(B7*100,"BID",O7,"Slot46","TICKER",3,,"Valid")</f>
        <v>1.875 (12:14:42.754169)</v>
      </c>
      <c r="Q7" s="5" t="str">
        <f>_xll.PLContribFull(I7*100,"ASK",O7,"Slot46","TICKER",3,,"Valid")</f>
        <v>2.225 (12:14:42.748167)</v>
      </c>
      <c r="R7" s="15" t="s">
        <v>1659</v>
      </c>
      <c r="S7" s="14" t="str">
        <f>_xll.PLContribFull(C7*100,"BID",R7,"Slot46","TICKER",3,,"Valid")</f>
        <v>-0.180 (12:14:42.755167)</v>
      </c>
      <c r="T7" s="14" t="str">
        <f>_xll.PLContribFull(J7*100,"ASK",R7,"Slot46","TICKER",3,,"Valid")</f>
        <v>0.020 (12:14:42.751168)</v>
      </c>
      <c r="U7" s="3" t="s">
        <v>1658</v>
      </c>
      <c r="V7" s="14" t="str">
        <f>_xll.PLContribFull(D7*100,"BID",U7,"Slot46","TICKER",3,,"Valid")</f>
        <v>-0.315 (12:14:42.746167)</v>
      </c>
      <c r="W7" s="5" t="str">
        <f>_xll.PLContribFull(K7*100,"ASK",U7,"Slot46","TICKER",3,,"Valid")</f>
        <v>0.015 (12:14:42.749167)</v>
      </c>
      <c r="X7" s="15" t="s">
        <v>1657</v>
      </c>
      <c r="Y7" s="14" t="str">
        <f>_xll.PLContribFull(E7*100,"BID",X7,"Slot46","TICKER",3,,"Valid")</f>
        <v>0.045 (12:14:42.747168)</v>
      </c>
      <c r="Z7" s="14" t="str">
        <f>_xll.PLContribFull(L7*100,"ASK",X7,"Slot46","TICKER",3,,"Valid")</f>
        <v>0.195 (12:14:42.748167)</v>
      </c>
      <c r="AA7" s="3" t="s">
        <v>1656</v>
      </c>
      <c r="AB7" s="14" t="str">
        <f>_xll.PLContribFull(F7*100,"BID",AA7,"Slot46","TICKER",3,,"Valid")</f>
        <v>0.190 (12:14:42.752166)</v>
      </c>
      <c r="AC7" s="5" t="str">
        <f>_xll.PLContribFull(M7*100,"ASK",AA7,"Slot46","TICKER",3,,"Valid")</f>
        <v>0.490 (12:14:42.754169)</v>
      </c>
      <c r="AD7" s="16"/>
    </row>
    <row r="8" spans="1:30" x14ac:dyDescent="0.2">
      <c r="A8" s="12" t="s">
        <v>10</v>
      </c>
      <c r="B8" s="11">
        <f>'[4]EM PM Input'!Q7</f>
        <v>2.1249999999999998E-2</v>
      </c>
      <c r="C8" s="11">
        <f>'[4]EM PM Input'!R7</f>
        <v>-1.9E-3</v>
      </c>
      <c r="D8" s="11">
        <f>'[4]EM PM Input'!S7</f>
        <v>-3.15E-3</v>
      </c>
      <c r="E8" s="11">
        <f>'[4]EM PM Input'!T7</f>
        <v>5.4999999999999992E-4</v>
      </c>
      <c r="F8" s="11">
        <f>'[4]EM PM Input'!U7</f>
        <v>2.3999999999999998E-3</v>
      </c>
      <c r="H8" s="10" t="s">
        <v>10</v>
      </c>
      <c r="I8" s="11">
        <f>'[4]EM PM Input'!X7</f>
        <v>2.4750000000000001E-2</v>
      </c>
      <c r="J8" s="11">
        <f>'[4]EM PM Input'!Y7</f>
        <v>1.0000000000000005E-4</v>
      </c>
      <c r="K8" s="11">
        <f>'[4]EM PM Input'!Z7</f>
        <v>-2.5000000000000001E-4</v>
      </c>
      <c r="L8" s="11">
        <f>'[4]EM PM Input'!AA7</f>
        <v>2.0499999999999997E-3</v>
      </c>
      <c r="M8" s="11">
        <f>'[4]EM PM Input'!AB7</f>
        <v>5.4000000000000003E-3</v>
      </c>
      <c r="O8" s="3" t="s">
        <v>1655</v>
      </c>
      <c r="P8" s="14" t="str">
        <f>_xll.PLContribFull(B8*100,"BID",O8,"Slot46","TICKER",3,,"Valid")</f>
        <v>2.125 (12:14:42.752166)</v>
      </c>
      <c r="Q8" s="5" t="str">
        <f>_xll.PLContribFull(I8*100,"ASK",O8,"Slot46","TICKER",3,,"Valid")</f>
        <v>2.475 (12:14:42.749167)</v>
      </c>
      <c r="R8" s="15" t="s">
        <v>1654</v>
      </c>
      <c r="S8" s="14" t="str">
        <f>_xll.PLContribFull(C8*100,"BID",R8,"Slot46","TICKER",3,,"Valid")</f>
        <v>-0.190 (12:14:42.755167)</v>
      </c>
      <c r="T8" s="14" t="str">
        <f>_xll.PLContribFull(J8*100,"ASK",R8,"Slot46","TICKER",3,,"Valid")</f>
        <v>0.010 (12:14:42.751168)</v>
      </c>
      <c r="U8" s="3" t="s">
        <v>1653</v>
      </c>
      <c r="V8" s="14" t="str">
        <f>_xll.PLContribFull(D8*100,"BID",U8,"Slot46","TICKER",3,,"Valid")</f>
        <v>-0.315 (12:14:42.741170)</v>
      </c>
      <c r="W8" s="5" t="str">
        <f>_xll.PLContribFull(K8*100,"ASK",U8,"Slot46","TICKER",3,,"Valid")</f>
        <v>-0.025 (12:14:42.750168)</v>
      </c>
      <c r="X8" s="15" t="s">
        <v>1652</v>
      </c>
      <c r="Y8" s="14" t="str">
        <f>_xll.PLContribFull(E8*100,"BID",X8,"Slot46","TICKER",3,,"Valid")</f>
        <v>0.055 (12:14:42.747168)</v>
      </c>
      <c r="Z8" s="14" t="str">
        <f>_xll.PLContribFull(L8*100,"ASK",X8,"Slot46","TICKER",3,,"Valid")</f>
        <v>0.205 (12:14:42.743167)</v>
      </c>
      <c r="AA8" s="3" t="s">
        <v>1651</v>
      </c>
      <c r="AB8" s="14" t="str">
        <f>_xll.PLContribFull(F8*100,"BID",AA8,"Slot46","TICKER",3,,"Valid")</f>
        <v>0.240 (12:14:42.743167)</v>
      </c>
      <c r="AC8" s="5" t="str">
        <f>_xll.PLContribFull(M8*100,"ASK",AA8,"Slot46","TICKER",3,,"Valid")</f>
        <v>0.540 (12:14:42.744167)</v>
      </c>
      <c r="AD8" s="16"/>
    </row>
    <row r="9" spans="1:30" x14ac:dyDescent="0.2">
      <c r="A9" s="12" t="s">
        <v>11</v>
      </c>
      <c r="B9" s="11">
        <f>'[4]EM PM Input'!Q8</f>
        <v>2.5250000000000002E-2</v>
      </c>
      <c r="C9" s="11">
        <f>'[4]EM PM Input'!R8</f>
        <v>-2.5000000000000001E-3</v>
      </c>
      <c r="D9" s="11">
        <f>'[4]EM PM Input'!S8</f>
        <v>-3.8999999999999998E-3</v>
      </c>
      <c r="E9" s="11">
        <f>'[4]EM PM Input'!T8</f>
        <v>9.4999999999999989E-4</v>
      </c>
      <c r="F9" s="11">
        <f>'[4]EM PM Input'!U8</f>
        <v>3.9000000000000003E-3</v>
      </c>
      <c r="H9" s="10" t="s">
        <v>11</v>
      </c>
      <c r="I9" s="11">
        <f>'[4]EM PM Input'!X8</f>
        <v>2.8750000000000005E-2</v>
      </c>
      <c r="J9" s="11">
        <f>'[4]EM PM Input'!Y8</f>
        <v>-5.0000000000000001E-4</v>
      </c>
      <c r="K9" s="11">
        <f>'[4]EM PM Input'!Z8</f>
        <v>-1.5000000000000002E-3</v>
      </c>
      <c r="L9" s="11">
        <f>'[4]EM PM Input'!AA8</f>
        <v>2.4499999999999999E-3</v>
      </c>
      <c r="M9" s="11">
        <f>'[4]EM PM Input'!AB8</f>
        <v>6.8999999999999999E-3</v>
      </c>
      <c r="O9" s="3" t="s">
        <v>1650</v>
      </c>
      <c r="P9" s="14" t="str">
        <f>_xll.PLContribFull(B9*100,"BID",O9,"Slot46","TICKER",3,,"Valid")</f>
        <v>2.525 (12:14:42.740168)</v>
      </c>
      <c r="Q9" s="5" t="str">
        <f>_xll.PLContribFull(I9*100,"ASK",O9,"Slot46","TICKER",3,,"Valid")</f>
        <v>2.875 (12:14:42.752166)</v>
      </c>
      <c r="R9" s="15" t="s">
        <v>1649</v>
      </c>
      <c r="S9" s="14" t="str">
        <f>_xll.PLContribFull(C9*100,"BID",R9,"Slot46","TICKER",3,,"Valid")</f>
        <v>-0.250 (12:14:42.755167)</v>
      </c>
      <c r="T9" s="14" t="str">
        <f>_xll.PLContribFull(J9*100,"ASK",R9,"Slot46","TICKER",3,,"Valid")</f>
        <v>-0.050 (12:14:42.754169)</v>
      </c>
      <c r="U9" s="3" t="s">
        <v>1648</v>
      </c>
      <c r="V9" s="14" t="str">
        <f>_xll.PLContribFull(D9*100,"BID",U9,"Slot46","TICKER",3,,"Valid")</f>
        <v>-0.390 (12:14:42.746167)</v>
      </c>
      <c r="W9" s="5" t="str">
        <f>_xll.PLContribFull(K9*100,"ASK",U9,"Slot46","TICKER",3,,"Valid")</f>
        <v>-0.150 (12:14:42.742167)</v>
      </c>
      <c r="X9" s="15" t="s">
        <v>1647</v>
      </c>
      <c r="Y9" s="14" t="str">
        <f>_xll.PLContribFull(E9*100,"BID",X9,"Slot46","TICKER",3,,"Valid")</f>
        <v>0.095 (12:14:42.746167)</v>
      </c>
      <c r="Z9" s="14" t="str">
        <f>_xll.PLContribFull(L9*100,"ASK",X9,"Slot46","TICKER",3,,"Valid")</f>
        <v>0.245 (12:14:42.755167)</v>
      </c>
      <c r="AA9" s="3" t="s">
        <v>1646</v>
      </c>
      <c r="AB9" s="14" t="str">
        <f>_xll.PLContribFull(F9*100,"BID",AA9,"Slot46","TICKER",3,,"Valid")</f>
        <v>0.390 (12:14:42.748167)</v>
      </c>
      <c r="AC9" s="5" t="str">
        <f>_xll.PLContribFull(M9*100,"ASK",AA9,"Slot46","TICKER",3,,"Valid")</f>
        <v>0.690 (12:14:42.755167)</v>
      </c>
      <c r="AD9" s="16"/>
    </row>
    <row r="10" spans="1:30" x14ac:dyDescent="0.2">
      <c r="A10" s="12" t="s">
        <v>12</v>
      </c>
      <c r="B10" s="11">
        <f>'[4]EM PM Input'!Q9</f>
        <v>2.8249999999999997E-2</v>
      </c>
      <c r="C10" s="11">
        <f>'[4]EM PM Input'!R9</f>
        <v>-2.8999999999999998E-3</v>
      </c>
      <c r="D10" s="11">
        <f>'[4]EM PM Input'!S9</f>
        <v>-4.45E-3</v>
      </c>
      <c r="E10" s="11">
        <f>'[4]EM PM Input'!T9</f>
        <v>1.25E-3</v>
      </c>
      <c r="F10" s="11">
        <f>'[4]EM PM Input'!U9</f>
        <v>5.1000000000000004E-3</v>
      </c>
      <c r="H10" s="10" t="s">
        <v>12</v>
      </c>
      <c r="I10" s="11">
        <f>'[4]EM PM Input'!X9</f>
        <v>3.175E-2</v>
      </c>
      <c r="J10" s="11">
        <f>'[4]EM PM Input'!Y9</f>
        <v>-8.9999999999999998E-4</v>
      </c>
      <c r="K10" s="11">
        <f>'[4]EM PM Input'!Z9</f>
        <v>-2.3499999999999997E-3</v>
      </c>
      <c r="L10" s="11">
        <f>'[4]EM PM Input'!AA9</f>
        <v>2.7499999999999998E-3</v>
      </c>
      <c r="M10" s="11">
        <f>'[4]EM PM Input'!AB9</f>
        <v>8.0999999999999996E-3</v>
      </c>
      <c r="O10" s="3" t="s">
        <v>1645</v>
      </c>
      <c r="P10" s="14" t="str">
        <f>_xll.PLContribFull(B10*100,"BID",O10,"Slot46","TICKER",3,,"Valid")</f>
        <v>2.825 (12:14:42.748167)</v>
      </c>
      <c r="Q10" s="5" t="str">
        <f>_xll.PLContribFull(I10*100,"ASK",O10,"Slot46","TICKER",3,,"Valid")</f>
        <v>3.175 (12:14:42.740168)</v>
      </c>
      <c r="R10" s="15" t="s">
        <v>1644</v>
      </c>
      <c r="S10" s="14" t="str">
        <f>_xll.PLContribFull(C10*100,"BID",R10,"Slot46","TICKER",3,,"Valid")</f>
        <v>-0.290 (12:14:42.754169)</v>
      </c>
      <c r="T10" s="14" t="str">
        <f>_xll.PLContribFull(J10*100,"ASK",R10,"Slot46","TICKER",3,,"Valid")</f>
        <v>-0.090 (12:14:42.747168)</v>
      </c>
      <c r="U10" s="3" t="s">
        <v>1643</v>
      </c>
      <c r="V10" s="14" t="str">
        <f>_xll.PLContribFull(D10*100,"BID",U10,"Slot46","TICKER",3,,"Valid")</f>
        <v>-0.445 (12:14:42.744167)</v>
      </c>
      <c r="W10" s="5" t="str">
        <f>_xll.PLContribFull(K10*100,"ASK",U10,"Slot46","TICKER",3,,"Valid")</f>
        <v>-0.235 (12:14:42.748167)</v>
      </c>
      <c r="X10" s="15" t="s">
        <v>1642</v>
      </c>
      <c r="Y10" s="14" t="str">
        <f>_xll.PLContribFull(E10*100,"BID",X10,"Slot46","TICKER",3,,"Valid")</f>
        <v>0.125 (12:14:42.754169)</v>
      </c>
      <c r="Z10" s="14" t="str">
        <f>_xll.PLContribFull(L10*100,"ASK",X10,"Slot46","TICKER",3,,"Valid")</f>
        <v>0.275 (12:14:42.742167)</v>
      </c>
      <c r="AA10" s="3" t="s">
        <v>1641</v>
      </c>
      <c r="AB10" s="14" t="str">
        <f>_xll.PLContribFull(F10*100,"BID",AA10,"Slot46","TICKER",3,,"Valid")</f>
        <v>0.510 (12:14:42.741170)</v>
      </c>
      <c r="AC10" s="5" t="str">
        <f>_xll.PLContribFull(M10*100,"ASK",AA10,"Slot46","TICKER",3,,"Valid")</f>
        <v>0.810 (12:14:42.742167)</v>
      </c>
      <c r="AD10" s="16"/>
    </row>
    <row r="11" spans="1:30" x14ac:dyDescent="0.2">
      <c r="A11" s="12" t="s">
        <v>13</v>
      </c>
      <c r="B11" s="11">
        <f>'[4]EM PM Input'!Q10</f>
        <v>3.075E-2</v>
      </c>
      <c r="C11" s="11">
        <f>'[4]EM PM Input'!R10</f>
        <v>-3.0000000000000001E-3</v>
      </c>
      <c r="D11" s="11">
        <f>'[4]EM PM Input'!S10</f>
        <v>-4.5999999999999999E-3</v>
      </c>
      <c r="E11" s="11">
        <f>'[4]EM PM Input'!T10</f>
        <v>1.5499999999999999E-3</v>
      </c>
      <c r="F11" s="11">
        <f>'[4]EM PM Input'!U10</f>
        <v>6.6E-3</v>
      </c>
      <c r="H11" s="10" t="s">
        <v>13</v>
      </c>
      <c r="I11" s="11">
        <f>'[4]EM PM Input'!X10</f>
        <v>3.4250000000000003E-2</v>
      </c>
      <c r="J11" s="11">
        <f>'[4]EM PM Input'!Y10</f>
        <v>-1E-3</v>
      </c>
      <c r="K11" s="11">
        <f>'[4]EM PM Input'!Z10</f>
        <v>-2.5999999999999999E-3</v>
      </c>
      <c r="L11" s="11">
        <f>'[4]EM PM Input'!AA10</f>
        <v>3.0499999999999998E-3</v>
      </c>
      <c r="M11" s="11">
        <f>'[4]EM PM Input'!AB10</f>
        <v>9.5999999999999992E-3</v>
      </c>
      <c r="O11" s="3" t="s">
        <v>1640</v>
      </c>
      <c r="P11" s="14" t="str">
        <f>_xll.PLContribFull(B11*100,"BID",O11,"Slot46","TICKER",3,,"Valid")</f>
        <v>3.075 (12:14:42.754169)</v>
      </c>
      <c r="Q11" s="5" t="str">
        <f>_xll.PLContribFull(I11*100,"ASK",O11,"Slot46","TICKER",3,,"Valid")</f>
        <v>3.425 (12:14:42.742167)</v>
      </c>
      <c r="R11" s="15" t="s">
        <v>1639</v>
      </c>
      <c r="S11" s="14" t="str">
        <f>_xll.PLContribFull(C11*100,"BID",R11,"Slot46","TICKER",3,,"Valid")</f>
        <v>-0.300 (12:14:42.755167)</v>
      </c>
      <c r="T11" s="14" t="str">
        <f>_xll.PLContribFull(J11*100,"ASK",R11,"Slot46","TICKER",3,,"Valid")</f>
        <v>-0.100 (12:14:42.751168)</v>
      </c>
      <c r="U11" s="3" t="s">
        <v>1638</v>
      </c>
      <c r="V11" s="14" t="str">
        <f>_xll.PLContribFull(D11*100,"BID",U11,"Slot46","TICKER",3,,"Valid")</f>
        <v>-0.460 (12:14:42.747168)</v>
      </c>
      <c r="W11" s="5" t="str">
        <f>_xll.PLContribFull(K11*100,"ASK",U11,"Slot46","TICKER",3,,"Valid")</f>
        <v>-0.260 (12:14:42.749167)</v>
      </c>
      <c r="X11" s="15" t="s">
        <v>1637</v>
      </c>
      <c r="Y11" s="14" t="str">
        <f>_xll.PLContribFull(E11*100,"BID",X11,"Slot46","TICKER",3,,"Valid")</f>
        <v>0.155 (12:14:42.749167)</v>
      </c>
      <c r="Z11" s="14" t="str">
        <f>_xll.PLContribFull(L11*100,"ASK",X11,"Slot46","TICKER",3,,"Valid")</f>
        <v>0.305 (12:14:42.752166)</v>
      </c>
      <c r="AA11" s="3" t="s">
        <v>1636</v>
      </c>
      <c r="AB11" s="14" t="str">
        <f>_xll.PLContribFull(F11*100,"BID",AA11,"Slot46","TICKER",3,,"Valid")</f>
        <v>0.660 (12:14:42.747168)</v>
      </c>
      <c r="AC11" s="5" t="str">
        <f>_xll.PLContribFull(M11*100,"ASK",AA11,"Slot46","TICKER",3,,"Valid")</f>
        <v>0.960 (12:14:42.754169)</v>
      </c>
      <c r="AD11" s="16"/>
    </row>
    <row r="12" spans="1:30" x14ac:dyDescent="0.2">
      <c r="A12" s="12" t="s">
        <v>14</v>
      </c>
      <c r="B12" s="11">
        <f>'[4]EM PM Input'!Q11</f>
        <v>3.5499999999999997E-2</v>
      </c>
      <c r="C12" s="11">
        <f>'[4]EM PM Input'!R11</f>
        <v>-1.5E-3</v>
      </c>
      <c r="D12" s="11">
        <f>'[4]EM PM Input'!S11</f>
        <v>-2.5000000000000001E-3</v>
      </c>
      <c r="E12" s="11">
        <f>'[4]EM PM Input'!T11</f>
        <v>1.75E-3</v>
      </c>
      <c r="F12" s="11">
        <f>'[4]EM PM Input'!U11</f>
        <v>7.4999999999999997E-3</v>
      </c>
      <c r="H12" s="10" t="s">
        <v>14</v>
      </c>
      <c r="I12" s="11">
        <f>'[4]EM PM Input'!X11</f>
        <v>3.85E-2</v>
      </c>
      <c r="J12" s="11">
        <f>'[4]EM PM Input'!Y11</f>
        <v>5.0000000000000001E-4</v>
      </c>
      <c r="K12" s="11">
        <f>'[4]EM PM Input'!Z11</f>
        <v>5.0000000000000001E-4</v>
      </c>
      <c r="L12" s="11">
        <f>'[4]EM PM Input'!AA11</f>
        <v>3.2500000000000003E-3</v>
      </c>
      <c r="M12" s="11">
        <f>'[4]EM PM Input'!AB11</f>
        <v>1.0499999999999999E-2</v>
      </c>
      <c r="O12" s="3" t="s">
        <v>1635</v>
      </c>
      <c r="P12" s="14" t="str">
        <f>_xll.PLContribFull(B12*100,"BID",O12,"Slot46","TICKER",3,,"Valid")</f>
        <v>3.550 (12:14:42.755167)</v>
      </c>
      <c r="Q12" s="5" t="str">
        <f>_xll.PLContribFull(I12*100,"ASK",O12,"Slot46","TICKER",3,,"Valid")</f>
        <v>3.850 (12:14:42.741170)</v>
      </c>
      <c r="R12" s="15" t="s">
        <v>1634</v>
      </c>
      <c r="S12" s="14" t="str">
        <f>_xll.PLContribFull(C12*100,"BID",R12,"Slot46","TICKER",3,,"Valid")</f>
        <v>-0.150 (12:14:42.744167)</v>
      </c>
      <c r="T12" s="14" t="str">
        <f>_xll.PLContribFull(J12*100,"ASK",R12,"Slot46","TICKER",3,,"Valid")</f>
        <v>0.050 (12:14:42.744167)</v>
      </c>
      <c r="U12" s="3" t="s">
        <v>1633</v>
      </c>
      <c r="V12" s="14" t="str">
        <f>_xll.PLContribFull(D12*100,"BID",U12,"Slot46","TICKER",3,,"Valid")</f>
        <v>-0.250 (12:14:42.745167)</v>
      </c>
      <c r="W12" s="5" t="str">
        <f>_xll.PLContribFull(K12*100,"ASK",U12,"Slot46","TICKER",3,,"Valid")</f>
        <v>0.050 (12:14:42.749167)</v>
      </c>
      <c r="X12" s="15" t="s">
        <v>1632</v>
      </c>
      <c r="Y12" s="14" t="str">
        <f>_xll.PLContribFull(E12*100,"BID",X12,"Slot46","TICKER",3,,"Valid")</f>
        <v>0.175 (12:14:42.740168)</v>
      </c>
      <c r="Z12" s="14" t="str">
        <f>_xll.PLContribFull(L12*100,"ASK",X12,"Slot46","TICKER",3,,"Valid")</f>
        <v>0.325 (12:14:42.748167)</v>
      </c>
      <c r="AA12" s="3" t="s">
        <v>1631</v>
      </c>
      <c r="AB12" s="14" t="str">
        <f>_xll.PLContribFull(F12*100,"BID",AA12,"Slot46","TICKER",3,,"Valid")</f>
        <v>0.750 (12:14:42.745167)</v>
      </c>
      <c r="AC12" s="5" t="str">
        <f>_xll.PLContribFull(M12*100,"ASK",AA12,"Slot46","TICKER",3,,"Valid")</f>
        <v>1.050 (12:14:42.747168)</v>
      </c>
      <c r="AD12" s="16"/>
    </row>
    <row r="13" spans="1:30" x14ac:dyDescent="0.2">
      <c r="A13" s="12" t="s">
        <v>1630</v>
      </c>
      <c r="B13" s="11">
        <f>'[4]EM PM Input'!Q12</f>
        <v>3.95E-2</v>
      </c>
      <c r="C13" s="11">
        <f>'[4]EM PM Input'!R12</f>
        <v>-2.0999999999999999E-3</v>
      </c>
      <c r="D13" s="11">
        <f>'[4]EM PM Input'!S12</f>
        <v>-4.1000000000000003E-3</v>
      </c>
      <c r="E13" s="11">
        <f>'[4]EM PM Input'!T12</f>
        <v>1.15E-3</v>
      </c>
      <c r="F13" s="11">
        <f>'[4]EM PM Input'!U12</f>
        <v>7.6500000000000005E-3</v>
      </c>
      <c r="H13" s="10" t="s">
        <v>1630</v>
      </c>
      <c r="I13" s="11">
        <f>'[4]EM PM Input'!X12</f>
        <v>4.3500000000000004E-2</v>
      </c>
      <c r="J13" s="11">
        <f>'[4]EM PM Input'!Y12</f>
        <v>9.0000000000000008E-4</v>
      </c>
      <c r="K13" s="11">
        <f>'[4]EM PM Input'!Z12</f>
        <v>1.9E-3</v>
      </c>
      <c r="L13" s="11">
        <f>'[4]EM PM Input'!AA12</f>
        <v>4.6499999999999996E-3</v>
      </c>
      <c r="M13" s="11">
        <f>'[4]EM PM Input'!AB12</f>
        <v>1.2150000000000001E-2</v>
      </c>
      <c r="O13" s="3" t="s">
        <v>1629</v>
      </c>
      <c r="P13" s="14" t="str">
        <f>_xll.PLContribFull(B13*100,"BID",O13,"Slot46","TICKER",3,,"Valid")</f>
        <v>3.950 (12:14:42.749167)</v>
      </c>
      <c r="Q13" s="5" t="str">
        <f>_xll.PLContribFull(I13*100,"ASK",O13,"Slot46","TICKER",3,,"Valid")</f>
        <v>4.350 (12:14:42.743167)</v>
      </c>
      <c r="R13" s="15" t="s">
        <v>1628</v>
      </c>
      <c r="S13" s="14" t="str">
        <f>_xll.PLContribFull(C13*100,"BID",R13,"Slot46","TICKER",3,,"Valid")</f>
        <v>-0.210 (12:14:42.746167)</v>
      </c>
      <c r="T13" s="14" t="str">
        <f>_xll.PLContribFull(J13*100,"ASK",R13,"Slot46","TICKER",3,,"Valid")</f>
        <v>0.090 (12:14:42.743167)</v>
      </c>
      <c r="U13" s="3" t="s">
        <v>1627</v>
      </c>
      <c r="V13" s="14" t="str">
        <f>_xll.PLContribFull(D13*100,"BID",U13,"Slot46","TICKER",3,,"Valid")</f>
        <v>-0.410 (12:14:42.750168)</v>
      </c>
      <c r="W13" s="5" t="str">
        <f>_xll.PLContribFull(K13*100,"ASK",U13,"Slot46","TICKER",3,,"Valid")</f>
        <v>0.190 (12:14:42.743167)</v>
      </c>
      <c r="X13" s="15" t="s">
        <v>1626</v>
      </c>
      <c r="Y13" s="14" t="str">
        <f>_xll.PLContribFull(E13*100,"BID",X13,"Slot46","TICKER",3,,"Valid")</f>
        <v>0.115 (12:14:42.747168)</v>
      </c>
      <c r="Z13" s="14" t="str">
        <f>_xll.PLContribFull(L13*100,"ASK",X13,"Slot46","TICKER",3,,"Valid")</f>
        <v>0.465 (12:14:42.755167)</v>
      </c>
      <c r="AA13" s="3" t="s">
        <v>1625</v>
      </c>
      <c r="AB13" s="14" t="str">
        <f>_xll.PLContribFull(F13*100,"BID",AA13,"Slot46","TICKER",3,,"Valid")</f>
        <v>0.765 (12:14:42.739168)</v>
      </c>
      <c r="AC13" s="5" t="str">
        <f>_xll.PLContribFull(M13*100,"ASK",AA13,"Slot46","TICKER",3,,"Valid")</f>
        <v>1.215 (12:14:42.754169)</v>
      </c>
      <c r="AD13" s="16"/>
    </row>
    <row r="16" spans="1:30" x14ac:dyDescent="0.25">
      <c r="A16" s="10" t="s">
        <v>1624</v>
      </c>
      <c r="O16" s="3" t="s">
        <v>67</v>
      </c>
      <c r="P16" s="15" t="s">
        <v>68</v>
      </c>
      <c r="Q16" s="6"/>
      <c r="R16" s="15" t="s">
        <v>67</v>
      </c>
      <c r="S16" s="15" t="s">
        <v>68</v>
      </c>
      <c r="T16" s="15"/>
      <c r="U16" s="3" t="s">
        <v>67</v>
      </c>
      <c r="V16" s="15" t="s">
        <v>68</v>
      </c>
      <c r="W16" s="6"/>
      <c r="X16" s="15" t="s">
        <v>67</v>
      </c>
      <c r="Y16" s="15" t="s">
        <v>68</v>
      </c>
      <c r="Z16" s="15"/>
      <c r="AA16" s="3" t="s">
        <v>67</v>
      </c>
      <c r="AB16" s="15" t="s">
        <v>68</v>
      </c>
      <c r="AC16" s="6"/>
    </row>
    <row r="17" spans="1:30" ht="14.25" x14ac:dyDescent="0.25">
      <c r="A17" s="12" t="s">
        <v>1512</v>
      </c>
      <c r="B17" s="12" t="s">
        <v>0</v>
      </c>
      <c r="C17" s="12" t="s">
        <v>1</v>
      </c>
      <c r="D17" s="12" t="s">
        <v>2</v>
      </c>
      <c r="E17" s="12" t="s">
        <v>3</v>
      </c>
      <c r="F17" s="12" t="s">
        <v>4</v>
      </c>
      <c r="H17" s="10" t="s">
        <v>1511</v>
      </c>
      <c r="I17" s="10" t="s">
        <v>0</v>
      </c>
      <c r="J17" s="10" t="s">
        <v>1</v>
      </c>
      <c r="K17" s="10" t="s">
        <v>2</v>
      </c>
      <c r="L17" s="10" t="s">
        <v>3</v>
      </c>
      <c r="M17" s="10" t="s">
        <v>4</v>
      </c>
      <c r="O17" s="3" t="s">
        <v>66</v>
      </c>
      <c r="P17" s="13" t="s">
        <v>1512</v>
      </c>
      <c r="Q17" s="4" t="s">
        <v>1511</v>
      </c>
      <c r="R17" s="15" t="s">
        <v>1</v>
      </c>
      <c r="S17" s="13" t="s">
        <v>1512</v>
      </c>
      <c r="T17" s="13" t="s">
        <v>1511</v>
      </c>
      <c r="U17" s="3" t="s">
        <v>2</v>
      </c>
      <c r="V17" s="13" t="s">
        <v>1512</v>
      </c>
      <c r="W17" s="4" t="s">
        <v>1511</v>
      </c>
      <c r="X17" s="15" t="s">
        <v>3</v>
      </c>
      <c r="Y17" s="13" t="s">
        <v>1512</v>
      </c>
      <c r="Z17" s="13" t="s">
        <v>1511</v>
      </c>
      <c r="AA17" s="3" t="s">
        <v>4</v>
      </c>
      <c r="AB17" s="13" t="s">
        <v>1512</v>
      </c>
      <c r="AC17" s="4" t="s">
        <v>1511</v>
      </c>
      <c r="AD17" s="2"/>
    </row>
    <row r="18" spans="1:30" x14ac:dyDescent="0.2">
      <c r="A18" s="12" t="s">
        <v>5</v>
      </c>
      <c r="B18" s="11">
        <f>'[4]EM PM Input'!Q16</f>
        <v>2.4999999999999996E-3</v>
      </c>
      <c r="C18" s="11">
        <f>'[4]EM PM Input'!R16</f>
        <v>-4.8999999999999998E-3</v>
      </c>
      <c r="D18" s="11">
        <f>'[4]EM PM Input'!S16</f>
        <v>-9.0000000000000011E-3</v>
      </c>
      <c r="E18" s="11">
        <f>'[4]EM PM Input'!T16</f>
        <v>-1.4000000000000002E-3</v>
      </c>
      <c r="F18" s="11">
        <f>'[4]EM PM Input'!U16</f>
        <v>-1.6000000000000003E-3</v>
      </c>
      <c r="H18" s="10" t="s">
        <v>5</v>
      </c>
      <c r="I18" s="11">
        <f>'[4]EM PM Input'!X16</f>
        <v>1.2500000000000001E-2</v>
      </c>
      <c r="J18" s="11">
        <f>'[4]EM PM Input'!Y16</f>
        <v>1.0000000000000026E-4</v>
      </c>
      <c r="K18" s="11">
        <f>'[4]EM PM Input'!Z16</f>
        <v>1E-3</v>
      </c>
      <c r="L18" s="11">
        <f>'[4]EM PM Input'!AA16</f>
        <v>2.5999999999999999E-3</v>
      </c>
      <c r="M18" s="11">
        <f>'[4]EM PM Input'!AB16</f>
        <v>6.3999999999999994E-3</v>
      </c>
      <c r="O18" s="3" t="s">
        <v>1623</v>
      </c>
      <c r="P18" s="14" t="str">
        <f>_xll.PLContribFull(B18*100,"BID",O18,"Slot46","TICKER",3,,"Valid")</f>
        <v>0.250 (12:14:42.746167)</v>
      </c>
      <c r="Q18" s="5" t="str">
        <f>_xll.PLContribFull(I18*100,"ASK",O18,"Slot46","TICKER",3,,"Valid")</f>
        <v>1.250 (12:14:42.744167)</v>
      </c>
      <c r="R18" s="15" t="s">
        <v>1622</v>
      </c>
      <c r="S18" s="14" t="str">
        <f>_xll.PLContribFull(C18*100,"BID",R18,"Slot46","TICKER",3,,"Valid")</f>
        <v>-0.490 (12:14:42.751168)</v>
      </c>
      <c r="T18" s="14" t="str">
        <f>_xll.PLContribFull(J18*100,"ASK",R18,"Slot46","TICKER",3,,"Valid")</f>
        <v>0.010 (12:14:42.753167)</v>
      </c>
      <c r="U18" s="3" t="s">
        <v>1621</v>
      </c>
      <c r="V18" s="14" t="str">
        <f>_xll.PLContribFull(D18*100,"BID",U18,"Slot46","TICKER",3,,"Valid")</f>
        <v>-0.900 (12:14:42.747168)</v>
      </c>
      <c r="W18" s="5" t="str">
        <f>_xll.PLContribFull(K18*100,"ASK",U18,"Slot46","TICKER",3,,"Valid")</f>
        <v>0.100 (12:14:42.742167)</v>
      </c>
      <c r="X18" s="15" t="s">
        <v>1620</v>
      </c>
      <c r="Y18" s="14" t="str">
        <f>_xll.PLContribFull(E18*100,"BID",X18,"Slot46","TICKER",3,,"Valid")</f>
        <v>-0.140 (12:14:42.752166)</v>
      </c>
      <c r="Z18" s="14" t="str">
        <f>_xll.PLContribFull(L18*100,"ASK",X18,"Slot46","TICKER",3,,"Valid")</f>
        <v>0.260 (12:14:42.745167)</v>
      </c>
      <c r="AA18" s="3" t="s">
        <v>1619</v>
      </c>
      <c r="AB18" s="14" t="str">
        <f>_xll.PLContribFull(F18*100,"BID",AA18,"Slot46","TICKER",3,,"Valid")</f>
        <v>-0.160 (12:14:42.751168)</v>
      </c>
      <c r="AC18" s="5" t="str">
        <f>_xll.PLContribFull(M18*100,"ASK",AA18,"Slot46","TICKER",3,,"Valid")</f>
        <v>0.640 (12:14:42.744167)</v>
      </c>
      <c r="AD18" s="16"/>
    </row>
    <row r="19" spans="1:30" x14ac:dyDescent="0.2">
      <c r="A19" s="12" t="s">
        <v>6</v>
      </c>
      <c r="B19" s="11">
        <f>'[4]EM PM Input'!Q17</f>
        <v>2.4999999999999996E-3</v>
      </c>
      <c r="C19" s="11">
        <f>'[4]EM PM Input'!R17</f>
        <v>-5.0000000000000001E-3</v>
      </c>
      <c r="D19" s="11">
        <f>'[4]EM PM Input'!S17</f>
        <v>-9.4999999999999998E-3</v>
      </c>
      <c r="E19" s="11">
        <f>'[4]EM PM Input'!T17</f>
        <v>-9.0000000000000008E-4</v>
      </c>
      <c r="F19" s="11">
        <f>'[4]EM PM Input'!U17</f>
        <v>-7.9999999999999993E-4</v>
      </c>
      <c r="H19" s="10" t="s">
        <v>6</v>
      </c>
      <c r="I19" s="11">
        <f>'[4]EM PM Input'!X17</f>
        <v>1.2500000000000001E-2</v>
      </c>
      <c r="J19" s="11">
        <f>'[4]EM PM Input'!Y17</f>
        <v>-1E-3</v>
      </c>
      <c r="K19" s="11">
        <f>'[4]EM PM Input'!Z17</f>
        <v>-1.4999999999999996E-3</v>
      </c>
      <c r="L19" s="11">
        <f>'[4]EM PM Input'!AA17</f>
        <v>2.0999999999999999E-3</v>
      </c>
      <c r="M19" s="11">
        <f>'[4]EM PM Input'!AB17</f>
        <v>5.1999999999999998E-3</v>
      </c>
      <c r="O19" s="3" t="s">
        <v>1618</v>
      </c>
      <c r="P19" s="14" t="str">
        <f>_xll.PLContribFull(B19*100,"BID",O19,"Slot46","TICKER",3,,"Valid")</f>
        <v>0.250 (12:14:42.741170)</v>
      </c>
      <c r="Q19" s="5" t="str">
        <f>_xll.PLContribFull(I19*100,"ASK",O19,"Slot46","TICKER",3,,"Valid")</f>
        <v>1.250 (12:14:42.751168)</v>
      </c>
      <c r="R19" s="15" t="s">
        <v>1617</v>
      </c>
      <c r="S19" s="14" t="str">
        <f>_xll.PLContribFull(C19*100,"BID",R19,"Slot46","TICKER",3,,"Valid")</f>
        <v>-0.500 (12:14:42.741170)</v>
      </c>
      <c r="T19" s="14" t="str">
        <f>_xll.PLContribFull(J19*100,"ASK",R19,"Slot46","TICKER",3,,"Valid")</f>
        <v>-0.100 (12:14:42.752166)</v>
      </c>
      <c r="U19" s="3" t="s">
        <v>1616</v>
      </c>
      <c r="V19" s="14" t="str">
        <f>_xll.PLContribFull(D19*100,"BID",U19,"Slot46","TICKER",3,,"Valid")</f>
        <v>-0.950 (12:14:42.743167)</v>
      </c>
      <c r="W19" s="5" t="str">
        <f>_xll.PLContribFull(K19*100,"ASK",U19,"Slot46","TICKER",3,,"Valid")</f>
        <v>-0.150 (12:14:42.746167)</v>
      </c>
      <c r="X19" s="15" t="s">
        <v>1615</v>
      </c>
      <c r="Y19" s="14" t="str">
        <f>_xll.PLContribFull(E19*100,"BID",X19,"Slot46","TICKER",3,,"Valid")</f>
        <v>-0.090 (12:14:42.747168)</v>
      </c>
      <c r="Z19" s="14" t="str">
        <f>_xll.PLContribFull(L19*100,"ASK",X19,"Slot46","TICKER",3,,"Valid")</f>
        <v>0.210 (12:14:42.753167)</v>
      </c>
      <c r="AA19" s="3" t="s">
        <v>1614</v>
      </c>
      <c r="AB19" s="14" t="str">
        <f>_xll.PLContribFull(F19*100,"BID",AA19,"Slot46","TICKER",3,,"Valid")</f>
        <v>-0.080 (12:14:42.752166)</v>
      </c>
      <c r="AC19" s="5" t="str">
        <f>_xll.PLContribFull(M19*100,"ASK",AA19,"Slot46","TICKER",3,,"Valid")</f>
        <v>0.520 (12:14:42.742167)</v>
      </c>
      <c r="AD19" s="16"/>
    </row>
    <row r="20" spans="1:30" x14ac:dyDescent="0.2">
      <c r="A20" s="12" t="s">
        <v>7</v>
      </c>
      <c r="B20" s="11">
        <f>'[4]EM PM Input'!Q18</f>
        <v>2.4999999999999996E-3</v>
      </c>
      <c r="C20" s="11">
        <f>'[4]EM PM Input'!R18</f>
        <v>-4.8500000000000001E-3</v>
      </c>
      <c r="D20" s="11">
        <f>'[4]EM PM Input'!S18</f>
        <v>-9.6000000000000009E-3</v>
      </c>
      <c r="E20" s="11">
        <f>'[4]EM PM Input'!T18</f>
        <v>-6.5000000000000008E-4</v>
      </c>
      <c r="F20" s="11">
        <f>'[4]EM PM Input'!U18</f>
        <v>0</v>
      </c>
      <c r="H20" s="10" t="s">
        <v>7</v>
      </c>
      <c r="I20" s="11">
        <f>'[4]EM PM Input'!X18</f>
        <v>1.2500000000000001E-2</v>
      </c>
      <c r="J20" s="11">
        <f>'[4]EM PM Input'!Y18</f>
        <v>-1.3500000000000001E-3</v>
      </c>
      <c r="K20" s="11">
        <f>'[4]EM PM Input'!Z18</f>
        <v>-2.6000000000000007E-3</v>
      </c>
      <c r="L20" s="11">
        <f>'[4]EM PM Input'!AA18</f>
        <v>1.8500000000000001E-3</v>
      </c>
      <c r="M20" s="11">
        <f>'[4]EM PM Input'!AB18</f>
        <v>5.0000000000000001E-3</v>
      </c>
      <c r="O20" s="3" t="s">
        <v>1613</v>
      </c>
      <c r="P20" s="14" t="str">
        <f>_xll.PLContribFull(B20*100,"BID",O20,"Slot46","TICKER",3,,"Valid")</f>
        <v>0.250 (12:14:42.748167)</v>
      </c>
      <c r="Q20" s="5" t="str">
        <f>_xll.PLContribFull(I20*100,"ASK",O20,"Slot46","TICKER",3,,"Valid")</f>
        <v>1.250 (12:14:42.751168)</v>
      </c>
      <c r="R20" s="15" t="s">
        <v>1612</v>
      </c>
      <c r="S20" s="14" t="str">
        <f>_xll.PLContribFull(C20*100,"BID",R20,"Slot46","TICKER",3,,"Valid")</f>
        <v>-0.485 (12:14:42.748167)</v>
      </c>
      <c r="T20" s="14" t="str">
        <f>_xll.PLContribFull(J20*100,"ASK",R20,"Slot46","TICKER",3,,"Valid")</f>
        <v>-0.135 (12:14:42.750168)</v>
      </c>
      <c r="U20" s="3" t="s">
        <v>1611</v>
      </c>
      <c r="V20" s="14" t="str">
        <f>_xll.PLContribFull(D20*100,"BID",U20,"Slot46","TICKER",3,,"Valid")</f>
        <v>-0.960 (12:14:42.755167)</v>
      </c>
      <c r="W20" s="5" t="str">
        <f>_xll.PLContribFull(K20*100,"ASK",U20,"Slot46","TICKER",3,,"Valid")</f>
        <v>-0.260 (12:14:42.741170)</v>
      </c>
      <c r="X20" s="15" t="s">
        <v>1610</v>
      </c>
      <c r="Y20" s="14" t="str">
        <f>_xll.PLContribFull(E20*100,"BID",X20,"Slot46","TICKER",3,,"Valid")</f>
        <v>-0.065 (12:14:42.744167)</v>
      </c>
      <c r="Z20" s="14" t="str">
        <f>_xll.PLContribFull(L20*100,"ASK",X20,"Slot46","TICKER",3,,"Valid")</f>
        <v>0.185 (12:14:42.741170)</v>
      </c>
      <c r="AA20" s="3" t="s">
        <v>1609</v>
      </c>
      <c r="AB20" s="14" t="str">
        <f>_xll.PLContribFull(F20*100,"BID",AA20,"Slot46","TICKER",3,,"Valid")</f>
        <v>0.000 (12:14:42.749167)</v>
      </c>
      <c r="AC20" s="5" t="str">
        <f>_xll.PLContribFull(M20*100,"ASK",AA20,"Slot46","TICKER",3,,"Valid")</f>
        <v>0.500 (12:14:42.744167)</v>
      </c>
      <c r="AD20" s="16"/>
    </row>
    <row r="21" spans="1:30" x14ac:dyDescent="0.2">
      <c r="A21" s="12" t="s">
        <v>8</v>
      </c>
      <c r="B21" s="11">
        <f>'[4]EM PM Input'!Q19</f>
        <v>4.9999999999999992E-3</v>
      </c>
      <c r="C21" s="11">
        <f>'[4]EM PM Input'!R19</f>
        <v>-5.0000000000000001E-3</v>
      </c>
      <c r="D21" s="11">
        <f>'[4]EM PM Input'!S19</f>
        <v>-1.06E-2</v>
      </c>
      <c r="E21" s="11">
        <f>'[4]EM PM Input'!T19</f>
        <v>-3.0000000000000003E-4</v>
      </c>
      <c r="F21" s="11">
        <f>'[4]EM PM Input'!U19</f>
        <v>7.000000000000001E-4</v>
      </c>
      <c r="H21" s="10" t="s">
        <v>8</v>
      </c>
      <c r="I21" s="11">
        <f>'[4]EM PM Input'!X19</f>
        <v>0.01</v>
      </c>
      <c r="J21" s="11">
        <f>'[4]EM PM Input'!Y19</f>
        <v>-2E-3</v>
      </c>
      <c r="K21" s="11">
        <f>'[4]EM PM Input'!Z19</f>
        <v>-4.5999999999999999E-3</v>
      </c>
      <c r="L21" s="11">
        <f>'[4]EM PM Input'!AA19</f>
        <v>1.7000000000000001E-3</v>
      </c>
      <c r="M21" s="11">
        <f>'[4]EM PM Input'!AB19</f>
        <v>4.7000000000000002E-3</v>
      </c>
      <c r="O21" s="3" t="s">
        <v>1608</v>
      </c>
      <c r="P21" s="14" t="str">
        <f>_xll.PLContribFull(B21*100,"BID",O21,"Slot46","TICKER",3,,"Valid")</f>
        <v>0.500 (12:14:42.755167)</v>
      </c>
      <c r="Q21" s="5" t="str">
        <f>_xll.PLContribFull(I21*100,"ASK",O21,"Slot46","TICKER",3,,"Valid")</f>
        <v>1.000 (12:14:42.743167)</v>
      </c>
      <c r="R21" s="15" t="s">
        <v>1607</v>
      </c>
      <c r="S21" s="14" t="str">
        <f>_xll.PLContribFull(C21*100,"BID",R21,"Slot46","TICKER",3,,"Valid")</f>
        <v>-0.500 (12:14:42.742167)</v>
      </c>
      <c r="T21" s="14" t="str">
        <f>_xll.PLContribFull(J21*100,"ASK",R21,"Slot46","TICKER",3,,"Valid")</f>
        <v>-0.200 (12:14:42.743167)</v>
      </c>
      <c r="U21" s="3" t="s">
        <v>1606</v>
      </c>
      <c r="V21" s="14" t="str">
        <f>_xll.PLContribFull(D21*100,"BID",U21,"Slot46","TICKER",3,,"Valid")</f>
        <v>-1.060 (12:14:42.755167)</v>
      </c>
      <c r="W21" s="5" t="str">
        <f>_xll.PLContribFull(K21*100,"ASK",U21,"Slot46","TICKER",3,,"Valid")</f>
        <v>-0.460 (12:14:42.746167)</v>
      </c>
      <c r="X21" s="15" t="s">
        <v>1605</v>
      </c>
      <c r="Y21" s="14" t="str">
        <f>_xll.PLContribFull(E21*100,"BID",X21,"Slot46","TICKER",3,,"Valid")</f>
        <v>-0.030 (12:14:42.742167)</v>
      </c>
      <c r="Z21" s="14" t="str">
        <f>_xll.PLContribFull(L21*100,"ASK",X21,"Slot46","TICKER",3,,"Valid")</f>
        <v>0.170 (12:14:42.752166)</v>
      </c>
      <c r="AA21" s="3" t="s">
        <v>1604</v>
      </c>
      <c r="AB21" s="14" t="str">
        <f>_xll.PLContribFull(F21*100,"BID",AA21,"Slot46","TICKER",3,,"Valid")</f>
        <v>0.070 (12:14:42.745167)</v>
      </c>
      <c r="AC21" s="5" t="str">
        <f>_xll.PLContribFull(M21*100,"ASK",AA21,"Slot46","TICKER",3,,"Valid")</f>
        <v>0.470 (12:14:42.752166)</v>
      </c>
      <c r="AD21" s="16"/>
    </row>
    <row r="22" spans="1:30" x14ac:dyDescent="0.2">
      <c r="A22" s="12" t="s">
        <v>9</v>
      </c>
      <c r="B22" s="11">
        <f>'[4]EM PM Input'!Q20</f>
        <v>5.4999999999999997E-3</v>
      </c>
      <c r="C22" s="11">
        <f>'[4]EM PM Input'!R20</f>
        <v>-5.0000000000000001E-3</v>
      </c>
      <c r="D22" s="11">
        <f>'[4]EM PM Input'!S20</f>
        <v>-1.06E-2</v>
      </c>
      <c r="E22" s="11">
        <f>'[4]EM PM Input'!T20</f>
        <v>-1.0000000000000005E-4</v>
      </c>
      <c r="F22" s="11">
        <f>'[4]EM PM Input'!U20</f>
        <v>1.3999999999999998E-3</v>
      </c>
      <c r="H22" s="10" t="s">
        <v>9</v>
      </c>
      <c r="I22" s="11">
        <f>'[4]EM PM Input'!X20</f>
        <v>9.4999999999999998E-3</v>
      </c>
      <c r="J22" s="11">
        <f>'[4]EM PM Input'!Y20</f>
        <v>-2E-3</v>
      </c>
      <c r="K22" s="11">
        <f>'[4]EM PM Input'!Z20</f>
        <v>-4.5999999999999999E-3</v>
      </c>
      <c r="L22" s="11">
        <f>'[4]EM PM Input'!AA20</f>
        <v>1.9E-3</v>
      </c>
      <c r="M22" s="11">
        <f>'[4]EM PM Input'!AB20</f>
        <v>5.4000000000000003E-3</v>
      </c>
      <c r="O22" s="3" t="s">
        <v>1603</v>
      </c>
      <c r="P22" s="14" t="str">
        <f>_xll.PLContribFull(B22*100,"BID",O22,"Slot46","TICKER",3,,"Valid")</f>
        <v>0.550 (12:14:42.749167)</v>
      </c>
      <c r="Q22" s="5" t="str">
        <f>_xll.PLContribFull(I22*100,"ASK",O22,"Slot46","TICKER",3,,"Valid")</f>
        <v>0.950 (12:14:42.747168)</v>
      </c>
      <c r="R22" s="15" t="s">
        <v>1602</v>
      </c>
      <c r="S22" s="14" t="str">
        <f>_xll.PLContribFull(C22*100,"BID",R22,"Slot46","TICKER",3,,"Valid")</f>
        <v>-0.500 (12:14:42.748167)</v>
      </c>
      <c r="T22" s="14" t="str">
        <f>_xll.PLContribFull(J22*100,"ASK",R22,"Slot46","TICKER",3,,"Valid")</f>
        <v>-0.200 (12:14:42.754169)</v>
      </c>
      <c r="U22" s="3" t="s">
        <v>1601</v>
      </c>
      <c r="V22" s="14" t="str">
        <f>_xll.PLContribFull(D22*100,"BID",U22,"Slot46","TICKER",3,,"Valid")</f>
        <v>-1.060 (12:14:42.750168)</v>
      </c>
      <c r="W22" s="5" t="str">
        <f>_xll.PLContribFull(K22*100,"ASK",U22,"Slot46","TICKER",3,,"Valid")</f>
        <v>-0.460 (12:14:42.743167)</v>
      </c>
      <c r="X22" s="15" t="s">
        <v>1600</v>
      </c>
      <c r="Y22" s="14" t="str">
        <f>_xll.PLContribFull(E22*100,"BID",X22,"Slot46","TICKER",3,,"Valid")</f>
        <v>-0.010 (12:14:42.750168)</v>
      </c>
      <c r="Z22" s="14" t="str">
        <f>_xll.PLContribFull(L22*100,"ASK",X22,"Slot46","TICKER",3,,"Valid")</f>
        <v>0.190 (12:14:42.749167)</v>
      </c>
      <c r="AA22" s="3" t="s">
        <v>1599</v>
      </c>
      <c r="AB22" s="14" t="str">
        <f>_xll.PLContribFull(F22*100,"BID",AA22,"Slot46","TICKER",3,,"Valid")</f>
        <v>0.140 (12:14:42.743167)</v>
      </c>
      <c r="AC22" s="5" t="str">
        <f>_xll.PLContribFull(M22*100,"ASK",AA22,"Slot46","TICKER",3,,"Valid")</f>
        <v>0.540 (12:14:42.744167)</v>
      </c>
      <c r="AD22" s="16"/>
    </row>
    <row r="23" spans="1:30" x14ac:dyDescent="0.2">
      <c r="A23" s="12" t="s">
        <v>10</v>
      </c>
      <c r="B23" s="11">
        <f>'[4]EM PM Input'!Q21</f>
        <v>5.4999999999999997E-3</v>
      </c>
      <c r="C23" s="11">
        <f>'[4]EM PM Input'!R21</f>
        <v>-5.1999999999999998E-3</v>
      </c>
      <c r="D23" s="11">
        <f>'[4]EM PM Input'!S21</f>
        <v>-1.1300000000000001E-2</v>
      </c>
      <c r="E23" s="11">
        <f>'[4]EM PM Input'!T21</f>
        <v>1.9999999999999987E-4</v>
      </c>
      <c r="F23" s="11">
        <f>'[4]EM PM Input'!U21</f>
        <v>2.4999999999999996E-3</v>
      </c>
      <c r="H23" s="10" t="s">
        <v>10</v>
      </c>
      <c r="I23" s="11">
        <f>'[4]EM PM Input'!X21</f>
        <v>9.4999999999999998E-3</v>
      </c>
      <c r="J23" s="11">
        <f>'[4]EM PM Input'!Y21</f>
        <v>-2.2000000000000001E-3</v>
      </c>
      <c r="K23" s="11">
        <f>'[4]EM PM Input'!Z21</f>
        <v>-5.3E-3</v>
      </c>
      <c r="L23" s="11">
        <f>'[4]EM PM Input'!AA21</f>
        <v>2.1999999999999997E-3</v>
      </c>
      <c r="M23" s="11">
        <f>'[4]EM PM Input'!AB21</f>
        <v>6.4999999999999997E-3</v>
      </c>
      <c r="O23" s="3" t="s">
        <v>1598</v>
      </c>
      <c r="P23" s="14" t="str">
        <f>_xll.PLContribFull(B23*100,"BID",O23,"Slot46","TICKER",3,,"Valid")</f>
        <v>0.550 (12:14:42.747168)</v>
      </c>
      <c r="Q23" s="5" t="str">
        <f>_xll.PLContribFull(I23*100,"ASK",O23,"Slot46","TICKER",3,,"Valid")</f>
        <v>0.950 (12:14:42.752166)</v>
      </c>
      <c r="R23" s="15" t="s">
        <v>1597</v>
      </c>
      <c r="S23" s="14" t="str">
        <f>_xll.PLContribFull(C23*100,"BID",R23,"Slot46","TICKER",3,,"Valid")</f>
        <v>-0.520 (12:14:42.755167)</v>
      </c>
      <c r="T23" s="14" t="str">
        <f>_xll.PLContribFull(J23*100,"ASK",R23,"Slot46","TICKER",3,,"Valid")</f>
        <v>-0.220 (12:14:42.753167)</v>
      </c>
      <c r="U23" s="3" t="s">
        <v>1596</v>
      </c>
      <c r="V23" s="14" t="str">
        <f>_xll.PLContribFull(D23*100,"BID",U23,"Slot46","TICKER",3,,"Valid")</f>
        <v>-1.130 (12:14:42.748167)</v>
      </c>
      <c r="W23" s="5" t="str">
        <f>_xll.PLContribFull(K23*100,"ASK",U23,"Slot46","TICKER",3,,"Valid")</f>
        <v>-0.530 (12:14:42.743167)</v>
      </c>
      <c r="X23" s="15" t="s">
        <v>1595</v>
      </c>
      <c r="Y23" s="14" t="str">
        <f>_xll.PLContribFull(E23*100,"BID",X23,"Slot46","TICKER",3,,"Valid")</f>
        <v>0.020 (12:14:42.742167)</v>
      </c>
      <c r="Z23" s="14" t="str">
        <f>_xll.PLContribFull(L23*100,"ASK",X23,"Slot46","TICKER",3,,"Valid")</f>
        <v>0.220 (12:14:42.747168)</v>
      </c>
      <c r="AA23" s="3" t="s">
        <v>1594</v>
      </c>
      <c r="AB23" s="14" t="str">
        <f>_xll.PLContribFull(F23*100,"BID",AA23,"Slot46","TICKER",3,,"Valid")</f>
        <v>0.250 (12:14:42.755167)</v>
      </c>
      <c r="AC23" s="5" t="str">
        <f>_xll.PLContribFull(M23*100,"ASK",AA23,"Slot46","TICKER",3,,"Valid")</f>
        <v>0.650 (12:14:42.744167)</v>
      </c>
      <c r="AD23" s="16"/>
    </row>
    <row r="24" spans="1:30" x14ac:dyDescent="0.2">
      <c r="A24" s="12" t="s">
        <v>11</v>
      </c>
      <c r="B24" s="11">
        <f>'[4]EM PM Input'!Q22</f>
        <v>5.4999999999999997E-3</v>
      </c>
      <c r="C24" s="11">
        <f>'[4]EM PM Input'!R22</f>
        <v>-5.0000000000000001E-3</v>
      </c>
      <c r="D24" s="11">
        <f>'[4]EM PM Input'!S22</f>
        <v>-1.0999999999999999E-2</v>
      </c>
      <c r="E24" s="11">
        <f>'[4]EM PM Input'!T22</f>
        <v>1.2000000000000001E-3</v>
      </c>
      <c r="F24" s="11">
        <f>'[4]EM PM Input'!U22</f>
        <v>5.7999999999999996E-3</v>
      </c>
      <c r="H24" s="10" t="s">
        <v>11</v>
      </c>
      <c r="I24" s="11">
        <f>'[4]EM PM Input'!X22</f>
        <v>9.4999999999999998E-3</v>
      </c>
      <c r="J24" s="11">
        <f>'[4]EM PM Input'!Y22</f>
        <v>-2E-3</v>
      </c>
      <c r="K24" s="11">
        <f>'[4]EM PM Input'!Z22</f>
        <v>-5.0000000000000001E-3</v>
      </c>
      <c r="L24" s="11">
        <f>'[4]EM PM Input'!AA22</f>
        <v>3.2000000000000002E-3</v>
      </c>
      <c r="M24" s="11">
        <f>'[4]EM PM Input'!AB22</f>
        <v>9.7999999999999997E-3</v>
      </c>
      <c r="O24" s="3" t="s">
        <v>1593</v>
      </c>
      <c r="P24" s="14" t="str">
        <f>_xll.PLContribFull(B24*100,"BID",O24,"Slot46","TICKER",3,,"Valid")</f>
        <v>0.550 (12:14:42.743167)</v>
      </c>
      <c r="Q24" s="5" t="str">
        <f>_xll.PLContribFull(I24*100,"ASK",O24,"Slot46","TICKER",3,,"Valid")</f>
        <v>0.950 (12:14:42.741170)</v>
      </c>
      <c r="R24" s="15" t="s">
        <v>1592</v>
      </c>
      <c r="S24" s="14" t="str">
        <f>_xll.PLContribFull(C24*100,"BID",R24,"Slot46","TICKER",3,,"Valid")</f>
        <v>-0.500 (12:14:42.752166)</v>
      </c>
      <c r="T24" s="14" t="str">
        <f>_xll.PLContribFull(J24*100,"ASK",R24,"Slot46","TICKER",3,,"Valid")</f>
        <v>-0.200 (12:14:42.750168)</v>
      </c>
      <c r="U24" s="3" t="s">
        <v>1591</v>
      </c>
      <c r="V24" s="14" t="str">
        <f>_xll.PLContribFull(D24*100,"BID",U24,"Slot46","TICKER",3,,"Valid")</f>
        <v>-1.100 (12:14:42.750168)</v>
      </c>
      <c r="W24" s="5" t="str">
        <f>_xll.PLContribFull(K24*100,"ASK",U24,"Slot46","TICKER",3,,"Valid")</f>
        <v>-0.500 (12:14:42.753167)</v>
      </c>
      <c r="X24" s="15" t="s">
        <v>1590</v>
      </c>
      <c r="Y24" s="14" t="str">
        <f>_xll.PLContribFull(E24*100,"BID",X24,"Slot46","TICKER",3,,"Valid")</f>
        <v>0.120 (12:14:42.742167)</v>
      </c>
      <c r="Z24" s="14" t="str">
        <f>_xll.PLContribFull(L24*100,"ASK",X24,"Slot46","TICKER",3,,"Valid")</f>
        <v>0.320 (12:14:42.753167)</v>
      </c>
      <c r="AA24" s="3" t="s">
        <v>1589</v>
      </c>
      <c r="AB24" s="14" t="str">
        <f>_xll.PLContribFull(F24*100,"BID",AA24,"Slot46","TICKER",3,,"Valid")</f>
        <v>0.580 (12:14:42.752166)</v>
      </c>
      <c r="AC24" s="5" t="str">
        <f>_xll.PLContribFull(M24*100,"ASK",AA24,"Slot46","TICKER",3,,"Valid")</f>
        <v>0.980 (12:14:42.751168)</v>
      </c>
      <c r="AD24" s="16"/>
    </row>
    <row r="25" spans="1:30" x14ac:dyDescent="0.2">
      <c r="A25" s="12" t="s">
        <v>12</v>
      </c>
      <c r="B25" s="11">
        <f>'[4]EM PM Input'!Q23</f>
        <v>5.4999999999999997E-3</v>
      </c>
      <c r="C25" s="11">
        <f>'[4]EM PM Input'!R23</f>
        <v>-6.0000000000000001E-3</v>
      </c>
      <c r="D25" s="11">
        <f>'[4]EM PM Input'!S23</f>
        <v>-1.3299999999999999E-2</v>
      </c>
      <c r="E25" s="11">
        <f>'[4]EM PM Input'!T23</f>
        <v>1.5999999999999999E-3</v>
      </c>
      <c r="F25" s="11">
        <f>'[4]EM PM Input'!U23</f>
        <v>7.7000000000000002E-3</v>
      </c>
      <c r="H25" s="10" t="s">
        <v>12</v>
      </c>
      <c r="I25" s="11">
        <f>'[4]EM PM Input'!X23</f>
        <v>9.4999999999999998E-3</v>
      </c>
      <c r="J25" s="11">
        <f>'[4]EM PM Input'!Y23</f>
        <v>-2.9999999999999996E-3</v>
      </c>
      <c r="K25" s="11">
        <f>'[4]EM PM Input'!Z23</f>
        <v>-7.3000000000000001E-3</v>
      </c>
      <c r="L25" s="11">
        <f>'[4]EM PM Input'!AA23</f>
        <v>3.5999999999999999E-3</v>
      </c>
      <c r="M25" s="11">
        <f>'[4]EM PM Input'!AB23</f>
        <v>1.17E-2</v>
      </c>
      <c r="O25" s="3" t="s">
        <v>1588</v>
      </c>
      <c r="P25" s="14" t="str">
        <f>_xll.PLContribFull(B25*100,"BID",O25,"Slot46","TICKER",3,,"Valid")</f>
        <v>0.550 (12:14:42.755167)</v>
      </c>
      <c r="Q25" s="5" t="str">
        <f>_xll.PLContribFull(I25*100,"ASK",O25,"Slot46","TICKER",3,,"Valid")</f>
        <v>0.950 (12:14:42.744167)</v>
      </c>
      <c r="R25" s="15" t="s">
        <v>1587</v>
      </c>
      <c r="S25" s="14" t="str">
        <f>_xll.PLContribFull(C25*100,"BID",R25,"Slot46","TICKER",3,,"Valid")</f>
        <v>-0.600 (12:14:42.741170)</v>
      </c>
      <c r="T25" s="14" t="str">
        <f>_xll.PLContribFull(J25*100,"ASK",R25,"Slot46","TICKER",3,,"Valid")</f>
        <v>-0.300 (12:14:42.740168)</v>
      </c>
      <c r="U25" s="3" t="s">
        <v>1586</v>
      </c>
      <c r="V25" s="14" t="str">
        <f>_xll.PLContribFull(D25*100,"BID",U25,"Slot46","TICKER",3,,"Valid")</f>
        <v>-1.330 (12:14:42.747168)</v>
      </c>
      <c r="W25" s="5" t="str">
        <f>_xll.PLContribFull(K25*100,"ASK",U25,"Slot46","TICKER",3,,"Valid")</f>
        <v>-0.730 (12:14:42.742167)</v>
      </c>
      <c r="X25" s="15" t="s">
        <v>1585</v>
      </c>
      <c r="Y25" s="14" t="str">
        <f>_xll.PLContribFull(E25*100,"BID",X25,"Slot46","TICKER",3,,"Valid")</f>
        <v>0.160 (12:14:42.752166)</v>
      </c>
      <c r="Z25" s="14" t="str">
        <f>_xll.PLContribFull(L25*100,"ASK",X25,"Slot46","TICKER",3,,"Valid")</f>
        <v>0.360 (12:14:42.752166)</v>
      </c>
      <c r="AA25" s="3" t="s">
        <v>1584</v>
      </c>
      <c r="AB25" s="14" t="str">
        <f>_xll.PLContribFull(F25*100,"BID",AA25,"Slot46","TICKER",3,,"Valid")</f>
        <v>0.770 (12:14:42.751168)</v>
      </c>
      <c r="AC25" s="5" t="str">
        <f>_xll.PLContribFull(M25*100,"ASK",AA25,"Slot46","TICKER",3,,"Valid")</f>
        <v>1.170 (12:14:42.746167)</v>
      </c>
      <c r="AD25" s="16"/>
    </row>
    <row r="26" spans="1:30" x14ac:dyDescent="0.2">
      <c r="A26" s="12" t="s">
        <v>13</v>
      </c>
      <c r="B26" s="11">
        <f>'[4]EM PM Input'!Q24</f>
        <v>5.4999999999999997E-3</v>
      </c>
      <c r="C26" s="11">
        <f>'[4]EM PM Input'!R24</f>
        <v>-6.9999999999999993E-3</v>
      </c>
      <c r="D26" s="11">
        <f>'[4]EM PM Input'!S24</f>
        <v>-1.5599999999999999E-2</v>
      </c>
      <c r="E26" s="11">
        <f>'[4]EM PM Input'!T24</f>
        <v>2.0999999999999999E-3</v>
      </c>
      <c r="F26" s="11">
        <f>'[4]EM PM Input'!U24</f>
        <v>9.5999999999999992E-3</v>
      </c>
      <c r="H26" s="10" t="s">
        <v>13</v>
      </c>
      <c r="I26" s="11">
        <f>'[4]EM PM Input'!X24</f>
        <v>9.4999999999999998E-3</v>
      </c>
      <c r="J26" s="11">
        <f>'[4]EM PM Input'!Y24</f>
        <v>-4.0000000000000001E-3</v>
      </c>
      <c r="K26" s="11">
        <f>'[4]EM PM Input'!Z24</f>
        <v>-9.6000000000000009E-3</v>
      </c>
      <c r="L26" s="11">
        <f>'[4]EM PM Input'!AA24</f>
        <v>4.0999999999999995E-3</v>
      </c>
      <c r="M26" s="11">
        <f>'[4]EM PM Input'!AB24</f>
        <v>1.3599999999999999E-2</v>
      </c>
      <c r="O26" s="3" t="s">
        <v>1583</v>
      </c>
      <c r="P26" s="14" t="str">
        <f>_xll.PLContribFull(B26*100,"BID",O26,"Slot46","TICKER",3,,"Valid")</f>
        <v>0.550 (12:14:42.753167)</v>
      </c>
      <c r="Q26" s="5" t="str">
        <f>_xll.PLContribFull(I26*100,"ASK",O26,"Slot46","TICKER",3,,"Valid")</f>
        <v>0.950 (12:14:42.744167)</v>
      </c>
      <c r="R26" s="15" t="s">
        <v>1582</v>
      </c>
      <c r="S26" s="14" t="str">
        <f>_xll.PLContribFull(C26*100,"BID",R26,"Slot46","TICKER",3,,"Valid")</f>
        <v>-0.700 (12:14:42.747168)</v>
      </c>
      <c r="T26" s="14" t="str">
        <f>_xll.PLContribFull(J26*100,"ASK",R26,"Slot46","TICKER",3,,"Valid")</f>
        <v>-0.400 (12:14:42.755167)</v>
      </c>
      <c r="U26" s="3" t="s">
        <v>1581</v>
      </c>
      <c r="V26" s="14" t="str">
        <f>_xll.PLContribFull(D26*100,"BID",U26,"Slot46","TICKER",3,,"Valid")</f>
        <v>-1.560 (12:14:42.742167)</v>
      </c>
      <c r="W26" s="5" t="str">
        <f>_xll.PLContribFull(K26*100,"ASK",U26,"Slot46","TICKER",3,,"Valid")</f>
        <v>-0.960 (12:14:42.743167)</v>
      </c>
      <c r="X26" s="15" t="s">
        <v>1580</v>
      </c>
      <c r="Y26" s="14" t="str">
        <f>_xll.PLContribFull(E26*100,"BID",X26,"Slot46","TICKER",3,,"Valid")</f>
        <v>0.210 (12:14:42.744167)</v>
      </c>
      <c r="Z26" s="14" t="str">
        <f>_xll.PLContribFull(L26*100,"ASK",X26,"Slot46","TICKER",3,,"Valid")</f>
        <v>0.410 (12:14:42.752166)</v>
      </c>
      <c r="AA26" s="3" t="s">
        <v>1579</v>
      </c>
      <c r="AB26" s="14" t="str">
        <f>_xll.PLContribFull(F26*100,"BID",AA26,"Slot46","TICKER",3,,"Valid")</f>
        <v>0.960 (12:14:42.745167)</v>
      </c>
      <c r="AC26" s="5" t="str">
        <f>_xll.PLContribFull(M26*100,"ASK",AA26,"Slot46","TICKER",3,,"Valid")</f>
        <v>1.360 (12:14:42.744167)</v>
      </c>
      <c r="AD26" s="16"/>
    </row>
    <row r="27" spans="1:30" x14ac:dyDescent="0.2">
      <c r="A27" s="12" t="s">
        <v>14</v>
      </c>
      <c r="B27" s="11">
        <f>'[4]EM PM Input'!Q25</f>
        <v>8.0000000000000002E-3</v>
      </c>
      <c r="C27" s="11">
        <f>'[4]EM PM Input'!R25</f>
        <v>-1.46E-2</v>
      </c>
      <c r="D27" s="11">
        <f>'[4]EM PM Input'!S25</f>
        <v>-3.2600000000000004E-2</v>
      </c>
      <c r="E27" s="11">
        <f>'[4]EM PM Input'!T25</f>
        <v>1.5499999999999997E-3</v>
      </c>
      <c r="F27" s="11">
        <f>'[4]EM PM Input'!U25</f>
        <v>1.1099999999999999E-2</v>
      </c>
      <c r="H27" s="10" t="s">
        <v>14</v>
      </c>
      <c r="I27" s="11">
        <f>'[4]EM PM Input'!X25</f>
        <v>1.2E-2</v>
      </c>
      <c r="J27" s="11">
        <f>'[4]EM PM Input'!Y25</f>
        <v>-7.6000000000000009E-3</v>
      </c>
      <c r="K27" s="11">
        <f>'[4]EM PM Input'!Z25</f>
        <v>-1.8600000000000002E-2</v>
      </c>
      <c r="L27" s="11">
        <f>'[4]EM PM Input'!AA25</f>
        <v>6.0499999999999998E-3</v>
      </c>
      <c r="M27" s="11">
        <f>'[4]EM PM Input'!AB25</f>
        <v>2.01E-2</v>
      </c>
      <c r="O27" s="3" t="s">
        <v>1578</v>
      </c>
      <c r="P27" s="14" t="str">
        <f>_xll.PLContribFull(B27*100,"BID",O27,"Slot46","TICKER",3,,"Valid")</f>
        <v>0.800 (12:14:42.749167)</v>
      </c>
      <c r="Q27" s="5" t="str">
        <f>_xll.PLContribFull(I27*100,"ASK",O27,"Slot46","TICKER",3,,"Valid")</f>
        <v>1.200 (12:14:42.750168)</v>
      </c>
      <c r="R27" s="15" t="s">
        <v>1577</v>
      </c>
      <c r="S27" s="14" t="str">
        <f>_xll.PLContribFull(C27*100,"BID",R27,"Slot46","TICKER",3,,"Valid")</f>
        <v>-1.460 (12:14:42.740168)</v>
      </c>
      <c r="T27" s="14" t="str">
        <f>_xll.PLContribFull(J27*100,"ASK",R27,"Slot46","TICKER",3,,"Valid")</f>
        <v>-0.760 (12:14:42.747168)</v>
      </c>
      <c r="U27" s="3" t="s">
        <v>1576</v>
      </c>
      <c r="V27" s="14" t="str">
        <f>_xll.PLContribFull(D27*100,"BID",U27,"Slot46","TICKER",3,,"Valid")</f>
        <v>-3.260 (12:14:42.750168)</v>
      </c>
      <c r="W27" s="5" t="str">
        <f>_xll.PLContribFull(K27*100,"ASK",U27,"Slot46","TICKER",3,,"Valid")</f>
        <v>-1.860 (12:14:42.751168)</v>
      </c>
      <c r="X27" s="15" t="s">
        <v>1575</v>
      </c>
      <c r="Y27" s="14" t="str">
        <f>_xll.PLContribFull(E27*100,"BID",X27,"Slot46","TICKER",3,,"Valid")</f>
        <v>0.155 (12:14:42.749167)</v>
      </c>
      <c r="Z27" s="14" t="str">
        <f>_xll.PLContribFull(L27*100,"ASK",X27,"Slot46","TICKER",3,,"Valid")</f>
        <v>0.605 (12:14:42.752166)</v>
      </c>
      <c r="AA27" s="3" t="s">
        <v>1574</v>
      </c>
      <c r="AB27" s="14" t="str">
        <f>_xll.PLContribFull(F27*100,"BID",AA27,"Slot46","TICKER",3,,"Valid")</f>
        <v>1.110 (12:14:42.746167)</v>
      </c>
      <c r="AC27" s="5" t="str">
        <f>_xll.PLContribFull(M27*100,"ASK",AA27,"Slot46","TICKER",3,,"Valid")</f>
        <v>2.010 (12:14:42.752166)</v>
      </c>
      <c r="AD27" s="16"/>
    </row>
    <row r="28" spans="1:30" x14ac:dyDescent="0.2">
      <c r="A28" s="12" t="s">
        <v>876</v>
      </c>
      <c r="B28" s="11">
        <f>'[4]EM PM Input'!Q26</f>
        <v>1.4500000000000001E-2</v>
      </c>
      <c r="C28" s="11">
        <f>'[4]EM PM Input'!R26</f>
        <v>-1.9900000000000001E-2</v>
      </c>
      <c r="D28" s="11">
        <f>'[4]EM PM Input'!S26</f>
        <v>-4.3899999999999995E-2</v>
      </c>
      <c r="E28" s="11">
        <f>'[4]EM PM Input'!T26</f>
        <v>1.0000000000000026E-4</v>
      </c>
      <c r="F28" s="11">
        <f>'[4]EM PM Input'!U26</f>
        <v>9.0000000000000011E-3</v>
      </c>
      <c r="H28" s="10" t="s">
        <v>876</v>
      </c>
      <c r="I28" s="11">
        <f>'[4]EM PM Input'!X26</f>
        <v>1.8500000000000003E-2</v>
      </c>
      <c r="J28" s="11">
        <f>'[4]EM PM Input'!Y26</f>
        <v>-7.899999999999999E-3</v>
      </c>
      <c r="K28" s="11">
        <f>'[4]EM PM Input'!Z26</f>
        <v>-1.9899999999999998E-2</v>
      </c>
      <c r="L28" s="11">
        <f>'[4]EM PM Input'!AA26</f>
        <v>8.0999999999999996E-3</v>
      </c>
      <c r="M28" s="11">
        <f>'[4]EM PM Input'!AB26</f>
        <v>2.5000000000000001E-2</v>
      </c>
      <c r="O28" s="3" t="s">
        <v>1573</v>
      </c>
      <c r="P28" s="14" t="str">
        <f>_xll.PLContribFull(B28*100,"BID",O28,"Slot46","TICKER",3,,"Valid")</f>
        <v>1.450 (12:14:42.746167)</v>
      </c>
      <c r="Q28" s="5" t="str">
        <f>_xll.PLContribFull(I28*100,"ASK",O28,"Slot46","TICKER",3,,"Valid")</f>
        <v>1.850 (12:14:42.740168)</v>
      </c>
      <c r="R28" s="15" t="s">
        <v>1572</v>
      </c>
      <c r="S28" s="14" t="str">
        <f>_xll.PLContribFull(C28*100,"BID",R28,"Slot46","TICKER",3,,"Valid")</f>
        <v>-1.990 (12:14:42.745167)</v>
      </c>
      <c r="T28" s="14" t="str">
        <f>_xll.PLContribFull(J28*100,"ASK",R28,"Slot46","TICKER",3,,"Valid")</f>
        <v>-0.790 (12:14:42.749167)</v>
      </c>
      <c r="U28" s="3" t="s">
        <v>1571</v>
      </c>
      <c r="V28" s="14" t="str">
        <f>_xll.PLContribFull(D28*100,"BID",U28,"Slot46","TICKER",3,,"Valid")</f>
        <v>-4.390 (12:14:42.752166)</v>
      </c>
      <c r="W28" s="5" t="str">
        <f>_xll.PLContribFull(K28*100,"ASK",U28,"Slot46","TICKER",3,,"Valid")</f>
        <v>-1.990 (12:14:42.740168)</v>
      </c>
      <c r="X28" s="15" t="s">
        <v>1570</v>
      </c>
      <c r="Y28" s="14" t="str">
        <f>_xll.PLContribFull(E28*100,"BID",X28,"Slot46","TICKER",3,,"Valid")</f>
        <v>0.010 (12:14:42.741170)</v>
      </c>
      <c r="Z28" s="14" t="str">
        <f>_xll.PLContribFull(L28*100,"ASK",X28,"Slot46","TICKER",3,,"Valid")</f>
        <v>0.810 (12:14:42.753167)</v>
      </c>
      <c r="AA28" s="3" t="s">
        <v>1569</v>
      </c>
      <c r="AB28" s="14" t="str">
        <f>_xll.PLContribFull(F28*100,"BID",AA28,"Slot46","TICKER",3,,"Valid")</f>
        <v>0.900 (12:14:42.751168)</v>
      </c>
      <c r="AC28" s="5" t="str">
        <f>_xll.PLContribFull(M28*100,"ASK",AA28,"Slot46","TICKER",3,,"Valid")</f>
        <v>2.500 (12:14:42.754169)</v>
      </c>
      <c r="AD28" s="16"/>
    </row>
    <row r="31" spans="1:30" x14ac:dyDescent="0.25">
      <c r="A31" s="10" t="s">
        <v>1568</v>
      </c>
      <c r="O31" s="3" t="s">
        <v>67</v>
      </c>
      <c r="P31" s="15" t="s">
        <v>68</v>
      </c>
      <c r="Q31" s="6"/>
      <c r="R31" s="15" t="s">
        <v>67</v>
      </c>
      <c r="S31" s="15" t="s">
        <v>68</v>
      </c>
      <c r="T31" s="15"/>
      <c r="U31" s="3" t="s">
        <v>67</v>
      </c>
      <c r="V31" s="15" t="s">
        <v>68</v>
      </c>
      <c r="W31" s="6"/>
      <c r="X31" s="15" t="s">
        <v>67</v>
      </c>
      <c r="Y31" s="15" t="s">
        <v>68</v>
      </c>
      <c r="Z31" s="15"/>
      <c r="AA31" s="3" t="s">
        <v>67</v>
      </c>
      <c r="AB31" s="15" t="s">
        <v>68</v>
      </c>
      <c r="AC31" s="6"/>
    </row>
    <row r="32" spans="1:30" ht="14.25" x14ac:dyDescent="0.25">
      <c r="A32" s="12" t="s">
        <v>1509</v>
      </c>
      <c r="B32" s="12" t="s">
        <v>0</v>
      </c>
      <c r="C32" s="12" t="s">
        <v>1</v>
      </c>
      <c r="D32" s="12" t="s">
        <v>2</v>
      </c>
      <c r="E32" s="12" t="s">
        <v>3</v>
      </c>
      <c r="F32" s="12" t="s">
        <v>4</v>
      </c>
      <c r="H32" s="10" t="s">
        <v>1508</v>
      </c>
      <c r="I32" s="10" t="s">
        <v>0</v>
      </c>
      <c r="J32" s="10" t="s">
        <v>1</v>
      </c>
      <c r="K32" s="10" t="s">
        <v>2</v>
      </c>
      <c r="L32" s="10" t="s">
        <v>3</v>
      </c>
      <c r="M32" s="10" t="s">
        <v>4</v>
      </c>
      <c r="O32" s="3" t="s">
        <v>66</v>
      </c>
      <c r="P32" s="13" t="s">
        <v>1509</v>
      </c>
      <c r="Q32" s="4" t="s">
        <v>1508</v>
      </c>
      <c r="R32" s="15" t="s">
        <v>1</v>
      </c>
      <c r="S32" s="13" t="s">
        <v>1509</v>
      </c>
      <c r="T32" s="13" t="s">
        <v>1508</v>
      </c>
      <c r="U32" s="3" t="s">
        <v>2</v>
      </c>
      <c r="V32" s="13" t="s">
        <v>1509</v>
      </c>
      <c r="W32" s="4" t="s">
        <v>1508</v>
      </c>
      <c r="X32" s="15" t="s">
        <v>3</v>
      </c>
      <c r="Y32" s="13" t="s">
        <v>1509</v>
      </c>
      <c r="Z32" s="13" t="s">
        <v>1508</v>
      </c>
      <c r="AA32" s="3" t="s">
        <v>4</v>
      </c>
      <c r="AB32" s="13" t="s">
        <v>1509</v>
      </c>
      <c r="AC32" s="4" t="s">
        <v>1508</v>
      </c>
      <c r="AD32" s="2"/>
    </row>
    <row r="33" spans="1:30" x14ac:dyDescent="0.2">
      <c r="A33" s="12" t="s">
        <v>5</v>
      </c>
      <c r="B33" s="11">
        <f>'[4]EM PM Input'!Q30</f>
        <v>5.7499999999999999E-3</v>
      </c>
      <c r="C33" s="11">
        <f>'[4]EM PM Input'!R30</f>
        <v>-3.8E-3</v>
      </c>
      <c r="D33" s="11">
        <f>'[4]EM PM Input'!S30</f>
        <v>-7.3000000000000001E-3</v>
      </c>
      <c r="E33" s="11">
        <f>'[4]EM PM Input'!T30</f>
        <v>-1.1000000000000001E-3</v>
      </c>
      <c r="F33" s="11">
        <f>'[4]EM PM Input'!U30</f>
        <v>-7.9999999999999993E-4</v>
      </c>
      <c r="H33" s="10" t="s">
        <v>5</v>
      </c>
      <c r="I33" s="11">
        <f>'[4]EM PM Input'!X30</f>
        <v>2.5750000000000002E-2</v>
      </c>
      <c r="J33" s="11">
        <f>'[4]EM PM Input'!Y30</f>
        <v>1.2000000000000001E-3</v>
      </c>
      <c r="K33" s="11">
        <f>'[4]EM PM Input'!Z30</f>
        <v>2.7000000000000001E-3</v>
      </c>
      <c r="L33" s="11">
        <f>'[4]EM PM Input'!AA30</f>
        <v>2.8999999999999998E-3</v>
      </c>
      <c r="M33" s="11">
        <f>'[4]EM PM Input'!AB30</f>
        <v>7.1999999999999998E-3</v>
      </c>
      <c r="O33" s="3" t="s">
        <v>1567</v>
      </c>
      <c r="P33" s="14" t="str">
        <f>_xll.PLContribFull(B33*100,"BID",O33,"Slot46","TICKER",3,,"Valid")</f>
        <v>0.575 (12:14:42.799167)</v>
      </c>
      <c r="Q33" s="5" t="str">
        <f>_xll.PLContribFull(I33*100,"ASK",O33,"Slot46","TICKER",3,,"Valid")</f>
        <v>2.575 (12:14:42.790167)</v>
      </c>
      <c r="R33" s="15" t="s">
        <v>1566</v>
      </c>
      <c r="S33" s="14" t="str">
        <f>_xll.PLContribFull(C33*100,"BID",R33,"Slot46","TICKER",3,,"Valid")</f>
        <v>-0.380 (12:14:42.755167)</v>
      </c>
      <c r="T33" s="14" t="str">
        <f>_xll.PLContribFull(J33*100,"ASK",R33,"Slot46","TICKER",3,,"Valid")</f>
        <v>0.120 (12:14:42.752166)</v>
      </c>
      <c r="U33" s="3" t="s">
        <v>1565</v>
      </c>
      <c r="V33" s="14" t="str">
        <f>_xll.PLContribFull(D33*100,"BID",U33,"Slot46","TICKER",3,,"Valid")</f>
        <v>-0.730 (12:14:42.747168)</v>
      </c>
      <c r="W33" s="5" t="str">
        <f>_xll.PLContribFull(K33*100,"ASK",U33,"Slot46","TICKER",3,,"Valid")</f>
        <v>0.270 (12:14:42.746167)</v>
      </c>
      <c r="X33" s="15" t="s">
        <v>1564</v>
      </c>
      <c r="Y33" s="14" t="str">
        <f>_xll.PLContribFull(E33*100,"BID",X33,"Slot46","TICKER",3,,"Valid")</f>
        <v>-0.110 (12:14:42.749167)</v>
      </c>
      <c r="Z33" s="14" t="str">
        <f>_xll.PLContribFull(L33*100,"ASK",X33,"Slot46","TICKER",3,,"Valid")</f>
        <v>0.290 (12:14:42.741170)</v>
      </c>
      <c r="AA33" s="3" t="s">
        <v>1563</v>
      </c>
      <c r="AB33" s="14" t="str">
        <f>_xll.PLContribFull(F33*100,"BID",AA33,"Slot46","TICKER",3,,"Valid")</f>
        <v>-0.080 (12:14:42.741170)</v>
      </c>
      <c r="AC33" s="5" t="str">
        <f>_xll.PLContribFull(M33*100,"ASK",AA33,"Slot46","TICKER",3,,"Valid")</f>
        <v>0.720 (12:14:42.742167)</v>
      </c>
      <c r="AD33" s="16"/>
    </row>
    <row r="34" spans="1:30" x14ac:dyDescent="0.2">
      <c r="A34" s="12" t="s">
        <v>6</v>
      </c>
      <c r="B34" s="11">
        <f>'[4]EM PM Input'!Q31</f>
        <v>9.305227865013966E-3</v>
      </c>
      <c r="C34" s="11">
        <f>'[4]EM PM Input'!R31</f>
        <v>-3.4000000000000002E-3</v>
      </c>
      <c r="D34" s="11">
        <f>'[4]EM PM Input'!S31</f>
        <v>-6.6E-3</v>
      </c>
      <c r="E34" s="11">
        <f>'[4]EM PM Input'!T31</f>
        <v>-6.0000000000000006E-4</v>
      </c>
      <c r="F34" s="11">
        <f>'[4]EM PM Input'!U31</f>
        <v>0</v>
      </c>
      <c r="H34" s="10" t="s">
        <v>6</v>
      </c>
      <c r="I34" s="11">
        <f>'[4]EM PM Input'!X31</f>
        <v>2.1305227865013966E-2</v>
      </c>
      <c r="J34" s="11">
        <f>'[4]EM PM Input'!Y31</f>
        <v>6.0000000000000006E-4</v>
      </c>
      <c r="K34" s="11">
        <f>'[4]EM PM Input'!Z31</f>
        <v>1.4000000000000002E-3</v>
      </c>
      <c r="L34" s="11">
        <f>'[4]EM PM Input'!AA31</f>
        <v>2.4000000000000002E-3</v>
      </c>
      <c r="M34" s="11">
        <f>'[4]EM PM Input'!AB31</f>
        <v>6.0000000000000001E-3</v>
      </c>
      <c r="O34" s="3" t="s">
        <v>1562</v>
      </c>
      <c r="P34" s="14" t="str">
        <f>_xll.PLContribFull(B34*100,"BID",O34,"Slot46","TICKER",3,,"Valid")</f>
        <v>0.931 (12:14:42.791166)</v>
      </c>
      <c r="Q34" s="5" t="str">
        <f>_xll.PLContribFull(I34*100,"ASK",O34,"Slot46","TICKER",3,,"Valid")</f>
        <v>2.131 (12:14:42.796169)</v>
      </c>
      <c r="R34" s="15" t="s">
        <v>1561</v>
      </c>
      <c r="S34" s="14" t="str">
        <f>_xll.PLContribFull(C34*100,"BID",R34,"Slot46","TICKER",3,,"Valid")</f>
        <v>-0.340 (12:14:42.755167)</v>
      </c>
      <c r="T34" s="14" t="str">
        <f>_xll.PLContribFull(J34*100,"ASK",R34,"Slot46","TICKER",3,,"Valid")</f>
        <v>0.060 (12:14:42.751168)</v>
      </c>
      <c r="U34" s="3" t="s">
        <v>1560</v>
      </c>
      <c r="V34" s="14" t="str">
        <f>_xll.PLContribFull(D34*100,"BID",U34,"Slot46","TICKER",3,,"Valid")</f>
        <v>-0.660 (12:14:42.742167)</v>
      </c>
      <c r="W34" s="5" t="str">
        <f>_xll.PLContribFull(K34*100,"ASK",U34,"Slot46","TICKER",3,,"Valid")</f>
        <v>0.140 (12:14:42.747168)</v>
      </c>
      <c r="X34" s="15" t="s">
        <v>1559</v>
      </c>
      <c r="Y34" s="14" t="str">
        <f>_xll.PLContribFull(E34*100,"BID",X34,"Slot46","TICKER",3,,"Valid")</f>
        <v>-0.060 (12:14:42.746167)</v>
      </c>
      <c r="Z34" s="14" t="str">
        <f>_xll.PLContribFull(L34*100,"ASK",X34,"Slot46","TICKER",3,,"Valid")</f>
        <v>0.240 (12:14:42.749167)</v>
      </c>
      <c r="AA34" s="3" t="s">
        <v>1558</v>
      </c>
      <c r="AB34" s="14" t="str">
        <f>_xll.PLContribFull(F34*100,"BID",AA34,"Slot46","TICKER",3,,"Valid")</f>
        <v>0.000 (12:14:42.748167)</v>
      </c>
      <c r="AC34" s="5" t="str">
        <f>_xll.PLContribFull(M34*100,"ASK",AA34,"Slot46","TICKER",3,,"Valid")</f>
        <v>0.600 (12:14:42.743167)</v>
      </c>
      <c r="AD34" s="16"/>
    </row>
    <row r="35" spans="1:30" x14ac:dyDescent="0.2">
      <c r="A35" s="12" t="s">
        <v>7</v>
      </c>
      <c r="B35" s="11">
        <f>'[4]EM PM Input'!Q32</f>
        <v>1.1648948915772429E-2</v>
      </c>
      <c r="C35" s="11">
        <f>'[4]EM PM Input'!R32</f>
        <v>-2.7499999999999998E-3</v>
      </c>
      <c r="D35" s="11">
        <f>'[4]EM PM Input'!S32</f>
        <v>-5.2999999999999992E-3</v>
      </c>
      <c r="E35" s="11">
        <f>'[4]EM PM Input'!T32</f>
        <v>-2.5000000000000001E-4</v>
      </c>
      <c r="F35" s="11">
        <f>'[4]EM PM Input'!U32</f>
        <v>5.0000000000000001E-4</v>
      </c>
      <c r="H35" s="10" t="s">
        <v>7</v>
      </c>
      <c r="I35" s="11">
        <f>'[4]EM PM Input'!X32</f>
        <v>2.1648948915772431E-2</v>
      </c>
      <c r="J35" s="11">
        <f>'[4]EM PM Input'!Y32</f>
        <v>7.499999999999998E-4</v>
      </c>
      <c r="K35" s="11">
        <f>'[4]EM PM Input'!Z32</f>
        <v>1.6999999999999997E-3</v>
      </c>
      <c r="L35" s="11">
        <f>'[4]EM PM Input'!AA32</f>
        <v>2.2500000000000003E-3</v>
      </c>
      <c r="M35" s="11">
        <f>'[4]EM PM Input'!AB32</f>
        <v>5.4999999999999997E-3</v>
      </c>
      <c r="O35" s="3" t="s">
        <v>1557</v>
      </c>
      <c r="P35" s="14" t="str">
        <f>_xll.PLContribFull(B35*100,"BID",O35,"Slot46","TICKER",3,,"Valid")</f>
        <v>1.165 (12:14:42.784167)</v>
      </c>
      <c r="Q35" s="5" t="str">
        <f>_xll.PLContribFull(I35*100,"ASK",O35,"Slot46","TICKER",3,,"Valid")</f>
        <v>2.165 (12:14:42.786167)</v>
      </c>
      <c r="R35" s="15" t="s">
        <v>1556</v>
      </c>
      <c r="S35" s="14" t="str">
        <f>_xll.PLContribFull(C35*100,"BID",R35,"Slot46","TICKER",3,,"Valid")</f>
        <v>-0.275 (12:14:42.755167)</v>
      </c>
      <c r="T35" s="14" t="str">
        <f>_xll.PLContribFull(J35*100,"ASK",R35,"Slot46","TICKER",3,,"Valid")</f>
        <v>0.075 (12:14:42.745167)</v>
      </c>
      <c r="U35" s="3" t="s">
        <v>1555</v>
      </c>
      <c r="V35" s="14" t="str">
        <f>_xll.PLContribFull(D35*100,"BID",U35,"Slot46","TICKER",3,,"Valid")</f>
        <v>-0.530 (12:14:42.749167)</v>
      </c>
      <c r="W35" s="5" t="str">
        <f>_xll.PLContribFull(K35*100,"ASK",U35,"Slot46","TICKER",3,,"Valid")</f>
        <v>0.170 (12:14:42.741170)</v>
      </c>
      <c r="X35" s="15" t="s">
        <v>1554</v>
      </c>
      <c r="Y35" s="14" t="str">
        <f>_xll.PLContribFull(E35*100,"BID",X35,"Slot46","TICKER",3,,"Valid")</f>
        <v>-0.025 (12:14:42.745167)</v>
      </c>
      <c r="Z35" s="14" t="str">
        <f>_xll.PLContribFull(L35*100,"ASK",X35,"Slot46","TICKER",3,,"Valid")</f>
        <v>0.225 (12:14:42.739168)</v>
      </c>
      <c r="AA35" s="3" t="s">
        <v>1553</v>
      </c>
      <c r="AB35" s="14" t="str">
        <f>_xll.PLContribFull(F35*100,"BID",AA35,"Slot46","TICKER",3,,"Valid")</f>
        <v>0.050 (12:14:42.750168)</v>
      </c>
      <c r="AC35" s="5" t="str">
        <f>_xll.PLContribFull(M35*100,"ASK",AA35,"Slot46","TICKER",3,,"Valid")</f>
        <v>0.550 (12:14:42.752166)</v>
      </c>
      <c r="AD35" s="16"/>
    </row>
    <row r="36" spans="1:30" x14ac:dyDescent="0.2">
      <c r="A36" s="12" t="s">
        <v>8</v>
      </c>
      <c r="B36" s="11">
        <f>'[4]EM PM Input'!Q33</f>
        <v>1.4102631376487072E-2</v>
      </c>
      <c r="C36" s="11">
        <f>'[4]EM PM Input'!R33</f>
        <v>-2.3E-3</v>
      </c>
      <c r="D36" s="11">
        <f>'[4]EM PM Input'!S33</f>
        <v>-4.5000000000000005E-3</v>
      </c>
      <c r="E36" s="11">
        <f>'[4]EM PM Input'!T33</f>
        <v>0</v>
      </c>
      <c r="F36" s="11">
        <f>'[4]EM PM Input'!U33</f>
        <v>8.9999999999999976E-4</v>
      </c>
      <c r="H36" s="10" t="s">
        <v>8</v>
      </c>
      <c r="I36" s="11">
        <f>'[4]EM PM Input'!X33</f>
        <v>2.010263137648707E-2</v>
      </c>
      <c r="J36" s="11">
        <f>'[4]EM PM Input'!Y33</f>
        <v>6.9999999999999999E-4</v>
      </c>
      <c r="K36" s="11">
        <f>'[4]EM PM Input'!Z33</f>
        <v>1.5E-3</v>
      </c>
      <c r="L36" s="11">
        <f>'[4]EM PM Input'!AA33</f>
        <v>2E-3</v>
      </c>
      <c r="M36" s="11">
        <f>'[4]EM PM Input'!AB33</f>
        <v>4.8999999999999998E-3</v>
      </c>
      <c r="O36" s="3" t="s">
        <v>1552</v>
      </c>
      <c r="P36" s="14" t="str">
        <f>_xll.PLContribFull(B36*100,"BID",O36,"Slot46","TICKER",3,,"Valid")</f>
        <v>1.410 (12:14:42.780166)</v>
      </c>
      <c r="Q36" s="5" t="str">
        <f>_xll.PLContribFull(I36*100,"ASK",O36,"Slot46","TICKER",3,,"Valid")</f>
        <v>2.010 (12:14:42.794168)</v>
      </c>
      <c r="R36" s="15" t="s">
        <v>1551</v>
      </c>
      <c r="S36" s="14" t="str">
        <f>_xll.PLContribFull(C36*100,"BID",R36,"Slot46","TICKER",3,,"Valid")</f>
        <v>-0.230 (12:14:42.755167)</v>
      </c>
      <c r="T36" s="14" t="str">
        <f>_xll.PLContribFull(J36*100,"ASK",R36,"Slot46","TICKER",3,,"Valid")</f>
        <v>0.070 (12:14:42.750168)</v>
      </c>
      <c r="U36" s="3" t="s">
        <v>1550</v>
      </c>
      <c r="V36" s="14" t="str">
        <f>_xll.PLContribFull(D36*100,"BID",U36,"Slot46","TICKER",3,,"Valid")</f>
        <v>-0.450 (12:14:42.740168)</v>
      </c>
      <c r="W36" s="5" t="str">
        <f>_xll.PLContribFull(K36*100,"ASK",U36,"Slot46","TICKER",3,,"Valid")</f>
        <v>0.150 (12:14:42.752166)</v>
      </c>
      <c r="X36" s="15" t="s">
        <v>1549</v>
      </c>
      <c r="Y36" s="14" t="str">
        <f>_xll.PLContribFull(E36*100,"BID",X36,"Slot46","TICKER",3,,"Valid")</f>
        <v>0.000 (12:14:42.747168)</v>
      </c>
      <c r="Z36" s="14" t="str">
        <f>_xll.PLContribFull(L36*100,"ASK",X36,"Slot46","TICKER",3,,"Valid")</f>
        <v>0.200 (12:14:42.749167)</v>
      </c>
      <c r="AA36" s="3" t="s">
        <v>1548</v>
      </c>
      <c r="AB36" s="14" t="str">
        <f>_xll.PLContribFull(F36*100,"BID",AA36,"Slot46","TICKER",3,,"Valid")</f>
        <v>0.090 (12:14:42.743167)</v>
      </c>
      <c r="AC36" s="5" t="str">
        <f>_xll.PLContribFull(M36*100,"ASK",AA36,"Slot46","TICKER",3,,"Valid")</f>
        <v>0.490 (12:14:42.744167)</v>
      </c>
      <c r="AD36" s="16"/>
    </row>
    <row r="37" spans="1:30" x14ac:dyDescent="0.2">
      <c r="A37" s="12" t="s">
        <v>9</v>
      </c>
      <c r="B37" s="11">
        <f>'[4]EM PM Input'!Q34</f>
        <v>1.6405218370325027E-2</v>
      </c>
      <c r="C37" s="11">
        <f>'[4]EM PM Input'!R34</f>
        <v>-2.3E-3</v>
      </c>
      <c r="D37" s="11">
        <f>'[4]EM PM Input'!S34</f>
        <v>-4.5000000000000005E-3</v>
      </c>
      <c r="E37" s="11">
        <f>'[4]EM PM Input'!T34</f>
        <v>1.9999999999999987E-4</v>
      </c>
      <c r="F37" s="11">
        <f>'[4]EM PM Input'!U34</f>
        <v>1.3999999999999998E-3</v>
      </c>
      <c r="H37" s="10" t="s">
        <v>9</v>
      </c>
      <c r="I37" s="11">
        <f>'[4]EM PM Input'!X34</f>
        <v>2.2405218370325025E-2</v>
      </c>
      <c r="J37" s="11">
        <f>'[4]EM PM Input'!Y34</f>
        <v>6.9999999999999999E-4</v>
      </c>
      <c r="K37" s="11">
        <f>'[4]EM PM Input'!Z34</f>
        <v>1.5E-3</v>
      </c>
      <c r="L37" s="11">
        <f>'[4]EM PM Input'!AA34</f>
        <v>2.1999999999999997E-3</v>
      </c>
      <c r="M37" s="11">
        <f>'[4]EM PM Input'!AB34</f>
        <v>5.4000000000000003E-3</v>
      </c>
      <c r="O37" s="3" t="s">
        <v>1547</v>
      </c>
      <c r="P37" s="14" t="str">
        <f>_xll.PLContribFull(B37*100,"BID",O37,"Slot46","TICKER",3,,"Valid")</f>
        <v>1.641 (12:14:42.799167)</v>
      </c>
      <c r="Q37" s="5" t="str">
        <f>_xll.PLContribFull(I37*100,"ASK",O37,"Slot46","TICKER",3,,"Valid")</f>
        <v>2.241 (12:14:42.786167)</v>
      </c>
      <c r="R37" s="15" t="s">
        <v>1546</v>
      </c>
      <c r="S37" s="14" t="str">
        <f>_xll.PLContribFull(C37*100,"BID",R37,"Slot46","TICKER",3,,"Valid")</f>
        <v>-0.230 (12:14:42.755167)</v>
      </c>
      <c r="T37" s="14" t="str">
        <f>_xll.PLContribFull(J37*100,"ASK",R37,"Slot46","TICKER",3,,"Valid")</f>
        <v>0.070 (12:14:42.743167)</v>
      </c>
      <c r="U37" s="3" t="s">
        <v>1545</v>
      </c>
      <c r="V37" s="14" t="str">
        <f>_xll.PLContribFull(D37*100,"BID",U37,"Slot46","TICKER",3,,"Valid")</f>
        <v>-0.450 (12:14:42.745167)</v>
      </c>
      <c r="W37" s="5" t="str">
        <f>_xll.PLContribFull(K37*100,"ASK",U37,"Slot46","TICKER",3,,"Valid")</f>
        <v>0.150 (12:14:42.747168)</v>
      </c>
      <c r="X37" s="15" t="s">
        <v>1544</v>
      </c>
      <c r="Y37" s="14" t="str">
        <f>_xll.PLContribFull(E37*100,"BID",X37,"Slot46","TICKER",3,,"Valid")</f>
        <v>0.020 (12:14:42.753167)</v>
      </c>
      <c r="Z37" s="14" t="str">
        <f>_xll.PLContribFull(L37*100,"ASK",X37,"Slot46","TICKER",3,,"Valid")</f>
        <v>0.220 (12:14:42.754169)</v>
      </c>
      <c r="AA37" s="3" t="s">
        <v>1543</v>
      </c>
      <c r="AB37" s="14" t="str">
        <f>_xll.PLContribFull(F37*100,"BID",AA37,"Slot46","TICKER",3,,"Valid")</f>
        <v>0.140 (12:14:42.754169)</v>
      </c>
      <c r="AC37" s="5" t="str">
        <f>_xll.PLContribFull(M37*100,"ASK",AA37,"Slot46","TICKER",3,,"Valid")</f>
        <v>0.540 (12:14:42.745167)</v>
      </c>
      <c r="AD37" s="16"/>
    </row>
    <row r="38" spans="1:30" x14ac:dyDescent="0.2">
      <c r="A38" s="12" t="s">
        <v>10</v>
      </c>
      <c r="B38" s="11">
        <f>'[4]EM PM Input'!Q35</f>
        <v>1.894880406764797E-2</v>
      </c>
      <c r="C38" s="11">
        <f>'[4]EM PM Input'!R35</f>
        <v>-2.4000000000000002E-3</v>
      </c>
      <c r="D38" s="11">
        <f>'[4]EM PM Input'!S35</f>
        <v>-4.7000000000000002E-3</v>
      </c>
      <c r="E38" s="11">
        <f>'[4]EM PM Input'!T35</f>
        <v>2.9999999999999992E-4</v>
      </c>
      <c r="F38" s="11">
        <f>'[4]EM PM Input'!U35</f>
        <v>1.8999999999999998E-3</v>
      </c>
      <c r="H38" s="10" t="s">
        <v>10</v>
      </c>
      <c r="I38" s="11">
        <f>'[4]EM PM Input'!X35</f>
        <v>2.4948804067647969E-2</v>
      </c>
      <c r="J38" s="11">
        <f>'[4]EM PM Input'!Y35</f>
        <v>6.0000000000000006E-4</v>
      </c>
      <c r="K38" s="11">
        <f>'[4]EM PM Input'!Z35</f>
        <v>1.3000000000000002E-3</v>
      </c>
      <c r="L38" s="11">
        <f>'[4]EM PM Input'!AA35</f>
        <v>2.3E-3</v>
      </c>
      <c r="M38" s="11">
        <f>'[4]EM PM Input'!AB35</f>
        <v>5.8999999999999999E-3</v>
      </c>
      <c r="O38" s="3" t="s">
        <v>1542</v>
      </c>
      <c r="P38" s="14" t="str">
        <f>_xll.PLContribFull(B38*100,"BID",O38,"Slot46","TICKER",3,,"Valid")</f>
        <v>1.895 (12:14:42.781168)</v>
      </c>
      <c r="Q38" s="5" t="str">
        <f>_xll.PLContribFull(I38*100,"ASK",O38,"Slot46","TICKER",3,,"Valid")</f>
        <v>2.495 (12:14:42.791166)</v>
      </c>
      <c r="R38" s="15" t="s">
        <v>1541</v>
      </c>
      <c r="S38" s="14" t="str">
        <f>_xll.PLContribFull(C38*100,"BID",R38,"Slot46","TICKER",3,,"Valid")</f>
        <v>-0.240 (12:14:42.755167)</v>
      </c>
      <c r="T38" s="14" t="str">
        <f>_xll.PLContribFull(J38*100,"ASK",R38,"Slot46","TICKER",3,,"Valid")</f>
        <v>0.060 (12:14:42.745167)</v>
      </c>
      <c r="U38" s="3" t="s">
        <v>1540</v>
      </c>
      <c r="V38" s="14" t="str">
        <f>_xll.PLContribFull(D38*100,"BID",U38,"Slot46","TICKER",3,,"Valid")</f>
        <v>-0.470 (12:14:42.754169)</v>
      </c>
      <c r="W38" s="5" t="str">
        <f>_xll.PLContribFull(K38*100,"ASK",U38,"Slot46","TICKER",3,,"Valid")</f>
        <v>0.130 (12:14:42.740168)</v>
      </c>
      <c r="X38" s="15" t="s">
        <v>1539</v>
      </c>
      <c r="Y38" s="14" t="str">
        <f>_xll.PLContribFull(E38*100,"BID",X38,"Slot46","TICKER",3,,"Valid")</f>
        <v>0.030 (12:14:42.752166)</v>
      </c>
      <c r="Z38" s="14" t="str">
        <f>_xll.PLContribFull(L38*100,"ASK",X38,"Slot46","TICKER",3,,"Valid")</f>
        <v>0.230 (12:14:42.746167)</v>
      </c>
      <c r="AA38" s="3" t="s">
        <v>1538</v>
      </c>
      <c r="AB38" s="14" t="str">
        <f>_xll.PLContribFull(F38*100,"BID",AA38,"Slot46","TICKER",3,,"Valid")</f>
        <v>0.190 (12:14:42.742167)</v>
      </c>
      <c r="AC38" s="5" t="str">
        <f>_xll.PLContribFull(M38*100,"ASK",AA38,"Slot46","TICKER",3,,"Valid")</f>
        <v>0.590 (12:14:42.743167)</v>
      </c>
      <c r="AD38" s="16"/>
    </row>
    <row r="39" spans="1:30" x14ac:dyDescent="0.2">
      <c r="A39" s="12" t="s">
        <v>11</v>
      </c>
      <c r="B39" s="11">
        <f>'[4]EM PM Input'!Q36</f>
        <v>2.3537709019431204E-2</v>
      </c>
      <c r="C39" s="11">
        <f>'[4]EM PM Input'!R36</f>
        <v>-3.0000000000000001E-3</v>
      </c>
      <c r="D39" s="11">
        <f>'[4]EM PM Input'!S36</f>
        <v>-5.7000000000000002E-3</v>
      </c>
      <c r="E39" s="11">
        <f>'[4]EM PM Input'!T36</f>
        <v>6.9999999999999988E-4</v>
      </c>
      <c r="F39" s="11">
        <f>'[4]EM PM Input'!U36</f>
        <v>3.4000000000000002E-3</v>
      </c>
      <c r="H39" s="10" t="s">
        <v>11</v>
      </c>
      <c r="I39" s="11">
        <f>'[4]EM PM Input'!X36</f>
        <v>2.9537709019431202E-2</v>
      </c>
      <c r="J39" s="11">
        <f>'[4]EM PM Input'!Y36</f>
        <v>0</v>
      </c>
      <c r="K39" s="11">
        <f>'[4]EM PM Input'!Z36</f>
        <v>2.9999999999999992E-4</v>
      </c>
      <c r="L39" s="11">
        <f>'[4]EM PM Input'!AA36</f>
        <v>2.7000000000000001E-3</v>
      </c>
      <c r="M39" s="11">
        <f>'[4]EM PM Input'!AB36</f>
        <v>7.4000000000000003E-3</v>
      </c>
      <c r="O39" s="3" t="s">
        <v>1537</v>
      </c>
      <c r="P39" s="14" t="str">
        <f>_xll.PLContribFull(B39*100,"BID",O39,"Slot46","TICKER",3,,"Valid")</f>
        <v>2.354 (12:14:42.796169)</v>
      </c>
      <c r="Q39" s="5" t="str">
        <f>_xll.PLContribFull(I39*100,"ASK",O39,"Slot46","TICKER",3,,"Valid")</f>
        <v>2.954 (12:14:42.792167)</v>
      </c>
      <c r="R39" s="15" t="s">
        <v>1536</v>
      </c>
      <c r="S39" s="14" t="str">
        <f>_xll.PLContribFull(C39*100,"BID",R39,"Slot46","TICKER",3,,"Valid")</f>
        <v>-0.300 (12:14:42.752166)</v>
      </c>
      <c r="T39" s="14" t="str">
        <f>_xll.PLContribFull(J39*100,"ASK",R39,"Slot46","TICKER",3,,"Valid")</f>
        <v>0.000 (12:14:42.748167)</v>
      </c>
      <c r="U39" s="3" t="s">
        <v>1535</v>
      </c>
      <c r="V39" s="14" t="str">
        <f>_xll.PLContribFull(D39*100,"BID",U39,"Slot46","TICKER",3,,"Valid")</f>
        <v>-0.570 (12:14:42.742167)</v>
      </c>
      <c r="W39" s="5" t="str">
        <f>_xll.PLContribFull(K39*100,"ASK",U39,"Slot46","TICKER",3,,"Valid")</f>
        <v>0.030 (12:14:42.745167)</v>
      </c>
      <c r="X39" s="15" t="s">
        <v>1534</v>
      </c>
      <c r="Y39" s="14" t="str">
        <f>_xll.PLContribFull(E39*100,"BID",X39,"Slot46","TICKER",3,,"Valid")</f>
        <v>0.070 (12:14:42.750168)</v>
      </c>
      <c r="Z39" s="14" t="str">
        <f>_xll.PLContribFull(L39*100,"ASK",X39,"Slot46","TICKER",3,,"Valid")</f>
        <v>0.270 (12:14:42.742167)</v>
      </c>
      <c r="AA39" s="3" t="s">
        <v>1533</v>
      </c>
      <c r="AB39" s="14" t="str">
        <f>_xll.PLContribFull(F39*100,"BID",AA39,"Slot46","TICKER",3,,"Valid")</f>
        <v>0.340 (12:14:42.744167)</v>
      </c>
      <c r="AC39" s="5" t="str">
        <f>_xll.PLContribFull(M39*100,"ASK",AA39,"Slot46","TICKER",3,,"Valid")</f>
        <v>0.740 (12:14:42.744167)</v>
      </c>
      <c r="AD39" s="16"/>
    </row>
    <row r="40" spans="1:30" x14ac:dyDescent="0.2">
      <c r="A40" s="12" t="s">
        <v>12</v>
      </c>
      <c r="B40" s="11">
        <f>'[4]EM PM Input'!Q37</f>
        <v>2.6432125305522875E-2</v>
      </c>
      <c r="C40" s="11">
        <f>'[4]EM PM Input'!R37</f>
        <v>-3.4000000000000002E-3</v>
      </c>
      <c r="D40" s="11">
        <f>'[4]EM PM Input'!S37</f>
        <v>-6.3999999999999994E-3</v>
      </c>
      <c r="E40" s="11">
        <f>'[4]EM PM Input'!T37</f>
        <v>1E-3</v>
      </c>
      <c r="F40" s="11">
        <f>'[4]EM PM Input'!U37</f>
        <v>4.5999999999999999E-3</v>
      </c>
      <c r="H40" s="10" t="s">
        <v>12</v>
      </c>
      <c r="I40" s="11">
        <f>'[4]EM PM Input'!X37</f>
        <v>3.2432125305522877E-2</v>
      </c>
      <c r="J40" s="11">
        <f>'[4]EM PM Input'!Y37</f>
        <v>-3.9999999999999996E-4</v>
      </c>
      <c r="K40" s="11">
        <f>'[4]EM PM Input'!Z37</f>
        <v>-3.9999999999999975E-4</v>
      </c>
      <c r="L40" s="11">
        <f>'[4]EM PM Input'!AA37</f>
        <v>3.0000000000000001E-3</v>
      </c>
      <c r="M40" s="11">
        <f>'[4]EM PM Input'!AB37</f>
        <v>8.6E-3</v>
      </c>
      <c r="O40" s="3" t="s">
        <v>1532</v>
      </c>
      <c r="P40" s="14" t="str">
        <f>_xll.PLContribFull(B40*100,"BID",O40,"Slot46","TICKER",3,,"Valid")</f>
        <v>2.643 (12:14:42.795166)</v>
      </c>
      <c r="Q40" s="5" t="str">
        <f>_xll.PLContribFull(I40*100,"ASK",O40,"Slot46","TICKER",3,,"Valid")</f>
        <v>3.243 (12:14:42.794168)</v>
      </c>
      <c r="R40" s="15" t="s">
        <v>1531</v>
      </c>
      <c r="S40" s="14" t="str">
        <f>_xll.PLContribFull(C40*100,"BID",R40,"Slot46","TICKER",3,,"Valid")</f>
        <v>-0.340 (12:14:42.755167)</v>
      </c>
      <c r="T40" s="14" t="str">
        <f>_xll.PLContribFull(J40*100,"ASK",R40,"Slot46","TICKER",3,,"Valid")</f>
        <v>-0.040 (12:14:42.750168)</v>
      </c>
      <c r="U40" s="3" t="s">
        <v>1530</v>
      </c>
      <c r="V40" s="14" t="str">
        <f>_xll.PLContribFull(D40*100,"BID",U40,"Slot46","TICKER",3,,"Valid")</f>
        <v>-0.640 (12:14:42.746167)</v>
      </c>
      <c r="W40" s="5" t="str">
        <f>_xll.PLContribFull(K40*100,"ASK",U40,"Slot46","TICKER",3,,"Valid")</f>
        <v>-0.040 (12:14:42.750168)</v>
      </c>
      <c r="X40" s="15" t="s">
        <v>1529</v>
      </c>
      <c r="Y40" s="14" t="str">
        <f>_xll.PLContribFull(E40*100,"BID",X40,"Slot46","TICKER",3,,"Valid")</f>
        <v>0.100 (12:14:42.746167)</v>
      </c>
      <c r="Z40" s="14" t="str">
        <f>_xll.PLContribFull(L40*100,"ASK",X40,"Slot46","TICKER",3,,"Valid")</f>
        <v>0.300 (12:14:42.744167)</v>
      </c>
      <c r="AA40" s="3" t="s">
        <v>1528</v>
      </c>
      <c r="AB40" s="14" t="str">
        <f>_xll.PLContribFull(F40*100,"BID",AA40,"Slot46","TICKER",3,,"Valid")</f>
        <v>0.460 (12:14:42.750168)</v>
      </c>
      <c r="AC40" s="5" t="str">
        <f>_xll.PLContribFull(M40*100,"ASK",AA40,"Slot46","TICKER",3,,"Valid")</f>
        <v>0.860 (12:14:42.746167)</v>
      </c>
      <c r="AD40" s="16"/>
    </row>
    <row r="41" spans="1:30" x14ac:dyDescent="0.2">
      <c r="A41" s="12" t="s">
        <v>13</v>
      </c>
      <c r="B41" s="11">
        <f>'[4]EM PM Input'!Q38</f>
        <v>2.8859064644147985E-2</v>
      </c>
      <c r="C41" s="11">
        <f>'[4]EM PM Input'!R38</f>
        <v>-3.5000000000000001E-3</v>
      </c>
      <c r="D41" s="11">
        <f>'[4]EM PM Input'!S38</f>
        <v>-6.6E-3</v>
      </c>
      <c r="E41" s="11">
        <f>'[4]EM PM Input'!T38</f>
        <v>1.2999999999999999E-3</v>
      </c>
      <c r="F41" s="11">
        <f>'[4]EM PM Input'!U38</f>
        <v>6.0999999999999995E-3</v>
      </c>
      <c r="H41" s="10" t="s">
        <v>13</v>
      </c>
      <c r="I41" s="11">
        <f>'[4]EM PM Input'!X38</f>
        <v>3.4859064644147987E-2</v>
      </c>
      <c r="J41" s="11">
        <f>'[4]EM PM Input'!Y38</f>
        <v>-5.0000000000000001E-4</v>
      </c>
      <c r="K41" s="11">
        <f>'[4]EM PM Input'!Z38</f>
        <v>-5.9999999999999984E-4</v>
      </c>
      <c r="L41" s="11">
        <f>'[4]EM PM Input'!AA38</f>
        <v>3.3E-3</v>
      </c>
      <c r="M41" s="11">
        <f>'[4]EM PM Input'!AB38</f>
        <v>1.01E-2</v>
      </c>
      <c r="O41" s="3" t="s">
        <v>1527</v>
      </c>
      <c r="P41" s="14" t="str">
        <f>_xll.PLContribFull(B41*100,"BID",O41,"Slot46","TICKER",3,,"Valid")</f>
        <v>2.886 (12:14:42.783166)</v>
      </c>
      <c r="Q41" s="5" t="str">
        <f>_xll.PLContribFull(I41*100,"ASK",O41,"Slot46","TICKER",3,,"Valid")</f>
        <v>3.486 (12:14:42.796169)</v>
      </c>
      <c r="R41" s="15" t="s">
        <v>1526</v>
      </c>
      <c r="S41" s="14" t="str">
        <f>_xll.PLContribFull(C41*100,"BID",R41,"Slot46","TICKER",3,,"Valid")</f>
        <v>-0.350 (12:14:42.748167)</v>
      </c>
      <c r="T41" s="14" t="str">
        <f>_xll.PLContribFull(J41*100,"ASK",R41,"Slot46","TICKER",3,,"Valid")</f>
        <v>-0.050 (12:14:42.743167)</v>
      </c>
      <c r="U41" s="3" t="s">
        <v>1525</v>
      </c>
      <c r="V41" s="14" t="str">
        <f>_xll.PLContribFull(D41*100,"BID",U41,"Slot46","TICKER",3,,"Valid")</f>
        <v>-0.660 (12:14:42.743167)</v>
      </c>
      <c r="W41" s="5" t="str">
        <f>_xll.PLContribFull(K41*100,"ASK",U41,"Slot46","TICKER",3,,"Valid")</f>
        <v>-0.060 (12:14:42.755167)</v>
      </c>
      <c r="X41" s="15" t="s">
        <v>1524</v>
      </c>
      <c r="Y41" s="14" t="str">
        <f>_xll.PLContribFull(E41*100,"BID",X41,"Slot46","TICKER",3,,"Valid")</f>
        <v>0.130 (12:14:42.752166)</v>
      </c>
      <c r="Z41" s="14" t="str">
        <f>_xll.PLContribFull(L41*100,"ASK",X41,"Slot46","TICKER",3,,"Valid")</f>
        <v>0.330 (12:14:42.751168)</v>
      </c>
      <c r="AA41" s="3" t="s">
        <v>1523</v>
      </c>
      <c r="AB41" s="14" t="str">
        <f>_xll.PLContribFull(F41*100,"BID",AA41,"Slot46","TICKER",3,,"Valid")</f>
        <v>0.610 (12:14:42.741170)</v>
      </c>
      <c r="AC41" s="5" t="str">
        <f>_xll.PLContribFull(M41*100,"ASK",AA41,"Slot46","TICKER",3,,"Valid")</f>
        <v>1.010 (12:14:42.743167)</v>
      </c>
      <c r="AD41" s="16"/>
    </row>
    <row r="42" spans="1:30" x14ac:dyDescent="0.2">
      <c r="A42" s="12" t="s">
        <v>14</v>
      </c>
      <c r="B42" s="11">
        <f>'[4]EM PM Input'!Q39</f>
        <v>3.3345563690772503E-2</v>
      </c>
      <c r="C42" s="11">
        <f>'[4]EM PM Input'!R39</f>
        <v>-4.0000000000000001E-3</v>
      </c>
      <c r="D42" s="11">
        <f>'[4]EM PM Input'!S39</f>
        <v>-8.0000000000000002E-3</v>
      </c>
      <c r="E42" s="11">
        <f>'[4]EM PM Input'!T39</f>
        <v>2.4999999999999979E-4</v>
      </c>
      <c r="F42" s="11">
        <f>'[4]EM PM Input'!U39</f>
        <v>4.4999999999999988E-3</v>
      </c>
      <c r="H42" s="10" t="s">
        <v>14</v>
      </c>
      <c r="I42" s="11">
        <f>'[4]EM PM Input'!X39</f>
        <v>3.9345563690772509E-2</v>
      </c>
      <c r="J42" s="11">
        <f>'[4]EM PM Input'!Y39</f>
        <v>2.9999999999999996E-3</v>
      </c>
      <c r="K42" s="11">
        <f>'[4]EM PM Input'!Z39</f>
        <v>5.9999999999999993E-3</v>
      </c>
      <c r="L42" s="11">
        <f>'[4]EM PM Input'!AA39</f>
        <v>4.7500000000000007E-3</v>
      </c>
      <c r="M42" s="11">
        <f>'[4]EM PM Input'!AB39</f>
        <v>1.35E-2</v>
      </c>
      <c r="O42" s="3" t="s">
        <v>1522</v>
      </c>
      <c r="P42" s="14" t="str">
        <f>_xll.PLContribFull(B42*100,"BID",O42,"Slot46","TICKER",3,,"Valid")</f>
        <v>3.335 (12:14:42.795166)</v>
      </c>
      <c r="Q42" s="5" t="str">
        <f>_xll.PLContribFull(I42*100,"ASK",O42,"Slot46","TICKER",3,,"Valid")</f>
        <v>3.935 (12:14:42.796169)</v>
      </c>
      <c r="R42" s="15" t="s">
        <v>1521</v>
      </c>
      <c r="S42" s="14" t="str">
        <f>_xll.PLContribFull(C42*100,"BID",R42,"Slot46","TICKER",3,,"Valid")</f>
        <v>-0.400 (12:14:42.755167)</v>
      </c>
      <c r="T42" s="14" t="str">
        <f>_xll.PLContribFull(J42*100,"ASK",R42,"Slot46","TICKER",3,,"Valid")</f>
        <v>0.300 (12:14:42.742167)</v>
      </c>
      <c r="U42" s="3" t="s">
        <v>1520</v>
      </c>
      <c r="V42" s="14" t="str">
        <f>_xll.PLContribFull(D42*100,"BID",U42,"Slot46","TICKER",3,,"Valid")</f>
        <v>-0.800 (12:14:42.747168)</v>
      </c>
      <c r="W42" s="5" t="str">
        <f>_xll.PLContribFull(K42*100,"ASK",U42,"Slot46","TICKER",3,,"Valid")</f>
        <v>0.600 (12:14:42.740168)</v>
      </c>
      <c r="X42" s="15" t="s">
        <v>1519</v>
      </c>
      <c r="Y42" s="14" t="str">
        <f>_xll.PLContribFull(E42*100,"BID",X42,"Slot46","TICKER",3,,"Valid")</f>
        <v>0.025 (12:14:42.748167)</v>
      </c>
      <c r="Z42" s="14" t="str">
        <f>_xll.PLContribFull(L42*100,"ASK",X42,"Slot46","TICKER",3,,"Valid")</f>
        <v>0.475 (12:14:42.747168)</v>
      </c>
      <c r="AA42" s="3" t="s">
        <v>1518</v>
      </c>
      <c r="AB42" s="14" t="str">
        <f>_xll.PLContribFull(F42*100,"BID",AA42,"Slot46","TICKER",3,,"Valid")</f>
        <v>0.450 (12:14:42.743167)</v>
      </c>
      <c r="AC42" s="5" t="str">
        <f>_xll.PLContribFull(M42*100,"ASK",AA42,"Slot46","TICKER",3,,"Valid")</f>
        <v>1.350 (12:14:42.746167)</v>
      </c>
      <c r="AD42" s="16"/>
    </row>
    <row r="43" spans="1:30" x14ac:dyDescent="0.2">
      <c r="A43" s="12" t="s">
        <v>876</v>
      </c>
      <c r="B43" s="11">
        <f>'[4]EM PM Input'!Q40</f>
        <v>3.8480115718257102E-2</v>
      </c>
      <c r="C43" s="11">
        <f>'[4]EM PM Input'!R40</f>
        <v>-6.6E-3</v>
      </c>
      <c r="D43" s="11">
        <f>'[4]EM PM Input'!S40</f>
        <v>-1.3100000000000001E-2</v>
      </c>
      <c r="E43" s="11">
        <f>'[4]EM PM Input'!T40</f>
        <v>-1.1000000000000003E-3</v>
      </c>
      <c r="F43" s="11">
        <f>'[4]EM PM Input'!U40</f>
        <v>1.9000000000000006E-3</v>
      </c>
      <c r="H43" s="10" t="s">
        <v>876</v>
      </c>
      <c r="I43" s="11">
        <f>'[4]EM PM Input'!X40</f>
        <v>4.4480115718257107E-2</v>
      </c>
      <c r="J43" s="11">
        <f>'[4]EM PM Input'!Y40</f>
        <v>5.4000000000000003E-3</v>
      </c>
      <c r="K43" s="11">
        <f>'[4]EM PM Input'!Z40</f>
        <v>1.09E-2</v>
      </c>
      <c r="L43" s="11">
        <f>'[4]EM PM Input'!AA40</f>
        <v>6.8999999999999999E-3</v>
      </c>
      <c r="M43" s="11">
        <f>'[4]EM PM Input'!AB40</f>
        <v>1.7899999999999999E-2</v>
      </c>
      <c r="O43" s="3" t="s">
        <v>1517</v>
      </c>
      <c r="P43" s="14" t="str">
        <f>_xll.PLContribFull(B43*100,"BID",O43,"Slot46","TICKER",3,,"Valid")</f>
        <v>3.848 (12:14:42.793169)</v>
      </c>
      <c r="Q43" s="5" t="str">
        <f>_xll.PLContribFull(I43*100,"ASK",O43,"Slot46","TICKER",3,,"Valid")</f>
        <v>4.448 (12:14:42.789167)</v>
      </c>
      <c r="R43" s="15" t="s">
        <v>1516</v>
      </c>
      <c r="S43" s="14" t="str">
        <f>_xll.PLContribFull(C43*100,"BID",R43,"Slot46","TICKER",3,,"Valid")</f>
        <v>-0.660 (12:14:42.750168)</v>
      </c>
      <c r="T43" s="14" t="str">
        <f>_xll.PLContribFull(J43*100,"ASK",R43,"Slot46","TICKER",3,,"Valid")</f>
        <v>0.540 (12:14:42.753167)</v>
      </c>
      <c r="U43" s="3" t="s">
        <v>1515</v>
      </c>
      <c r="V43" s="14" t="str">
        <f>_xll.PLContribFull(D43*100,"BID",U43,"Slot46","TICKER",3,,"Valid")</f>
        <v>-1.310 (12:14:42.750168)</v>
      </c>
      <c r="W43" s="5" t="str">
        <f>_xll.PLContribFull(K43*100,"ASK",U43,"Slot46","TICKER",3,,"Valid")</f>
        <v>1.090 (12:14:42.755167)</v>
      </c>
      <c r="X43" s="15" t="s">
        <v>1514</v>
      </c>
      <c r="Y43" s="14" t="str">
        <f>_xll.PLContribFull(E43*100,"BID",X43,"Slot46","TICKER",3,,"Valid")</f>
        <v>-0.110 (12:14:42.753167)</v>
      </c>
      <c r="Z43" s="14" t="str">
        <f>_xll.PLContribFull(L43*100,"ASK",X43,"Slot46","TICKER",3,,"Valid")</f>
        <v>0.690 (12:14:42.747168)</v>
      </c>
      <c r="AA43" s="3" t="s">
        <v>1513</v>
      </c>
      <c r="AB43" s="14" t="str">
        <f>_xll.PLContribFull(F43*100,"BID",AA43,"Slot46","TICKER",3,,"Valid")</f>
        <v>0.190 (12:14:42.741170)</v>
      </c>
      <c r="AC43" s="5" t="str">
        <f>_xll.PLContribFull(M43*100,"ASK",AA43,"Slot46","TICKER",3,,"Valid")</f>
        <v>1.790 (12:14:42.744167)</v>
      </c>
    </row>
    <row r="46" spans="1:30" x14ac:dyDescent="0.25">
      <c r="A46" s="10" t="s">
        <v>1510</v>
      </c>
      <c r="O46" s="3" t="s">
        <v>67</v>
      </c>
      <c r="P46" s="15" t="s">
        <v>68</v>
      </c>
      <c r="Q46" s="6"/>
      <c r="R46" s="15" t="s">
        <v>67</v>
      </c>
      <c r="S46" s="15" t="s">
        <v>68</v>
      </c>
      <c r="T46" s="15"/>
      <c r="U46" s="3" t="s">
        <v>67</v>
      </c>
      <c r="V46" s="15" t="s">
        <v>68</v>
      </c>
      <c r="W46" s="6"/>
      <c r="X46" s="15" t="s">
        <v>67</v>
      </c>
      <c r="Y46" s="15" t="s">
        <v>68</v>
      </c>
      <c r="Z46" s="15"/>
      <c r="AA46" s="3" t="s">
        <v>67</v>
      </c>
      <c r="AB46" s="15" t="s">
        <v>68</v>
      </c>
      <c r="AC46" s="6"/>
    </row>
    <row r="47" spans="1:30" ht="14.25" x14ac:dyDescent="0.25">
      <c r="A47" s="12" t="s">
        <v>1509</v>
      </c>
      <c r="B47" s="12" t="s">
        <v>0</v>
      </c>
      <c r="C47" s="12" t="s">
        <v>1</v>
      </c>
      <c r="D47" s="12" t="s">
        <v>2</v>
      </c>
      <c r="E47" s="12" t="s">
        <v>3</v>
      </c>
      <c r="F47" s="12" t="s">
        <v>4</v>
      </c>
      <c r="H47" s="10" t="s">
        <v>1508</v>
      </c>
      <c r="I47" s="10" t="s">
        <v>0</v>
      </c>
      <c r="J47" s="10" t="s">
        <v>1</v>
      </c>
      <c r="K47" s="10" t="s">
        <v>2</v>
      </c>
      <c r="L47" s="10" t="s">
        <v>3</v>
      </c>
      <c r="M47" s="10" t="s">
        <v>4</v>
      </c>
      <c r="O47" s="3" t="s">
        <v>66</v>
      </c>
      <c r="P47" s="13" t="s">
        <v>1509</v>
      </c>
      <c r="Q47" s="4" t="s">
        <v>1508</v>
      </c>
      <c r="R47" s="15" t="s">
        <v>1</v>
      </c>
      <c r="S47" s="13" t="s">
        <v>1509</v>
      </c>
      <c r="T47" s="13" t="s">
        <v>1508</v>
      </c>
      <c r="U47" s="3" t="s">
        <v>2</v>
      </c>
      <c r="V47" s="13" t="s">
        <v>1509</v>
      </c>
      <c r="W47" s="4" t="s">
        <v>1508</v>
      </c>
      <c r="X47" s="15" t="s">
        <v>3</v>
      </c>
      <c r="Y47" s="13" t="s">
        <v>1509</v>
      </c>
      <c r="Z47" s="13" t="s">
        <v>1508</v>
      </c>
      <c r="AA47" s="3" t="s">
        <v>4</v>
      </c>
      <c r="AB47" s="13" t="s">
        <v>1509</v>
      </c>
      <c r="AC47" s="4" t="s">
        <v>1508</v>
      </c>
      <c r="AD47" s="2"/>
    </row>
    <row r="48" spans="1:30" x14ac:dyDescent="0.2">
      <c r="A48" s="12" t="s">
        <v>5</v>
      </c>
      <c r="B48" s="11">
        <f>'[4]EM PM Input'!Q44</f>
        <v>0.21000000000000002</v>
      </c>
      <c r="C48" s="11">
        <f>'[4]EM PM Input'!R44</f>
        <v>-5.4999999999999979E-3</v>
      </c>
      <c r="D48" s="11">
        <f>'[4]EM PM Input'!S44</f>
        <v>-1.5199999999999997E-2</v>
      </c>
      <c r="E48" s="11">
        <f>'[4]EM PM Input'!T44</f>
        <v>-6.0000000000000001E-3</v>
      </c>
      <c r="F48" s="11">
        <f>'[4]EM PM Input'!U44</f>
        <v>-6.0000000000000001E-3</v>
      </c>
      <c r="H48" s="10" t="s">
        <v>5</v>
      </c>
      <c r="I48" s="11">
        <f>'[4]EM PM Input'!X44</f>
        <v>0.3</v>
      </c>
      <c r="J48" s="11">
        <f>'[4]EM PM Input'!Y44</f>
        <v>2.2499999999999999E-2</v>
      </c>
      <c r="K48" s="11">
        <f>'[4]EM PM Input'!Z44</f>
        <v>4.0799999999999996E-2</v>
      </c>
      <c r="L48" s="11">
        <f>'[4]EM PM Input'!AA44</f>
        <v>1.4E-2</v>
      </c>
      <c r="M48" s="11">
        <f>'[4]EM PM Input'!AB44</f>
        <v>3.4000000000000002E-2</v>
      </c>
      <c r="O48" s="3" t="s">
        <v>1507</v>
      </c>
      <c r="P48" s="14" t="str">
        <f>_xll.PLContribFull(B48*100,"BID",O48,"Slot46","TICKER",3,,"Valid")</f>
        <v>21.000 (12:14:42.784167)</v>
      </c>
      <c r="Q48" s="5" t="str">
        <f>_xll.PLContribFull(I48*100,"ASK",O48,"Slot46","TICKER",3,,"Valid")</f>
        <v>30.000 (12:14:42.798166)</v>
      </c>
      <c r="R48" s="15" t="s">
        <v>1506</v>
      </c>
      <c r="S48" s="14" t="str">
        <f>_xll.PLContribFull(C48*100,"BID",R48,"Slot46","TICKER",3,,"Valid")</f>
        <v>-0.550 (12:14:42.746167)</v>
      </c>
      <c r="T48" s="14" t="str">
        <f>_xll.PLContribFull(J48*100,"ASK",R48,"Slot46","TICKER",3,,"Valid")</f>
        <v>2.250 (12:14:42.744167)</v>
      </c>
      <c r="U48" s="3" t="s">
        <v>1505</v>
      </c>
      <c r="V48" s="14" t="str">
        <f>_xll.PLContribFull(D48*100,"BID",U48,"Slot46","TICKER",3,,"Valid")</f>
        <v>-1.520 (12:14:42.751168)</v>
      </c>
      <c r="W48" s="5" t="str">
        <f>_xll.PLContribFull(K48*100,"ASK",U48,"Slot46","TICKER",3,,"Valid")</f>
        <v>4.080 (12:14:42.747168)</v>
      </c>
      <c r="X48" s="15" t="s">
        <v>1504</v>
      </c>
      <c r="Y48" s="14" t="str">
        <f>_xll.PLContribFull(E48*100,"BID",X48,"Slot46","TICKER",3,,"Valid")</f>
        <v>-0.600 (12:14:42.752166)</v>
      </c>
      <c r="Z48" s="14" t="str">
        <f>_xll.PLContribFull(L48*100,"ASK",X48,"Slot46","TICKER",3,,"Valid")</f>
        <v>1.400 (12:14:42.750168)</v>
      </c>
      <c r="AA48" s="3" t="s">
        <v>1503</v>
      </c>
      <c r="AB48" s="14" t="str">
        <f>_xll.PLContribFull(F48*100,"BID",AA48,"Slot46","TICKER",3,,"Valid")</f>
        <v>-0.600 (12:14:42.749167)</v>
      </c>
      <c r="AC48" s="5" t="str">
        <f>_xll.PLContribFull(M48*100,"ASK",AA48,"Slot46","TICKER",3,,"Valid")</f>
        <v>3.400 (12:14:42.752166)</v>
      </c>
      <c r="AD48" s="16"/>
    </row>
    <row r="49" spans="1:30" x14ac:dyDescent="0.2">
      <c r="A49" s="12" t="s">
        <v>6</v>
      </c>
      <c r="B49" s="11">
        <f>'[4]EM PM Input'!Q45</f>
        <v>0.21</v>
      </c>
      <c r="C49" s="11">
        <f>'[4]EM PM Input'!R45</f>
        <v>2.5000000000000005E-3</v>
      </c>
      <c r="D49" s="11">
        <f>'[4]EM PM Input'!S45</f>
        <v>1.1999999999999997E-3</v>
      </c>
      <c r="E49" s="11">
        <f>'[4]EM PM Input'!T45</f>
        <v>4.9999999999999958E-4</v>
      </c>
      <c r="F49" s="11">
        <f>'[4]EM PM Input'!U45</f>
        <v>7.8000000000000014E-3</v>
      </c>
      <c r="H49" s="10" t="s">
        <v>6</v>
      </c>
      <c r="I49" s="11">
        <f>'[4]EM PM Input'!X45</f>
        <v>0.27</v>
      </c>
      <c r="J49" s="11">
        <f>'[4]EM PM Input'!Y45</f>
        <v>1.4500000000000001E-2</v>
      </c>
      <c r="K49" s="11">
        <f>'[4]EM PM Input'!Z45</f>
        <v>2.52E-2</v>
      </c>
      <c r="L49" s="11">
        <f>'[4]EM PM Input'!AA45</f>
        <v>8.5000000000000006E-3</v>
      </c>
      <c r="M49" s="11">
        <f>'[4]EM PM Input'!AB45</f>
        <v>2.3800000000000002E-2</v>
      </c>
      <c r="O49" s="3" t="s">
        <v>1502</v>
      </c>
      <c r="P49" s="14" t="str">
        <f>_xll.PLContribFull(B49*100,"BID",O49,"Slot46","TICKER",3,,"Valid")</f>
        <v>21.000 (12:14:42.791166)</v>
      </c>
      <c r="Q49" s="5" t="str">
        <f>_xll.PLContribFull(I49*100,"ASK",O49,"Slot46","TICKER",3,,"Valid")</f>
        <v>27.000 (12:14:42.797167)</v>
      </c>
      <c r="R49" s="15" t="s">
        <v>1501</v>
      </c>
      <c r="S49" s="14" t="str">
        <f>_xll.PLContribFull(C49*100,"BID",R49,"Slot46","TICKER",3,,"Valid")</f>
        <v>0.250 (12:14:42.755167)</v>
      </c>
      <c r="T49" s="14" t="str">
        <f>_xll.PLContribFull(J49*100,"ASK",R49,"Slot46","TICKER",3,,"Valid")</f>
        <v>1.450 (12:14:42.744167)</v>
      </c>
      <c r="U49" s="3" t="s">
        <v>1500</v>
      </c>
      <c r="V49" s="14" t="str">
        <f>_xll.PLContribFull(D49*100,"BID",U49,"Slot46","TICKER",3,,"Valid")</f>
        <v>0.120 (12:14:42.745167)</v>
      </c>
      <c r="W49" s="5" t="str">
        <f>_xll.PLContribFull(K49*100,"ASK",U49,"Slot46","TICKER",3,,"Valid")</f>
        <v>2.520 (12:14:42.756167)</v>
      </c>
      <c r="X49" s="15" t="s">
        <v>1499</v>
      </c>
      <c r="Y49" s="14" t="str">
        <f>_xll.PLContribFull(E49*100,"BID",X49,"Slot46","TICKER",3,,"Valid")</f>
        <v>0.050 (12:14:42.752166)</v>
      </c>
      <c r="Z49" s="14" t="str">
        <f>_xll.PLContribFull(L49*100,"ASK",X49,"Slot46","TICKER",3,,"Valid")</f>
        <v>0.850 (12:14:42.740168)</v>
      </c>
      <c r="AA49" s="3" t="s">
        <v>1498</v>
      </c>
      <c r="AB49" s="14" t="str">
        <f>_xll.PLContribFull(F49*100,"BID",AA49,"Slot46","TICKER",3,,"Valid")</f>
        <v>0.780 (12:14:42.751168)</v>
      </c>
      <c r="AC49" s="5" t="str">
        <f>_xll.PLContribFull(M49*100,"ASK",AA49,"Slot46","TICKER",3,,"Valid")</f>
        <v>2.380 (12:14:42.748167)</v>
      </c>
      <c r="AD49" s="16"/>
    </row>
    <row r="50" spans="1:30" x14ac:dyDescent="0.2">
      <c r="A50" s="12" t="s">
        <v>7</v>
      </c>
      <c r="B50" s="11">
        <f>'[4]EM PM Input'!Q46</f>
        <v>0.22</v>
      </c>
      <c r="C50" s="11">
        <f>'[4]EM PM Input'!R46</f>
        <v>5.000000000000001E-3</v>
      </c>
      <c r="D50" s="11">
        <f>'[4]EM PM Input'!S46</f>
        <v>6.8000000000000005E-3</v>
      </c>
      <c r="E50" s="11">
        <f>'[4]EM PM Input'!T46</f>
        <v>2.2499999999999998E-3</v>
      </c>
      <c r="F50" s="11">
        <f>'[4]EM PM Input'!U46</f>
        <v>1.2E-2</v>
      </c>
      <c r="H50" s="10" t="s">
        <v>7</v>
      </c>
      <c r="I50" s="11">
        <f>'[4]EM PM Input'!X46</f>
        <v>0.26</v>
      </c>
      <c r="J50" s="11">
        <f>'[4]EM PM Input'!Y46</f>
        <v>1.2E-2</v>
      </c>
      <c r="K50" s="11">
        <f>'[4]EM PM Input'!Z46</f>
        <v>2.0799999999999999E-2</v>
      </c>
      <c r="L50" s="11">
        <f>'[4]EM PM Input'!AA46</f>
        <v>7.7499999999999999E-3</v>
      </c>
      <c r="M50" s="11">
        <f>'[4]EM PM Input'!AB46</f>
        <v>2.3000000000000003E-2</v>
      </c>
      <c r="O50" s="3" t="s">
        <v>1497</v>
      </c>
      <c r="P50" s="14" t="str">
        <f>_xll.PLContribFull(B50*100,"BID",O50,"Slot46","TICKER",3,,"Valid")</f>
        <v>22.000 (12:14:42.797167)</v>
      </c>
      <c r="Q50" s="5" t="str">
        <f>_xll.PLContribFull(I50*100,"ASK",O50,"Slot46","TICKER",3,,"Valid")</f>
        <v>26.000 (12:14:42.784167)</v>
      </c>
      <c r="R50" s="15" t="s">
        <v>1496</v>
      </c>
      <c r="S50" s="14" t="str">
        <f>_xll.PLContribFull(C50*100,"BID",R50,"Slot46","TICKER",3,,"Valid")</f>
        <v>0.500 (12:14:42.752166)</v>
      </c>
      <c r="T50" s="14" t="str">
        <f>_xll.PLContribFull(J50*100,"ASK",R50,"Slot46","TICKER",3,,"Valid")</f>
        <v>1.200 (12:14:42.742167)</v>
      </c>
      <c r="U50" s="3" t="s">
        <v>1495</v>
      </c>
      <c r="V50" s="14" t="str">
        <f>_xll.PLContribFull(D50*100,"BID",U50,"Slot46","TICKER",3,,"Valid")</f>
        <v>0.680 (12:14:42.750168)</v>
      </c>
      <c r="W50" s="5" t="str">
        <f>_xll.PLContribFull(K50*100,"ASK",U50,"Slot46","TICKER",3,,"Valid")</f>
        <v>2.080 (12:14:42.743167)</v>
      </c>
      <c r="X50" s="15" t="s">
        <v>1494</v>
      </c>
      <c r="Y50" s="14" t="str">
        <f>_xll.PLContribFull(E50*100,"BID",X50,"Slot46","TICKER",3,,"Valid")</f>
        <v>0.225 (12:14:42.751168)</v>
      </c>
      <c r="Z50" s="14" t="str">
        <f>_xll.PLContribFull(L50*100,"ASK",X50,"Slot46","TICKER",3,,"Valid")</f>
        <v>0.775 (12:14:42.738167)</v>
      </c>
      <c r="AA50" s="3" t="s">
        <v>1493</v>
      </c>
      <c r="AB50" s="14" t="str">
        <f>_xll.PLContribFull(F50*100,"BID",AA50,"Slot46","TICKER",3,,"Valid")</f>
        <v>1.200 (12:14:42.749167)</v>
      </c>
      <c r="AC50" s="5" t="str">
        <f>_xll.PLContribFull(M50*100,"ASK",AA50,"Slot46","TICKER",3,,"Valid")</f>
        <v>2.300 (12:14:42.741170)</v>
      </c>
      <c r="AD50" s="16"/>
    </row>
    <row r="51" spans="1:30" x14ac:dyDescent="0.2">
      <c r="A51" s="12" t="s">
        <v>8</v>
      </c>
      <c r="B51" s="11">
        <f>'[4]EM PM Input'!Q47</f>
        <v>0.22799999999999998</v>
      </c>
      <c r="C51" s="11">
        <f>'[4]EM PM Input'!R47</f>
        <v>8.0000000000000002E-3</v>
      </c>
      <c r="D51" s="11">
        <f>'[4]EM PM Input'!S47</f>
        <v>1.3299999999999999E-2</v>
      </c>
      <c r="E51" s="11">
        <f>'[4]EM PM Input'!T47</f>
        <v>4.6750000000000003E-3</v>
      </c>
      <c r="F51" s="11">
        <f>'[4]EM PM Input'!U47</f>
        <v>1.7049999999999999E-2</v>
      </c>
      <c r="H51" s="10" t="s">
        <v>8</v>
      </c>
      <c r="I51" s="11">
        <f>'[4]EM PM Input'!X47</f>
        <v>0.253</v>
      </c>
      <c r="J51" s="11">
        <f>'[4]EM PM Input'!Y47</f>
        <v>1.2E-2</v>
      </c>
      <c r="K51" s="11">
        <f>'[4]EM PM Input'!Z47</f>
        <v>2.1299999999999999E-2</v>
      </c>
      <c r="L51" s="11">
        <f>'[4]EM PM Input'!AA47</f>
        <v>7.9249999999999998E-3</v>
      </c>
      <c r="M51" s="11">
        <f>'[4]EM PM Input'!AB47</f>
        <v>2.3549999999999998E-2</v>
      </c>
      <c r="O51" s="3" t="s">
        <v>1492</v>
      </c>
      <c r="P51" s="14" t="str">
        <f>_xll.PLContribFull(B51*100,"BID",O51,"Slot46","TICKER",3,,"Valid")</f>
        <v>22.800 (12:14:42.784167)</v>
      </c>
      <c r="Q51" s="5" t="str">
        <f>_xll.PLContribFull(I51*100,"ASK",O51,"Slot46","TICKER",3,,"Valid")</f>
        <v>25.300 (12:14:42.782167)</v>
      </c>
      <c r="R51" s="15" t="s">
        <v>1491</v>
      </c>
      <c r="S51" s="14" t="str">
        <f>_xll.PLContribFull(C51*100,"BID",R51,"Slot46","TICKER",3,,"Valid")</f>
        <v>0.800 (12:14:42.752166)</v>
      </c>
      <c r="T51" s="14" t="str">
        <f>_xll.PLContribFull(J51*100,"ASK",R51,"Slot46","TICKER",3,,"Valid")</f>
        <v>1.200 (12:14:42.748167)</v>
      </c>
      <c r="U51" s="3" t="s">
        <v>1490</v>
      </c>
      <c r="V51" s="14" t="str">
        <f>_xll.PLContribFull(D51*100,"BID",U51,"Slot46","TICKER",3,,"Valid")</f>
        <v>1.330 (12:14:42.747168)</v>
      </c>
      <c r="W51" s="5" t="str">
        <f>_xll.PLContribFull(K51*100,"ASK",U51,"Slot46","TICKER",3,,"Valid")</f>
        <v>2.130 (12:14:42.747168)</v>
      </c>
      <c r="X51" s="15" t="s">
        <v>1489</v>
      </c>
      <c r="Y51" s="14" t="str">
        <f>_xll.PLContribFull(E51*100,"BID",X51,"Slot46","TICKER",3,,"Valid")</f>
        <v>0.468 (12:14:42.749167)</v>
      </c>
      <c r="Z51" s="14" t="str">
        <f>_xll.PLContribFull(L51*100,"ASK",X51,"Slot46","TICKER",3,,"Valid")</f>
        <v>0.792 (12:14:42.741170)</v>
      </c>
      <c r="AA51" s="3" t="s">
        <v>1488</v>
      </c>
      <c r="AB51" s="14" t="str">
        <f>_xll.PLContribFull(F51*100,"BID",AA51,"Slot46","TICKER",3,,"Valid")</f>
        <v>1.705 (12:14:42.742167)</v>
      </c>
      <c r="AC51" s="5" t="str">
        <f>_xll.PLContribFull(M51*100,"ASK",AA51,"Slot46","TICKER",3,,"Valid")</f>
        <v>2.355 (12:14:42.745167)</v>
      </c>
      <c r="AD51" s="16"/>
    </row>
    <row r="52" spans="1:30" x14ac:dyDescent="0.2">
      <c r="A52" s="12" t="s">
        <v>9</v>
      </c>
      <c r="B52" s="11">
        <f>'[4]EM PM Input'!Q48</f>
        <v>0.22424999999999998</v>
      </c>
      <c r="C52" s="11">
        <f>'[4]EM PM Input'!R48</f>
        <v>1.2500000000000001E-2</v>
      </c>
      <c r="D52" s="11">
        <f>'[4]EM PM Input'!S48</f>
        <v>2.1399999999999999E-2</v>
      </c>
      <c r="E52" s="11">
        <f>'[4]EM PM Input'!T48</f>
        <v>4.8749999999999991E-3</v>
      </c>
      <c r="F52" s="11">
        <f>'[4]EM PM Input'!U48</f>
        <v>1.7850000000000001E-2</v>
      </c>
      <c r="H52" s="10" t="s">
        <v>9</v>
      </c>
      <c r="I52" s="11">
        <f>'[4]EM PM Input'!X48</f>
        <v>0.24575</v>
      </c>
      <c r="J52" s="11">
        <f>'[4]EM PM Input'!Y48</f>
        <v>1.6500000000000001E-2</v>
      </c>
      <c r="K52" s="11">
        <f>'[4]EM PM Input'!Z48</f>
        <v>2.9399999999999999E-2</v>
      </c>
      <c r="L52" s="11">
        <f>'[4]EM PM Input'!AA48</f>
        <v>8.1250000000000003E-3</v>
      </c>
      <c r="M52" s="11">
        <f>'[4]EM PM Input'!AB48</f>
        <v>2.435E-2</v>
      </c>
      <c r="O52" s="3" t="s">
        <v>1487</v>
      </c>
      <c r="P52" s="14" t="str">
        <f>_xll.PLContribFull(B52*100,"BID",O52,"Slot46","TICKER",3,,"Valid")</f>
        <v>22.425 (12:14:42.780166)</v>
      </c>
      <c r="Q52" s="5" t="str">
        <f>_xll.PLContribFull(I52*100,"ASK",O52,"Slot46","TICKER",3,,"Valid")</f>
        <v>24.575 (12:14:42.791166)</v>
      </c>
      <c r="R52" s="15" t="s">
        <v>1486</v>
      </c>
      <c r="S52" s="14" t="str">
        <f>_xll.PLContribFull(C52*100,"BID",R52,"Slot46","TICKER",3,,"Valid")</f>
        <v>1.250 (12:14:42.749167)</v>
      </c>
      <c r="T52" s="14" t="str">
        <f>_xll.PLContribFull(J52*100,"ASK",R52,"Slot46","TICKER",3,,"Valid")</f>
        <v>1.650 (12:14:42.745167)</v>
      </c>
      <c r="U52" s="3" t="s">
        <v>1485</v>
      </c>
      <c r="V52" s="14" t="str">
        <f>_xll.PLContribFull(D52*100,"BID",U52,"Slot46","TICKER",3,,"Valid")</f>
        <v>2.140 (12:14:42.747168)</v>
      </c>
      <c r="W52" s="5" t="str">
        <f>_xll.PLContribFull(K52*100,"ASK",U52,"Slot46","TICKER",3,,"Valid")</f>
        <v>2.940 (12:14:42.745167)</v>
      </c>
      <c r="X52" s="15" t="s">
        <v>1484</v>
      </c>
      <c r="Y52" s="14" t="str">
        <f>_xll.PLContribFull(E52*100,"BID",X52,"Slot46","TICKER",3,,"Valid")</f>
        <v>0.487 (12:14:42.752166)</v>
      </c>
      <c r="Z52" s="14" t="str">
        <f>_xll.PLContribFull(L52*100,"ASK",X52,"Slot46","TICKER",3,,"Valid")</f>
        <v>0.812 (12:14:42.750168)</v>
      </c>
      <c r="AA52" s="3" t="s">
        <v>1483</v>
      </c>
      <c r="AB52" s="14" t="str">
        <f>_xll.PLContribFull(F52*100,"BID",AA52,"Slot46","TICKER",3,,"Valid")</f>
        <v>1.785 (12:14:42.752166)</v>
      </c>
      <c r="AC52" s="5" t="str">
        <f>_xll.PLContribFull(M52*100,"ASK",AA52,"Slot46","TICKER",3,,"Valid")</f>
        <v>2.435 (12:14:42.740168)</v>
      </c>
      <c r="AD52" s="16"/>
    </row>
    <row r="53" spans="1:30" x14ac:dyDescent="0.2">
      <c r="A53" s="12" t="s">
        <v>10</v>
      </c>
      <c r="B53" s="11">
        <f>'[4]EM PM Input'!Q49</f>
        <v>0.221</v>
      </c>
      <c r="C53" s="11">
        <f>'[4]EM PM Input'!R49</f>
        <v>1.4E-2</v>
      </c>
      <c r="D53" s="11">
        <f>'[4]EM PM Input'!S49</f>
        <v>2.4400000000000002E-2</v>
      </c>
      <c r="E53" s="11">
        <f>'[4]EM PM Input'!T49</f>
        <v>5.6749999999999995E-3</v>
      </c>
      <c r="F53" s="11">
        <f>'[4]EM PM Input'!U49</f>
        <v>2.035E-2</v>
      </c>
      <c r="H53" s="10" t="s">
        <v>10</v>
      </c>
      <c r="I53" s="11">
        <f>'[4]EM PM Input'!X49</f>
        <v>0.24100000000000002</v>
      </c>
      <c r="J53" s="11">
        <f>'[4]EM PM Input'!Y49</f>
        <v>1.8000000000000002E-2</v>
      </c>
      <c r="K53" s="11">
        <f>'[4]EM PM Input'!Z49</f>
        <v>3.2399999999999998E-2</v>
      </c>
      <c r="L53" s="11">
        <f>'[4]EM PM Input'!AA49</f>
        <v>8.9250000000000006E-3</v>
      </c>
      <c r="M53" s="11">
        <f>'[4]EM PM Input'!AB49</f>
        <v>2.6849999999999999E-2</v>
      </c>
      <c r="O53" s="3" t="s">
        <v>1482</v>
      </c>
      <c r="P53" s="14" t="str">
        <f>_xll.PLContribFull(B53*100,"BID",O53,"Slot46","TICKER",3,,"Valid")</f>
        <v>22.100 (12:14:42.797167)</v>
      </c>
      <c r="Q53" s="5" t="str">
        <f>_xll.PLContribFull(I53*100,"ASK",O53,"Slot46","TICKER",3,,"Valid")</f>
        <v>24.100 (12:14:42.799167)</v>
      </c>
      <c r="R53" s="15" t="s">
        <v>1481</v>
      </c>
      <c r="S53" s="14" t="str">
        <f>_xll.PLContribFull(C53*100,"BID",R53,"Slot46","TICKER",3,,"Valid")</f>
        <v>1.400 (12:14:42.755167)</v>
      </c>
      <c r="T53" s="14" t="str">
        <f>_xll.PLContribFull(J53*100,"ASK",R53,"Slot46","TICKER",3,,"Valid")</f>
        <v>1.800 (12:14:42.749167)</v>
      </c>
      <c r="U53" s="3" t="s">
        <v>1480</v>
      </c>
      <c r="V53" s="14" t="str">
        <f>_xll.PLContribFull(D53*100,"BID",U53,"Slot46","TICKER",3,,"Valid")</f>
        <v>2.440 (12:14:42.750168)</v>
      </c>
      <c r="W53" s="5" t="str">
        <f>_xll.PLContribFull(K53*100,"ASK",U53,"Slot46","TICKER",3,,"Valid")</f>
        <v>3.240 (12:14:42.747168)</v>
      </c>
      <c r="X53" s="15" t="s">
        <v>1479</v>
      </c>
      <c r="Y53" s="14" t="str">
        <f>_xll.PLContribFull(E53*100,"BID",X53,"Slot46","TICKER",3,,"Valid")</f>
        <v>0.568 (12:14:42.750168)</v>
      </c>
      <c r="Z53" s="14" t="str">
        <f>_xll.PLContribFull(L53*100,"ASK",X53,"Slot46","TICKER",3,,"Valid")</f>
        <v>0.892 (12:14:42.748167)</v>
      </c>
      <c r="AA53" s="3" t="s">
        <v>1478</v>
      </c>
      <c r="AB53" s="14" t="str">
        <f>_xll.PLContribFull(F53*100,"BID",AA53,"Slot46","TICKER",3,,"Valid")</f>
        <v>2.035 (12:14:42.742167)</v>
      </c>
      <c r="AC53" s="5" t="str">
        <f>_xll.PLContribFull(M53*100,"ASK",AA53,"Slot46","TICKER",3,,"Valid")</f>
        <v>2.685 (12:14:42.743167)</v>
      </c>
      <c r="AD53" s="16"/>
    </row>
    <row r="54" spans="1:30" x14ac:dyDescent="0.2">
      <c r="A54" s="12" t="s">
        <v>11</v>
      </c>
      <c r="B54" s="11">
        <f>'[4]EM PM Input'!Q50</f>
        <v>0.221</v>
      </c>
      <c r="C54" s="11">
        <f>'[4]EM PM Input'!R50</f>
        <v>1.5000000000000001E-2</v>
      </c>
      <c r="D54" s="11">
        <f>'[4]EM PM Input'!S50</f>
        <v>2.7E-2</v>
      </c>
      <c r="E54" s="11">
        <f>'[4]EM PM Input'!T50</f>
        <v>5.875E-3</v>
      </c>
      <c r="F54" s="11">
        <f>'[4]EM PM Input'!U50</f>
        <v>1.9650000000000001E-2</v>
      </c>
      <c r="H54" s="10" t="s">
        <v>11</v>
      </c>
      <c r="I54" s="11">
        <f>'[4]EM PM Input'!X50</f>
        <v>0.24000000000000002</v>
      </c>
      <c r="J54" s="11">
        <f>'[4]EM PM Input'!Y50</f>
        <v>1.9000000000000003E-2</v>
      </c>
      <c r="K54" s="11">
        <f>'[4]EM PM Input'!Z50</f>
        <v>3.5000000000000003E-2</v>
      </c>
      <c r="L54" s="11">
        <f>'[4]EM PM Input'!AA50</f>
        <v>9.1249999999999994E-3</v>
      </c>
      <c r="M54" s="11">
        <f>'[4]EM PM Input'!AB50</f>
        <v>2.615E-2</v>
      </c>
      <c r="O54" s="3" t="s">
        <v>1477</v>
      </c>
      <c r="P54" s="14" t="str">
        <f>_xll.PLContribFull(B54*100,"BID",O54,"Slot46","TICKER",3,,"Valid")</f>
        <v>22.100 (12:14:42.798166)</v>
      </c>
      <c r="Q54" s="5" t="str">
        <f>_xll.PLContribFull(I54*100,"ASK",O54,"Slot46","TICKER",3,,"Valid")</f>
        <v>24.000 (12:14:42.789167)</v>
      </c>
      <c r="R54" s="15" t="s">
        <v>1476</v>
      </c>
      <c r="S54" s="14" t="str">
        <f>_xll.PLContribFull(C54*100,"BID",R54,"Slot46","TICKER",3,,"Valid")</f>
        <v>1.500 (12:14:42.755167)</v>
      </c>
      <c r="T54" s="14" t="str">
        <f>_xll.PLContribFull(J54*100,"ASK",R54,"Slot46","TICKER",3,,"Valid")</f>
        <v>1.900 (12:14:42.743167)</v>
      </c>
      <c r="U54" s="3" t="s">
        <v>1475</v>
      </c>
      <c r="V54" s="14" t="str">
        <f>_xll.PLContribFull(D54*100,"BID",U54,"Slot46","TICKER",3,,"Valid")</f>
        <v>2.700 (12:14:42.742167)</v>
      </c>
      <c r="W54" s="5" t="str">
        <f>_xll.PLContribFull(K54*100,"ASK",U54,"Slot46","TICKER",3,,"Valid")</f>
        <v>3.500 (12:14:42.747168)</v>
      </c>
      <c r="X54" s="15" t="s">
        <v>1474</v>
      </c>
      <c r="Y54" s="14" t="str">
        <f>_xll.PLContribFull(E54*100,"BID",X54,"Slot46","TICKER",3,,"Valid")</f>
        <v>0.588 (12:14:42.751168)</v>
      </c>
      <c r="Z54" s="14" t="str">
        <f>_xll.PLContribFull(L54*100,"ASK",X54,"Slot46","TICKER",3,,"Valid")</f>
        <v>0.912 (12:14:42.750168)</v>
      </c>
      <c r="AA54" s="3" t="s">
        <v>1473</v>
      </c>
      <c r="AB54" s="14" t="str">
        <f>_xll.PLContribFull(F54*100,"BID",AA54,"Slot46","TICKER",3,,"Valid")</f>
        <v>1.965 (12:14:42.740168)</v>
      </c>
      <c r="AC54" s="5" t="str">
        <f>_xll.PLContribFull(M54*100,"ASK",AA54,"Slot46","TICKER",3,,"Valid")</f>
        <v>2.615 (12:14:42.754169)</v>
      </c>
      <c r="AD54" s="16"/>
    </row>
    <row r="55" spans="1:30" x14ac:dyDescent="0.2">
      <c r="A55" s="12" t="s">
        <v>12</v>
      </c>
      <c r="B55" s="11">
        <f>'[4]EM PM Input'!Q51</f>
        <v>0.2195</v>
      </c>
      <c r="C55" s="11">
        <f>'[4]EM PM Input'!R51</f>
        <v>1.35E-2</v>
      </c>
      <c r="D55" s="11">
        <f>'[4]EM PM Input'!S51</f>
        <v>2.4299999999999999E-2</v>
      </c>
      <c r="E55" s="11">
        <f>'[4]EM PM Input'!T51</f>
        <v>6.3750000000000005E-3</v>
      </c>
      <c r="F55" s="11">
        <f>'[4]EM PM Input'!U51</f>
        <v>2.1150000000000002E-2</v>
      </c>
      <c r="H55" s="10" t="s">
        <v>12</v>
      </c>
      <c r="I55" s="11">
        <f>'[4]EM PM Input'!X51</f>
        <v>0.23750000000000002</v>
      </c>
      <c r="J55" s="11">
        <f>'[4]EM PM Input'!Y51</f>
        <v>1.7500000000000002E-2</v>
      </c>
      <c r="K55" s="11">
        <f>'[4]EM PM Input'!Z51</f>
        <v>3.2299999999999995E-2</v>
      </c>
      <c r="L55" s="11">
        <f>'[4]EM PM Input'!AA51</f>
        <v>9.6249999999999999E-3</v>
      </c>
      <c r="M55" s="11">
        <f>'[4]EM PM Input'!AB51</f>
        <v>2.7650000000000001E-2</v>
      </c>
      <c r="O55" s="3" t="s">
        <v>1472</v>
      </c>
      <c r="P55" s="14" t="str">
        <f>_xll.PLContribFull(B55*100,"BID",O55,"Slot46","TICKER",3,,"Valid")</f>
        <v>21.950 (12:14:42.786167)</v>
      </c>
      <c r="Q55" s="5" t="str">
        <f>_xll.PLContribFull(I55*100,"ASK",O55,"Slot46","TICKER",3,,"Valid")</f>
        <v>23.750 (12:14:42.798166)</v>
      </c>
      <c r="R55" s="15" t="s">
        <v>1471</v>
      </c>
      <c r="S55" s="14" t="str">
        <f>_xll.PLContribFull(C55*100,"BID",R55,"Slot46","TICKER",3,,"Valid")</f>
        <v>1.350 (12:14:42.750168)</v>
      </c>
      <c r="T55" s="14" t="str">
        <f>_xll.PLContribFull(J55*100,"ASK",R55,"Slot46","TICKER",3,,"Valid")</f>
        <v>1.750 (12:14:42.739168)</v>
      </c>
      <c r="U55" s="3" t="s">
        <v>1470</v>
      </c>
      <c r="V55" s="14" t="str">
        <f>_xll.PLContribFull(D55*100,"BID",U55,"Slot46","TICKER",3,,"Valid")</f>
        <v>2.430 (12:14:42.741170)</v>
      </c>
      <c r="W55" s="5" t="str">
        <f>_xll.PLContribFull(K55*100,"ASK",U55,"Slot46","TICKER",3,,"Valid")</f>
        <v>3.230 (12:14:42.745167)</v>
      </c>
      <c r="X55" s="15" t="s">
        <v>1469</v>
      </c>
      <c r="Y55" s="14" t="str">
        <f>_xll.PLContribFull(E55*100,"BID",X55,"Slot46","TICKER",3,,"Valid")</f>
        <v>0.637 (12:14:42.748167)</v>
      </c>
      <c r="Z55" s="14" t="str">
        <f>_xll.PLContribFull(L55*100,"ASK",X55,"Slot46","TICKER",3,,"Valid")</f>
        <v>0.963 (12:14:42.749167)</v>
      </c>
      <c r="AA55" s="3" t="s">
        <v>1468</v>
      </c>
      <c r="AB55" s="14" t="str">
        <f>_xll.PLContribFull(F55*100,"BID",AA55,"Slot46","TICKER",3,,"Valid")</f>
        <v>2.115 (12:14:42.752166)</v>
      </c>
      <c r="AC55" s="5" t="str">
        <f>_xll.PLContribFull(M55*100,"ASK",AA55,"Slot46","TICKER",3,,"Valid")</f>
        <v>2.765 (12:14:42.741170)</v>
      </c>
      <c r="AD55" s="16"/>
    </row>
    <row r="56" spans="1:30" x14ac:dyDescent="0.2">
      <c r="A56" s="12" t="s">
        <v>13</v>
      </c>
      <c r="B56" s="11">
        <f>'[4]EM PM Input'!Q52</f>
        <v>0.21975</v>
      </c>
      <c r="C56" s="11">
        <f>'[4]EM PM Input'!R52</f>
        <v>1.23E-2</v>
      </c>
      <c r="D56" s="11">
        <f>'[4]EM PM Input'!S52</f>
        <v>2.3099999999999999E-2</v>
      </c>
      <c r="E56" s="11">
        <f>'[4]EM PM Input'!T52</f>
        <v>6.8750000000000009E-3</v>
      </c>
      <c r="F56" s="11">
        <f>'[4]EM PM Input'!U52</f>
        <v>2.265E-2</v>
      </c>
      <c r="H56" s="10" t="s">
        <v>13</v>
      </c>
      <c r="I56" s="11">
        <f>'[4]EM PM Input'!X52</f>
        <v>0.23625000000000002</v>
      </c>
      <c r="J56" s="11">
        <f>'[4]EM PM Input'!Y52</f>
        <v>1.6300000000000002E-2</v>
      </c>
      <c r="K56" s="11">
        <f>'[4]EM PM Input'!Z52</f>
        <v>3.1099999999999999E-2</v>
      </c>
      <c r="L56" s="11">
        <f>'[4]EM PM Input'!AA52</f>
        <v>1.0125E-2</v>
      </c>
      <c r="M56" s="11">
        <f>'[4]EM PM Input'!AB52</f>
        <v>2.9149999999999999E-2</v>
      </c>
      <c r="O56" s="3" t="s">
        <v>1467</v>
      </c>
      <c r="P56" s="14" t="str">
        <f>_xll.PLContribFull(B56*100,"BID",O56,"Slot46","TICKER",3,,"Valid")</f>
        <v>21.975 (12:14:42.790167)</v>
      </c>
      <c r="Q56" s="5" t="str">
        <f>_xll.PLContribFull(I56*100,"ASK",O56,"Slot46","TICKER",3,,"Valid")</f>
        <v>23.625 (12:14:42.788167)</v>
      </c>
      <c r="R56" s="15" t="s">
        <v>1466</v>
      </c>
      <c r="S56" s="14" t="str">
        <f>_xll.PLContribFull(C56*100,"BID",R56,"Slot46","TICKER",3,,"Valid")</f>
        <v>1.230 (12:14:42.755167)</v>
      </c>
      <c r="T56" s="14" t="str">
        <f>_xll.PLContribFull(J56*100,"ASK",R56,"Slot46","TICKER",3,,"Valid")</f>
        <v>1.630 (12:14:42.749167)</v>
      </c>
      <c r="U56" s="3" t="s">
        <v>1465</v>
      </c>
      <c r="V56" s="14" t="str">
        <f>_xll.PLContribFull(D56*100,"BID",U56,"Slot46","TICKER",3,,"Valid")</f>
        <v>2.310 (12:14:42.752166)</v>
      </c>
      <c r="W56" s="5" t="str">
        <f>_xll.PLContribFull(K56*100,"ASK",U56,"Slot46","TICKER",3,,"Valid")</f>
        <v>3.110 (12:14:42.749167)</v>
      </c>
      <c r="X56" s="15" t="s">
        <v>1464</v>
      </c>
      <c r="Y56" s="14" t="str">
        <f>_xll.PLContribFull(E56*100,"BID",X56,"Slot46","TICKER",3,,"Valid")</f>
        <v>0.688 (12:14:42.752166)</v>
      </c>
      <c r="Z56" s="14" t="str">
        <f>_xll.PLContribFull(L56*100,"ASK",X56,"Slot46","TICKER",3,,"Valid")</f>
        <v>1.012 (12:14:42.749167)</v>
      </c>
      <c r="AA56" s="3" t="s">
        <v>1463</v>
      </c>
      <c r="AB56" s="14" t="str">
        <f>_xll.PLContribFull(F56*100,"BID",AA56,"Slot46","TICKER",3,,"Valid")</f>
        <v>2.265 (12:14:42.747168)</v>
      </c>
      <c r="AC56" s="5" t="str">
        <f>_xll.PLContribFull(M56*100,"ASK",AA56,"Slot46","TICKER",3,,"Valid")</f>
        <v>2.915 (12:14:42.749167)</v>
      </c>
      <c r="AD56" s="16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8C97-565C-43A9-90EC-EBEA285DB94D}">
  <sheetPr codeName="工作表4"/>
  <dimension ref="B2:B12"/>
  <sheetViews>
    <sheetView workbookViewId="0">
      <selection activeCell="B8" sqref="B8"/>
    </sheetView>
  </sheetViews>
  <sheetFormatPr defaultRowHeight="15.75" x14ac:dyDescent="0.25"/>
  <cols>
    <col min="2" max="2" width="105.5703125" customWidth="1"/>
  </cols>
  <sheetData>
    <row r="2" spans="2:2" x14ac:dyDescent="0.25">
      <c r="B2" s="31" t="s">
        <v>1682</v>
      </c>
    </row>
    <row r="4" spans="2:2" x14ac:dyDescent="0.25">
      <c r="B4" s="31" t="s">
        <v>1795</v>
      </c>
    </row>
    <row r="6" spans="2:2" x14ac:dyDescent="0.25">
      <c r="B6" s="31" t="s">
        <v>1798</v>
      </c>
    </row>
    <row r="7" spans="2:2" x14ac:dyDescent="0.25">
      <c r="B7" s="31" t="s">
        <v>1887</v>
      </c>
    </row>
    <row r="8" spans="2:2" x14ac:dyDescent="0.25">
      <c r="B8" s="31" t="s">
        <v>1886</v>
      </c>
    </row>
    <row r="11" spans="2:2" x14ac:dyDescent="0.25">
      <c r="B11" t="s">
        <v>1796</v>
      </c>
    </row>
    <row r="12" spans="2:2" x14ac:dyDescent="0.25">
      <c r="B12" t="s">
        <v>1797</v>
      </c>
    </row>
  </sheetData>
  <phoneticPr fontId="4" type="noConversion"/>
  <hyperlinks>
    <hyperlink ref="B2" r:id="rId1" xr:uid="{A05936D2-EE1A-4C9C-A8FE-E03613E0C033}"/>
    <hyperlink ref="B4" r:id="rId2" xr:uid="{AC6CED43-B9A5-4E09-BB03-B56FBCC71B26}"/>
    <hyperlink ref="B6" r:id="rId3" xr:uid="{C8EBB101-F0CB-4566-AB9C-6136F52D77F9}"/>
    <hyperlink ref="B8" r:id="rId4" xr:uid="{F7138651-CC0C-400F-A164-E54E71A99F4E}"/>
    <hyperlink ref="B7" r:id="rId5" xr:uid="{85CEF3B5-9141-4630-B80D-6C199698A08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06CA0-00B7-4183-9E33-7D1C7DEE5442}">
  <dimension ref="B1:L33"/>
  <sheetViews>
    <sheetView workbookViewId="0">
      <selection activeCell="B2" sqref="B2"/>
    </sheetView>
  </sheetViews>
  <sheetFormatPr defaultColWidth="9.140625" defaultRowHeight="15.75" x14ac:dyDescent="0.25"/>
  <cols>
    <col min="1" max="1" width="9.140625" style="33"/>
    <col min="2" max="2" width="21.85546875" style="33" customWidth="1"/>
    <col min="3" max="7" width="9.140625" style="33"/>
    <col min="8" max="8" width="9.85546875" style="33" bestFit="1" customWidth="1"/>
    <col min="9" max="10" width="9.140625" style="33"/>
    <col min="11" max="11" width="12.42578125" style="33" bestFit="1" customWidth="1"/>
    <col min="12" max="16384" width="9.140625" style="33"/>
  </cols>
  <sheetData>
    <row r="1" spans="2:12" x14ac:dyDescent="0.25">
      <c r="B1" s="32">
        <v>44931</v>
      </c>
    </row>
    <row r="2" spans="2:12" x14ac:dyDescent="0.25">
      <c r="B2" s="33" t="s">
        <v>1799</v>
      </c>
    </row>
    <row r="3" spans="2:12" x14ac:dyDescent="0.25">
      <c r="B3" s="33" t="s">
        <v>1800</v>
      </c>
    </row>
    <row r="4" spans="2:12" x14ac:dyDescent="0.25">
      <c r="B4" s="33" t="s">
        <v>1801</v>
      </c>
    </row>
    <row r="5" spans="2:12" x14ac:dyDescent="0.25">
      <c r="B5" s="33" t="s">
        <v>1802</v>
      </c>
      <c r="K5" s="34"/>
      <c r="L5" s="35"/>
    </row>
    <row r="6" spans="2:12" x14ac:dyDescent="0.25">
      <c r="B6" s="33" t="s">
        <v>1803</v>
      </c>
    </row>
    <row r="7" spans="2:12" x14ac:dyDescent="0.25">
      <c r="B7" s="33" t="s">
        <v>1804</v>
      </c>
    </row>
    <row r="8" spans="2:12" x14ac:dyDescent="0.25">
      <c r="B8" s="33" t="s">
        <v>1805</v>
      </c>
    </row>
    <row r="9" spans="2:12" x14ac:dyDescent="0.25">
      <c r="B9" s="33" t="s">
        <v>1806</v>
      </c>
    </row>
    <row r="10" spans="2:12" x14ac:dyDescent="0.25">
      <c r="B10" s="33" t="s">
        <v>1807</v>
      </c>
    </row>
    <row r="11" spans="2:12" x14ac:dyDescent="0.25">
      <c r="B11" s="33" t="s">
        <v>1808</v>
      </c>
    </row>
    <row r="12" spans="2:12" x14ac:dyDescent="0.25">
      <c r="B12" s="33" t="s">
        <v>1809</v>
      </c>
    </row>
    <row r="13" spans="2:12" x14ac:dyDescent="0.25">
      <c r="B13" s="33" t="s">
        <v>1810</v>
      </c>
    </row>
    <row r="14" spans="2:12" x14ac:dyDescent="0.25">
      <c r="B14" s="33" t="s">
        <v>1811</v>
      </c>
    </row>
    <row r="15" spans="2:12" x14ac:dyDescent="0.25">
      <c r="B15" s="33" t="s">
        <v>1812</v>
      </c>
    </row>
    <row r="16" spans="2:12" s="36" customFormat="1" x14ac:dyDescent="0.25">
      <c r="B16" s="36" t="s">
        <v>1813</v>
      </c>
    </row>
    <row r="17" spans="2:2" x14ac:dyDescent="0.25">
      <c r="B17" s="33" t="s">
        <v>1814</v>
      </c>
    </row>
    <row r="18" spans="2:2" x14ac:dyDescent="0.25">
      <c r="B18" s="33" t="s">
        <v>1815</v>
      </c>
    </row>
    <row r="19" spans="2:2" x14ac:dyDescent="0.25">
      <c r="B19" s="33" t="s">
        <v>1816</v>
      </c>
    </row>
    <row r="20" spans="2:2" s="36" customFormat="1" x14ac:dyDescent="0.25">
      <c r="B20" s="36" t="s">
        <v>1817</v>
      </c>
    </row>
    <row r="21" spans="2:2" x14ac:dyDescent="0.25">
      <c r="B21" s="33" t="s">
        <v>1818</v>
      </c>
    </row>
    <row r="22" spans="2:2" x14ac:dyDescent="0.25">
      <c r="B22" s="33" t="s">
        <v>1819</v>
      </c>
    </row>
    <row r="23" spans="2:2" s="36" customFormat="1" x14ac:dyDescent="0.25">
      <c r="B23" s="36" t="s">
        <v>1820</v>
      </c>
    </row>
    <row r="24" spans="2:2" x14ac:dyDescent="0.25">
      <c r="B24" s="33" t="s">
        <v>1821</v>
      </c>
    </row>
    <row r="25" spans="2:2" x14ac:dyDescent="0.25">
      <c r="B25" s="33" t="s">
        <v>1822</v>
      </c>
    </row>
    <row r="26" spans="2:2" x14ac:dyDescent="0.25">
      <c r="B26" s="33" t="s">
        <v>1823</v>
      </c>
    </row>
    <row r="27" spans="2:2" s="36" customFormat="1" x14ac:dyDescent="0.25">
      <c r="B27" s="36" t="s">
        <v>1824</v>
      </c>
    </row>
    <row r="28" spans="2:2" s="36" customFormat="1" x14ac:dyDescent="0.25">
      <c r="B28" s="36" t="s">
        <v>1825</v>
      </c>
    </row>
    <row r="29" spans="2:2" x14ac:dyDescent="0.25">
      <c r="B29" s="33" t="s">
        <v>1826</v>
      </c>
    </row>
    <row r="30" spans="2:2" x14ac:dyDescent="0.25">
      <c r="B30" s="33" t="s">
        <v>1827</v>
      </c>
    </row>
    <row r="31" spans="2:2" x14ac:dyDescent="0.25">
      <c r="B31" s="33" t="s">
        <v>1828</v>
      </c>
    </row>
    <row r="32" spans="2:2" x14ac:dyDescent="0.25">
      <c r="B32" s="33" t="s">
        <v>1829</v>
      </c>
    </row>
    <row r="33" spans="2:2" x14ac:dyDescent="0.25">
      <c r="B33" s="33" t="s">
        <v>1830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G7 Input</vt:lpstr>
      <vt:lpstr>G7 Output</vt:lpstr>
      <vt:lpstr>G7 Cross Input</vt:lpstr>
      <vt:lpstr>G7 Cross Output</vt:lpstr>
      <vt:lpstr>EM PM Output</vt:lpstr>
      <vt:lpstr>QuickLink</vt:lpstr>
      <vt:lpstr>Bloomberglist_20220324</vt:lpstr>
    </vt:vector>
  </TitlesOfParts>
  <Company>Bank of China (Hong Kong)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葉竣然</dc:creator>
  <cp:lastModifiedBy>Lau Wai Lam Ivan (劉維林)</cp:lastModifiedBy>
  <dcterms:created xsi:type="dcterms:W3CDTF">2017-09-12T06:54:39Z</dcterms:created>
  <dcterms:modified xsi:type="dcterms:W3CDTF">2026-09-09T04:14:55Z</dcterms:modified>
</cp:coreProperties>
</file>