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INDIC_CONFIG" sheetId="2" state="visible" r:id="rId2"/>
    <sheet name="CONFIG" sheetId="3" state="visible" r:id="rId3"/>
    <sheet name="NZDUSD" sheetId="4" state="visible" r:id="rId4"/>
    <sheet name="GBPUSD" sheetId="5" state="visible" r:id="rId5"/>
    <sheet name="GBPNZD" sheetId="6" state="visible" r:id="rId6"/>
    <sheet name="EURGBP" sheetId="7" state="visible" r:id="rId7"/>
    <sheet name="USDHKD" sheetId="8" state="visible" r:id="rId8"/>
    <sheet name="GBPCNH" sheetId="9" state="visible" r:id="rId9"/>
    <sheet name="AUDCNH" sheetId="10" state="visible" r:id="rId10"/>
    <sheet name="NZDCNH" sheetId="11" state="visible" r:id="rId11"/>
    <sheet name="CNHHKD" sheetId="12" state="visible" r:id="rId12"/>
    <sheet name="EURCNH" sheetId="13" state="visible" r:id="rId13"/>
    <sheet name="AUDJPY" sheetId="14" state="visible" r:id="rId14"/>
    <sheet name="EURJPY" sheetId="15" state="visible" r:id="rId15"/>
    <sheet name="EURUSD" sheetId="16" state="visible" r:id="rId16"/>
    <sheet name="AUDUSD" sheetId="17" state="visible" r:id="rId17"/>
    <sheet name="USDJPY" sheetId="18" state="visible" r:id="rId18"/>
    <sheet name="USDCNH" sheetId="19" state="visible" r:id="rId19"/>
    <sheet name="USDCNY" sheetId="20" state="visible" r:id="rId20"/>
    <sheet name="PARAMS" sheetId="21" state="visible" r:id="rId21"/>
    <sheet name="EVENTS" sheetId="22" state="visible" r:id="rId22"/>
    <sheet name="Vega Weights" sheetId="23" state="visible" r:id="rId23"/>
    <sheet name="BANDS" sheetId="24" state="visible" r:id="rId24"/>
    <sheet name="PEG_BANDS" sheetId="25" state="visible" r:id="rId25"/>
    <sheet name="KACE_SPREADS" sheetId="26" state="visible" r:id="rId26"/>
    <sheet name="HOLIDAYS" sheetId="27" state="visible" r:id="rId27"/>
  </sheets>
  <definedNames/>
</workbook>
</file>

<file path=xl/styles.xml><?xml version="1.0" encoding="utf-8"?>
<styleSheet xmlns="http://schemas.openxmlformats.org/spreadsheetml/2006/main">
  <numFmts count="9">
    <numFmt numFmtId="164" formatCode="0.000"/>
    <numFmt numFmtId="165" formatCode="&quot; &quot;* #,##0.000&quot; &quot;;&quot; &quot;* (#,##0.000);&quot; &quot;* &quot;-&quot;??&quot; &quot;"/>
    <numFmt numFmtId="166" formatCode="0.0000"/>
    <numFmt numFmtId="167" formatCode="&quot; &quot;* #,##0&quot; &quot;;&quot; &quot;* (#,##0);&quot; &quot;* &quot;-&quot;??&quot; &quot;"/>
    <numFmt numFmtId="168" formatCode="&quot; &quot;* #,##0.0000&quot; &quot;;&quot; &quot;* (#,##0.0000);&quot; &quot;* &quot;-&quot;??&quot; &quot;"/>
    <numFmt numFmtId="169" formatCode="&quot; &quot;* #,##0.00000&quot; &quot;;&quot; &quot;* (#,##0.00000);&quot; &quot;* &quot;-&quot;??&quot; &quot;"/>
    <numFmt numFmtId="170" formatCode="0.000%"/>
    <numFmt numFmtId="171" formatCode="&quot; &quot;* #,##0.00&quot; &quot;;&quot; &quot;* (#,##0.00);&quot; &quot;* &quot;-&quot;??&quot; &quot;"/>
    <numFmt numFmtId="172" formatCode="yyyy-mm-dd hh:mm"/>
  </numFmts>
  <fonts count="10">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SimSun"/>
      <color indexed="14"/>
      <sz val="9"/>
    </font>
    <font>
      <name val="Times New Roman"/>
      <color indexed="8"/>
      <sz val="12"/>
    </font>
    <font>
      <name val="Calibri"/>
      <color indexed="20"/>
      <sz val="11"/>
    </font>
    <font>
      <name val="等线"/>
      <color indexed="8"/>
      <sz val="11"/>
    </font>
  </fonts>
  <fills count="10">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17">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fillId="0" borderId="5" applyAlignment="1">
      <alignment vertical="bottom"/>
    </xf>
  </cellStyleXfs>
  <cellXfs count="119">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center"/>
    </xf>
    <xf numFmtId="0" fontId="0" fillId="4" borderId="10" applyAlignment="1" pivotButton="0" quotePrefix="0" xfId="0">
      <alignment vertical="bottom"/>
    </xf>
    <xf numFmtId="0" fontId="0" fillId="0" borderId="0"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0" fillId="4" borderId="11" applyAlignment="1" pivotButton="0" quotePrefix="0" xfId="0">
      <alignment vertical="bottom"/>
    </xf>
    <xf numFmtId="49" fontId="0" fillId="4" borderId="12" applyAlignment="1" pivotButton="0" quotePrefix="0" xfId="0">
      <alignment vertical="bottom"/>
    </xf>
    <xf numFmtId="1" fontId="0" fillId="5" borderId="5" applyAlignment="1" pivotButton="0" quotePrefix="0" xfId="0">
      <alignment vertical="bottom"/>
    </xf>
    <xf numFmtId="1" fontId="0" fillId="4" borderId="13" applyAlignment="1" pivotButton="0" quotePrefix="0" xfId="0">
      <alignment vertical="bottom"/>
    </xf>
    <xf numFmtId="1" fontId="0" fillId="4" borderId="12" applyAlignment="1" pivotButton="0" quotePrefix="0" xfId="0">
      <alignment vertical="bottom"/>
    </xf>
    <xf numFmtId="1" fontId="0" fillId="5" borderId="6" applyAlignment="1" pivotButton="0" quotePrefix="0" xfId="0">
      <alignment vertical="bottom"/>
    </xf>
    <xf numFmtId="1" fontId="0" fillId="5" borderId="9" applyAlignment="1" pivotButton="0" quotePrefix="0" xfId="0">
      <alignment vertical="bottom"/>
    </xf>
    <xf numFmtId="1" fontId="0" fillId="5" borderId="8"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0" borderId="10" applyAlignment="1" pivotButton="0" quotePrefix="0" xfId="0">
      <alignment vertical="bottom"/>
    </xf>
    <xf numFmtId="49" fontId="0" fillId="0" borderId="11" applyAlignment="1" pivotButton="0" quotePrefix="0" xfId="0">
      <alignment vertical="bottom"/>
    </xf>
    <xf numFmtId="49" fontId="0" fillId="0" borderId="12" applyAlignment="1" pivotButton="0" quotePrefix="0" xfId="0">
      <alignment vertical="bottom"/>
    </xf>
    <xf numFmtId="0" fontId="0" fillId="5" borderId="5" applyAlignment="1" pivotButton="0" quotePrefix="0" xfId="0">
      <alignment vertical="bottom"/>
    </xf>
    <xf numFmtId="0" fontId="0" fillId="0" borderId="13" applyAlignment="1" pivotButton="0" quotePrefix="0" xfId="0">
      <alignment vertical="bottom"/>
    </xf>
    <xf numFmtId="0" fontId="0" fillId="0" borderId="12" applyAlignment="1" pivotButton="0" quotePrefix="0" xfId="0">
      <alignment vertical="bottom"/>
    </xf>
    <xf numFmtId="0" fontId="0" fillId="5" borderId="6" applyAlignment="1" pivotButton="0" quotePrefix="0" xfId="0">
      <alignment vertical="bottom"/>
    </xf>
    <xf numFmtId="0" fontId="0" fillId="5" borderId="9" applyAlignment="1" pivotButton="0" quotePrefix="0" xfId="0">
      <alignment vertical="bottom"/>
    </xf>
    <xf numFmtId="0" fontId="0" fillId="5" borderId="8" applyAlignment="1" pivotButton="0" quotePrefix="0" xfId="0">
      <alignment vertical="bottom"/>
    </xf>
    <xf numFmtId="0" fontId="0" fillId="0" borderId="0" applyAlignment="1" pivotButton="0" quotePrefix="0" xfId="0">
      <alignment vertical="bottom"/>
    </xf>
    <xf numFmtId="164" fontId="0" fillId="5" borderId="5" applyAlignment="1" pivotButton="0" quotePrefix="0" xfId="0">
      <alignment vertical="bottom"/>
    </xf>
    <xf numFmtId="164" fontId="0" fillId="4" borderId="13" applyAlignment="1" pivotButton="0" quotePrefix="0" xfId="0">
      <alignment vertical="bottom"/>
    </xf>
    <xf numFmtId="164" fontId="0" fillId="4" borderId="12" applyAlignment="1" pivotButton="0" quotePrefix="0" xfId="0">
      <alignment vertical="bottom"/>
    </xf>
    <xf numFmtId="164" fontId="0" fillId="5" borderId="6" applyAlignment="1" pivotButton="0" quotePrefix="0" xfId="0">
      <alignment vertical="bottom"/>
    </xf>
    <xf numFmtId="164" fontId="0" fillId="5" borderId="9" applyAlignment="1" pivotButton="0" quotePrefix="0" xfId="0">
      <alignment vertical="bottom"/>
    </xf>
    <xf numFmtId="164" fontId="0" fillId="5" borderId="8"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1" fontId="0" fillId="6" borderId="5" applyAlignment="1" pivotButton="0" quotePrefix="0" xfId="0">
      <alignment vertical="bottom"/>
    </xf>
    <xf numFmtId="0" fontId="0" fillId="4" borderId="13" applyAlignment="1" pivotButton="0" quotePrefix="0" xfId="0">
      <alignment vertical="bottom"/>
    </xf>
    <xf numFmtId="0" fontId="0" fillId="4" borderId="14" applyAlignment="1" pivotButton="0" quotePrefix="0" xfId="0">
      <alignment vertical="bottom"/>
    </xf>
    <xf numFmtId="165" fontId="0" fillId="4" borderId="10" applyAlignment="1" pivotButton="0" quotePrefix="0" xfId="0">
      <alignment vertical="bottom"/>
    </xf>
    <xf numFmtId="0" fontId="0" fillId="0" borderId="0" applyAlignment="1" pivotButton="0" quotePrefix="0" xfId="0">
      <alignment vertical="bottom"/>
    </xf>
    <xf numFmtId="1" fontId="0" fillId="7" borderId="5" applyAlignment="1" pivotButton="0" quotePrefix="0" xfId="0">
      <alignment vertical="bottom"/>
    </xf>
    <xf numFmtId="1" fontId="0" fillId="7" borderId="6" applyAlignment="1" pivotButton="0" quotePrefix="0" xfId="0">
      <alignment vertical="bottom"/>
    </xf>
    <xf numFmtId="1" fontId="0" fillId="7" borderId="9" applyAlignment="1" pivotButton="0" quotePrefix="0" xfId="0">
      <alignment vertical="bottom"/>
    </xf>
    <xf numFmtId="1" fontId="0" fillId="7" borderId="8" applyAlignment="1" pivotButton="0" quotePrefix="0" xfId="0">
      <alignment vertical="bottom"/>
    </xf>
    <xf numFmtId="0" fontId="0" fillId="0" borderId="0" applyAlignment="1" pivotButton="0" quotePrefix="0" xfId="0">
      <alignment vertical="bottom"/>
    </xf>
    <xf numFmtId="1" fontId="0" fillId="8" borderId="8"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1" fontId="0" fillId="8" borderId="6" applyAlignment="1" pivotButton="0" quotePrefix="0" xfId="0">
      <alignment vertical="bottom"/>
    </xf>
    <xf numFmtId="1" fontId="0" fillId="9" borderId="5" applyAlignment="1" pivotButton="0" quotePrefix="0" xfId="0">
      <alignment vertical="bottom"/>
    </xf>
    <xf numFmtId="1" fontId="0" fillId="9" borderId="9" applyAlignment="1" pivotButton="0" quotePrefix="0" xfId="0">
      <alignment vertical="bottom"/>
    </xf>
    <xf numFmtId="0" fontId="0" fillId="0" borderId="0" applyAlignment="1" pivotButton="0" quotePrefix="0" xfId="0">
      <alignment vertical="bottom"/>
    </xf>
    <xf numFmtId="166" fontId="0" fillId="4" borderId="10" applyAlignment="1" pivotButton="0" quotePrefix="0" xfId="0">
      <alignment vertical="bottom"/>
    </xf>
    <xf numFmtId="167" fontId="0" fillId="4" borderId="10" applyAlignment="1" pivotButton="0" quotePrefix="0" xfId="0">
      <alignment vertical="bottom"/>
    </xf>
    <xf numFmtId="168" fontId="0" fillId="4" borderId="10" applyAlignment="1" pivotButton="0" quotePrefix="0" xfId="0">
      <alignment vertical="bottom"/>
    </xf>
    <xf numFmtId="169" fontId="0" fillId="4" borderId="10" applyAlignment="1" pivotButton="0" quotePrefix="0" xfId="0">
      <alignment vertical="bottom"/>
    </xf>
    <xf numFmtId="170" fontId="0" fillId="4" borderId="10" applyAlignment="1" pivotButton="0" quotePrefix="0" xfId="0">
      <alignment vertical="bottom"/>
    </xf>
    <xf numFmtId="171" fontId="0" fillId="4" borderId="1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4" borderId="15" applyAlignment="1" pivotButton="0" quotePrefix="0" xfId="0">
      <alignment vertical="bottom"/>
    </xf>
    <xf numFmtId="49" fontId="0" fillId="4" borderId="16" applyAlignment="1" pivotButton="0" quotePrefix="0" xfId="0">
      <alignment vertical="bottom"/>
    </xf>
    <xf numFmtId="1" fontId="0" fillId="4" borderId="10" applyAlignment="1" pivotButton="0" quotePrefix="0" xfId="0">
      <alignment vertical="bottom"/>
    </xf>
    <xf numFmtId="1" fontId="0" fillId="4" borderId="15" applyAlignment="1" pivotButton="0" quotePrefix="0" xfId="0">
      <alignment vertical="bottom"/>
    </xf>
    <xf numFmtId="1" fontId="0" fillId="4" borderId="16" applyAlignment="1" pivotButton="0" quotePrefix="0" xfId="0">
      <alignment vertical="bottom"/>
    </xf>
    <xf numFmtId="0" fontId="0" fillId="4" borderId="15" applyAlignment="1" pivotButton="0" quotePrefix="0" xfId="0">
      <alignment vertical="bottom"/>
    </xf>
    <xf numFmtId="0" fontId="0" fillId="4" borderId="16" applyAlignment="1" pivotButton="0" quotePrefix="0" xfId="0">
      <alignment vertical="bottom"/>
    </xf>
    <xf numFmtId="167" fontId="0" fillId="4" borderId="15" applyAlignment="1" pivotButton="0" quotePrefix="0" xfId="0">
      <alignment vertical="bottom"/>
    </xf>
    <xf numFmtId="1" fontId="8" fillId="4" borderId="1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1" fontId="9" fillId="4" borderId="10" applyAlignment="1" pivotButton="0" quotePrefix="0" xfId="0">
      <alignment vertical="bottom"/>
    </xf>
    <xf numFmtId="49" fontId="9" fillId="4" borderId="10" applyAlignment="1" pivotButton="0" quotePrefix="0" xfId="0">
      <alignment vertical="bottom"/>
    </xf>
    <xf numFmtId="0" fontId="0" fillId="0" borderId="0" pivotButton="0" quotePrefix="0" xfId="0"/>
    <xf numFmtId="164" fontId="0" fillId="5" borderId="5" applyAlignment="1" pivotButton="0" quotePrefix="0" xfId="0">
      <alignment vertical="bottom"/>
    </xf>
    <xf numFmtId="164" fontId="0" fillId="4" borderId="13" applyAlignment="1" pivotButton="0" quotePrefix="0" xfId="0">
      <alignment vertical="bottom"/>
    </xf>
    <xf numFmtId="164" fontId="0" fillId="4" borderId="12" applyAlignment="1" pivotButton="0" quotePrefix="0" xfId="0">
      <alignment vertical="bottom"/>
    </xf>
    <xf numFmtId="164" fontId="0" fillId="5" borderId="6" applyAlignment="1" pivotButton="0" quotePrefix="0" xfId="0">
      <alignment vertical="bottom"/>
    </xf>
    <xf numFmtId="164" fontId="0" fillId="5" borderId="9" applyAlignment="1" pivotButton="0" quotePrefix="0" xfId="0">
      <alignment vertical="bottom"/>
    </xf>
    <xf numFmtId="164" fontId="0" fillId="5" borderId="8" applyAlignment="1" pivotButton="0" quotePrefix="0" xfId="0">
      <alignment vertical="bottom"/>
    </xf>
    <xf numFmtId="165" fontId="0" fillId="4" borderId="10" applyAlignment="1" pivotButton="0" quotePrefix="0" xfId="0">
      <alignment vertical="bottom"/>
    </xf>
    <xf numFmtId="166" fontId="0" fillId="4" borderId="10" applyAlignment="1" pivotButton="0" quotePrefix="0" xfId="0">
      <alignment vertical="bottom"/>
    </xf>
    <xf numFmtId="167" fontId="0" fillId="4" borderId="10" applyAlignment="1" pivotButton="0" quotePrefix="0" xfId="0">
      <alignment vertical="bottom"/>
    </xf>
    <xf numFmtId="168" fontId="0" fillId="4" borderId="10" applyAlignment="1" pivotButton="0" quotePrefix="0" xfId="0">
      <alignment vertical="bottom"/>
    </xf>
    <xf numFmtId="169" fontId="0" fillId="4" borderId="10" applyAlignment="1" pivotButton="0" quotePrefix="0" xfId="0">
      <alignment vertical="bottom"/>
    </xf>
    <xf numFmtId="170" fontId="0" fillId="4" borderId="10" applyAlignment="1" pivotButton="0" quotePrefix="0" xfId="0">
      <alignment vertical="bottom"/>
    </xf>
    <xf numFmtId="171" fontId="0" fillId="4" borderId="10" applyAlignment="1" pivotButton="0" quotePrefix="0" xfId="0">
      <alignment vertical="bottom"/>
    </xf>
    <xf numFmtId="167" fontId="0" fillId="4" borderId="15" applyAlignment="1" pivotButton="0" quotePrefix="0" xfId="0">
      <alignment vertical="bottom"/>
    </xf>
    <xf numFmtId="172" fontId="0" fillId="0" borderId="0" pivotButton="0" quotePrefix="0" xfId="0"/>
    <xf numFmtId="172"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6a8759"/>
      <rgbColor rgb="ffd0cece"/>
      <rgbColor rgb="ffd9d9d9"/>
      <rgbColor rgb="ffbfbfbf"/>
      <rgbColor rgb="ffffff00"/>
      <rgbColor rgb="ff808080"/>
      <rgbColor rgb="ff1f497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E54"/>
  <sheetViews>
    <sheetView showGridLines="0" defaultGridColor="1" workbookViewId="0">
      <selection activeCell="A1" sqref="A1"/>
    </sheetView>
  </sheetViews>
  <sheetFormatPr baseColWidth="8" defaultColWidth="10" defaultRowHeight="13" customHeight="1" outlineLevelRow="0"/>
  <cols>
    <col width="2" customWidth="1" style="99" min="1" max="1"/>
    <col width="33.6719" customWidth="1" style="99" min="2" max="2"/>
    <col width="33.6719" customWidth="1" style="99" min="3" max="3"/>
    <col width="33.6719" customWidth="1" style="99" min="4" max="4"/>
    <col width="10" customWidth="1" style="99" min="5" max="5"/>
    <col width="10" customWidth="1" style="99" min="6" max="16384"/>
  </cols>
  <sheetData>
    <row r="1" ht="13.65" customHeight="1" s="102">
      <c r="A1" s="7" t="n"/>
      <c r="B1" s="8" t="n"/>
      <c r="C1" s="8" t="n"/>
      <c r="D1" s="8" t="n"/>
      <c r="E1" s="9" t="n"/>
    </row>
    <row r="2" ht="13.65" customHeight="1" s="102">
      <c r="A2" s="10" t="n"/>
      <c r="B2" s="11" t="n"/>
      <c r="C2" s="11" t="n"/>
      <c r="D2" s="11" t="n"/>
      <c r="E2" s="12" t="n"/>
    </row>
    <row r="3" ht="0.05" customHeight="1" s="102">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65" customHeight="1" s="102">
      <c r="A4" s="10" t="n"/>
      <c r="B4" s="11" t="n"/>
      <c r="C4" s="11" t="n"/>
      <c r="D4" s="11" t="n"/>
      <c r="E4" s="12" t="n"/>
    </row>
    <row r="5" ht="13.65" customHeight="1" s="102">
      <c r="A5" s="10" t="n"/>
      <c r="B5" s="11" t="n"/>
      <c r="C5" s="11" t="n"/>
      <c r="D5" s="11" t="n"/>
      <c r="E5" s="12" t="n"/>
    </row>
    <row r="6" ht="13.65" customHeight="1" s="102">
      <c r="A6" s="10" t="n"/>
      <c r="B6" s="11" t="n"/>
      <c r="C6" s="11" t="n"/>
      <c r="D6" s="11" t="n"/>
      <c r="E6" s="12" t="n"/>
    </row>
    <row r="7">
      <c r="A7" s="10" t="n"/>
      <c r="B7" s="14" t="inlineStr">
        <is>
          <t>Numbers Sheet Name</t>
        </is>
      </c>
      <c r="C7" s="14" t="inlineStr">
        <is>
          <t>Numbers Table Name</t>
        </is>
      </c>
      <c r="D7" s="14" t="inlineStr">
        <is>
          <t>Excel Worksheet Name</t>
        </is>
      </c>
      <c r="E7" s="12" t="n"/>
    </row>
    <row r="8" ht="13.65" customHeight="1" s="102">
      <c r="A8" s="10" t="n"/>
      <c r="B8" s="11" t="n"/>
      <c r="C8" s="11" t="n"/>
      <c r="D8" s="11" t="n"/>
      <c r="E8" s="12" t="n"/>
    </row>
    <row r="9">
      <c r="A9" s="10" t="n"/>
      <c r="B9" s="15" t="inlineStr">
        <is>
          <t>INDIC_CONFIG</t>
        </is>
      </c>
      <c r="C9" s="16" t="n"/>
      <c r="D9" s="16" t="n"/>
      <c r="E9" s="12" t="n"/>
    </row>
    <row r="10">
      <c r="A10" s="10" t="n"/>
      <c r="B10" s="17" t="n"/>
      <c r="C10" s="18" t="inlineStr">
        <is>
          <t>Table 1</t>
        </is>
      </c>
      <c r="D10" s="19" t="inlineStr">
        <is>
          <t>INDIC_CONFIG</t>
        </is>
      </c>
      <c r="E10" s="12" t="n"/>
    </row>
    <row r="11" ht="13" customHeight="1" s="102">
      <c r="A11" s="10" t="n"/>
      <c r="B11" s="3" t="inlineStr">
        <is>
          <t>INDIC_CONFIG</t>
        </is>
      </c>
      <c r="C11" s="3" t="n"/>
      <c r="D11" s="3" t="n"/>
      <c r="E11" s="12" t="n"/>
    </row>
    <row r="12" ht="13" customHeight="1" s="102">
      <c r="A12" s="10" t="n"/>
      <c r="B12" s="4" t="n"/>
      <c r="C12" s="4" t="inlineStr">
        <is>
          <t>Table 1</t>
        </is>
      </c>
      <c r="D12" s="5" t="inlineStr">
        <is>
          <t>INDIC_CONFIG</t>
        </is>
      </c>
      <c r="E12" s="12" t="n"/>
    </row>
    <row r="13" ht="13" customHeight="1" s="102">
      <c r="A13" s="10" t="n"/>
      <c r="B13" s="3" t="inlineStr">
        <is>
          <t>CONFIG</t>
        </is>
      </c>
      <c r="C13" s="3" t="n"/>
      <c r="D13" s="3" t="n"/>
      <c r="E13" s="12" t="n"/>
    </row>
    <row r="14" ht="13" customHeight="1" s="102">
      <c r="A14" s="10" t="n"/>
      <c r="B14" s="4" t="n"/>
      <c r="C14" s="4" t="inlineStr">
        <is>
          <t>Table 1</t>
        </is>
      </c>
      <c r="D14" s="5" t="inlineStr">
        <is>
          <t>CONFIG</t>
        </is>
      </c>
      <c r="E14" s="12" t="n"/>
    </row>
    <row r="15" ht="13" customHeight="1" s="102">
      <c r="A15" s="10" t="n"/>
      <c r="B15" s="3" t="inlineStr">
        <is>
          <t>NZDUSD</t>
        </is>
      </c>
      <c r="C15" s="3" t="n"/>
      <c r="D15" s="3" t="n"/>
      <c r="E15" s="12" t="n"/>
    </row>
    <row r="16" ht="13" customHeight="1" s="102">
      <c r="A16" s="10" t="n"/>
      <c r="B16" s="4" t="n"/>
      <c r="C16" s="4" t="inlineStr">
        <is>
          <t>Table 1</t>
        </is>
      </c>
      <c r="D16" s="5" t="inlineStr">
        <is>
          <t>NZDUSD</t>
        </is>
      </c>
      <c r="E16" s="12" t="n"/>
    </row>
    <row r="17" ht="13" customHeight="1" s="102">
      <c r="A17" s="10" t="n"/>
      <c r="B17" s="3" t="inlineStr">
        <is>
          <t>GBPUSD</t>
        </is>
      </c>
      <c r="C17" s="3" t="n"/>
      <c r="D17" s="3" t="n"/>
      <c r="E17" s="12" t="n"/>
    </row>
    <row r="18" ht="13" customHeight="1" s="102">
      <c r="A18" s="10" t="n"/>
      <c r="B18" s="4" t="n"/>
      <c r="C18" s="4" t="inlineStr">
        <is>
          <t>Table 1</t>
        </is>
      </c>
      <c r="D18" s="5" t="inlineStr">
        <is>
          <t>GBPUSD</t>
        </is>
      </c>
      <c r="E18" s="12" t="n"/>
    </row>
    <row r="19" ht="13" customHeight="1" s="102">
      <c r="A19" s="10" t="n"/>
      <c r="B19" s="3" t="inlineStr">
        <is>
          <t>GBPNZD</t>
        </is>
      </c>
      <c r="C19" s="3" t="n"/>
      <c r="D19" s="3" t="n"/>
      <c r="E19" s="12" t="n"/>
    </row>
    <row r="20" ht="13" customHeight="1" s="102">
      <c r="A20" s="10" t="n"/>
      <c r="B20" s="4" t="n"/>
      <c r="C20" s="4" t="inlineStr">
        <is>
          <t>Table 1</t>
        </is>
      </c>
      <c r="D20" s="5" t="inlineStr">
        <is>
          <t>GBPNZD</t>
        </is>
      </c>
      <c r="E20" s="12" t="n"/>
    </row>
    <row r="21" ht="13" customHeight="1" s="102">
      <c r="A21" s="10" t="n"/>
      <c r="B21" s="3" t="inlineStr">
        <is>
          <t>EURGBP</t>
        </is>
      </c>
      <c r="C21" s="3" t="n"/>
      <c r="D21" s="3" t="n"/>
      <c r="E21" s="12" t="n"/>
    </row>
    <row r="22" ht="13" customHeight="1" s="102">
      <c r="A22" s="10" t="n"/>
      <c r="B22" s="4" t="n"/>
      <c r="C22" s="4" t="inlineStr">
        <is>
          <t>Table 1</t>
        </is>
      </c>
      <c r="D22" s="5" t="inlineStr">
        <is>
          <t>EURGBP</t>
        </is>
      </c>
      <c r="E22" s="12" t="n"/>
    </row>
    <row r="23" ht="13" customHeight="1" s="102">
      <c r="A23" s="10" t="n"/>
      <c r="B23" s="3" t="inlineStr">
        <is>
          <t>USDHKD</t>
        </is>
      </c>
      <c r="C23" s="3" t="n"/>
      <c r="D23" s="3" t="n"/>
      <c r="E23" s="12" t="n"/>
    </row>
    <row r="24" ht="13" customHeight="1" s="102">
      <c r="A24" s="10" t="n"/>
      <c r="B24" s="4" t="n"/>
      <c r="C24" s="4" t="inlineStr">
        <is>
          <t>Table 1</t>
        </is>
      </c>
      <c r="D24" s="5" t="inlineStr">
        <is>
          <t>USDHKD</t>
        </is>
      </c>
      <c r="E24" s="12" t="n"/>
    </row>
    <row r="25" ht="13" customHeight="1" s="102">
      <c r="A25" s="10" t="n"/>
      <c r="B25" s="3" t="inlineStr">
        <is>
          <t>GBPCNH</t>
        </is>
      </c>
      <c r="C25" s="3" t="n"/>
      <c r="D25" s="3" t="n"/>
      <c r="E25" s="12" t="n"/>
    </row>
    <row r="26" ht="13" customHeight="1" s="102">
      <c r="A26" s="10" t="n"/>
      <c r="B26" s="4" t="n"/>
      <c r="C26" s="4" t="inlineStr">
        <is>
          <t>Table 1</t>
        </is>
      </c>
      <c r="D26" s="5" t="inlineStr">
        <is>
          <t>GBPCNH</t>
        </is>
      </c>
      <c r="E26" s="12" t="n"/>
    </row>
    <row r="27" ht="13" customHeight="1" s="102">
      <c r="A27" s="10" t="n"/>
      <c r="B27" s="3" t="inlineStr">
        <is>
          <t>AUDCNH</t>
        </is>
      </c>
      <c r="C27" s="3" t="n"/>
      <c r="D27" s="3" t="n"/>
      <c r="E27" s="12" t="n"/>
    </row>
    <row r="28" ht="13" customHeight="1" s="102">
      <c r="A28" s="10" t="n"/>
      <c r="B28" s="4" t="n"/>
      <c r="C28" s="4" t="inlineStr">
        <is>
          <t>Table 1</t>
        </is>
      </c>
      <c r="D28" s="5" t="inlineStr">
        <is>
          <t>AUDCNH</t>
        </is>
      </c>
      <c r="E28" s="12" t="n"/>
    </row>
    <row r="29" ht="13" customHeight="1" s="102">
      <c r="A29" s="10" t="n"/>
      <c r="B29" s="3" t="inlineStr">
        <is>
          <t>NZDCNH</t>
        </is>
      </c>
      <c r="C29" s="3" t="n"/>
      <c r="D29" s="3" t="n"/>
      <c r="E29" s="12" t="n"/>
    </row>
    <row r="30" ht="13" customHeight="1" s="102">
      <c r="A30" s="10" t="n"/>
      <c r="B30" s="4" t="n"/>
      <c r="C30" s="4" t="inlineStr">
        <is>
          <t>Table 1</t>
        </is>
      </c>
      <c r="D30" s="5" t="inlineStr">
        <is>
          <t>NZDCNH</t>
        </is>
      </c>
      <c r="E30" s="12" t="n"/>
    </row>
    <row r="31" ht="13" customHeight="1" s="102">
      <c r="A31" s="10" t="n"/>
      <c r="B31" s="3" t="inlineStr">
        <is>
          <t>CNHHKD</t>
        </is>
      </c>
      <c r="C31" s="3" t="n"/>
      <c r="D31" s="3" t="n"/>
      <c r="E31" s="12" t="n"/>
    </row>
    <row r="32" ht="13" customHeight="1" s="102">
      <c r="A32" s="10" t="n"/>
      <c r="B32" s="4" t="n"/>
      <c r="C32" s="4" t="inlineStr">
        <is>
          <t>Table 1</t>
        </is>
      </c>
      <c r="D32" s="5" t="inlineStr">
        <is>
          <t>CNHHKD</t>
        </is>
      </c>
      <c r="E32" s="12" t="n"/>
    </row>
    <row r="33" ht="13" customHeight="1" s="102">
      <c r="A33" s="10" t="n"/>
      <c r="B33" s="3" t="inlineStr">
        <is>
          <t>EURCNH</t>
        </is>
      </c>
      <c r="C33" s="3" t="n"/>
      <c r="D33" s="3" t="n"/>
      <c r="E33" s="12" t="n"/>
    </row>
    <row r="34" ht="13" customHeight="1" s="102">
      <c r="A34" s="10" t="n"/>
      <c r="B34" s="4" t="n"/>
      <c r="C34" s="4" t="inlineStr">
        <is>
          <t>Table 1</t>
        </is>
      </c>
      <c r="D34" s="5" t="inlineStr">
        <is>
          <t>EURCNH</t>
        </is>
      </c>
      <c r="E34" s="12" t="n"/>
    </row>
    <row r="35" ht="13" customHeight="1" s="102">
      <c r="A35" s="10" t="n"/>
      <c r="B35" s="3" t="inlineStr">
        <is>
          <t>AUDJPY</t>
        </is>
      </c>
      <c r="C35" s="3" t="n"/>
      <c r="D35" s="3" t="n"/>
      <c r="E35" s="12" t="n"/>
    </row>
    <row r="36" ht="13" customHeight="1" s="102">
      <c r="A36" s="10" t="n"/>
      <c r="B36" s="4" t="n"/>
      <c r="C36" s="4" t="inlineStr">
        <is>
          <t>Table 1</t>
        </is>
      </c>
      <c r="D36" s="5" t="inlineStr">
        <is>
          <t>AUDJPY</t>
        </is>
      </c>
      <c r="E36" s="12" t="n"/>
    </row>
    <row r="37" ht="13" customHeight="1" s="102">
      <c r="A37" s="10" t="n"/>
      <c r="B37" s="3" t="inlineStr">
        <is>
          <t>EURJPY</t>
        </is>
      </c>
      <c r="C37" s="3" t="n"/>
      <c r="D37" s="3" t="n"/>
      <c r="E37" s="12" t="n"/>
    </row>
    <row r="38" ht="13" customHeight="1" s="102">
      <c r="A38" s="10" t="n"/>
      <c r="B38" s="4" t="n"/>
      <c r="C38" s="4" t="inlineStr">
        <is>
          <t>Table 1</t>
        </is>
      </c>
      <c r="D38" s="5" t="inlineStr">
        <is>
          <t>EURJPY</t>
        </is>
      </c>
      <c r="E38" s="12" t="n"/>
    </row>
    <row r="39" ht="13" customHeight="1" s="102">
      <c r="A39" s="10" t="n"/>
      <c r="B39" s="3" t="inlineStr">
        <is>
          <t>EURUSD</t>
        </is>
      </c>
      <c r="C39" s="3" t="n"/>
      <c r="D39" s="3" t="n"/>
      <c r="E39" s="12" t="n"/>
    </row>
    <row r="40" ht="13" customHeight="1" s="102">
      <c r="A40" s="10" t="n"/>
      <c r="B40" s="4" t="n"/>
      <c r="C40" s="4" t="inlineStr">
        <is>
          <t>Table 1</t>
        </is>
      </c>
      <c r="D40" s="5" t="inlineStr">
        <is>
          <t>EURUSD</t>
        </is>
      </c>
      <c r="E40" s="12" t="n"/>
    </row>
    <row r="41" ht="13" customHeight="1" s="102">
      <c r="A41" s="10" t="n"/>
      <c r="B41" s="3" t="inlineStr">
        <is>
          <t>AUDUSD</t>
        </is>
      </c>
      <c r="C41" s="3" t="n"/>
      <c r="D41" s="3" t="n"/>
      <c r="E41" s="12" t="n"/>
    </row>
    <row r="42" ht="13" customHeight="1" s="102">
      <c r="A42" s="10" t="n"/>
      <c r="B42" s="4" t="n"/>
      <c r="C42" s="4" t="inlineStr">
        <is>
          <t>Table 1</t>
        </is>
      </c>
      <c r="D42" s="5" t="inlineStr">
        <is>
          <t>AUDUSD</t>
        </is>
      </c>
      <c r="E42" s="12" t="n"/>
    </row>
    <row r="43" ht="13" customHeight="1" s="102">
      <c r="A43" s="10" t="n"/>
      <c r="B43" s="3" t="inlineStr">
        <is>
          <t>USDJPY</t>
        </is>
      </c>
      <c r="C43" s="3" t="n"/>
      <c r="D43" s="3" t="n"/>
      <c r="E43" s="12" t="n"/>
    </row>
    <row r="44" ht="13" customHeight="1" s="102">
      <c r="A44" s="10" t="n"/>
      <c r="B44" s="4" t="n"/>
      <c r="C44" s="4" t="inlineStr">
        <is>
          <t>Table 1</t>
        </is>
      </c>
      <c r="D44" s="5" t="inlineStr">
        <is>
          <t>USDJPY</t>
        </is>
      </c>
      <c r="E44" s="12" t="n"/>
    </row>
    <row r="45" ht="13" customHeight="1" s="102">
      <c r="A45" s="10" t="n"/>
      <c r="B45" s="3" t="inlineStr">
        <is>
          <t>USDCNH</t>
        </is>
      </c>
      <c r="C45" s="3" t="n"/>
      <c r="D45" s="3" t="n"/>
      <c r="E45" s="12" t="n"/>
    </row>
    <row r="46" ht="13" customHeight="1" s="102">
      <c r="A46" s="10" t="n"/>
      <c r="B46" s="4" t="n"/>
      <c r="C46" s="4" t="inlineStr">
        <is>
          <t>Table 1</t>
        </is>
      </c>
      <c r="D46" s="5" t="inlineStr">
        <is>
          <t>USDCNH</t>
        </is>
      </c>
      <c r="E46" s="12" t="n"/>
    </row>
    <row r="47" ht="13" customHeight="1" s="102">
      <c r="A47" s="10" t="n"/>
      <c r="B47" s="3" t="inlineStr">
        <is>
          <t>USDCNY</t>
        </is>
      </c>
      <c r="C47" s="3" t="n"/>
      <c r="D47" s="3" t="n"/>
      <c r="E47" s="12" t="n"/>
    </row>
    <row r="48" ht="13" customHeight="1" s="102">
      <c r="A48" s="10" t="n"/>
      <c r="B48" s="4" t="n"/>
      <c r="C48" s="4" t="inlineStr">
        <is>
          <t>Table 1</t>
        </is>
      </c>
      <c r="D48" s="5" t="inlineStr">
        <is>
          <t>USDCNY</t>
        </is>
      </c>
      <c r="E48" s="12" t="n"/>
    </row>
    <row r="49" ht="13" customHeight="1" s="102">
      <c r="A49" s="10" t="n"/>
      <c r="B49" s="3" t="inlineStr">
        <is>
          <t>PARAMS</t>
        </is>
      </c>
      <c r="C49" s="3" t="n"/>
      <c r="D49" s="3" t="n"/>
      <c r="E49" s="12" t="n"/>
    </row>
    <row r="50" ht="13" customHeight="1" s="102">
      <c r="A50" s="20" t="n"/>
      <c r="B50" s="4" t="n"/>
      <c r="C50" s="4" t="inlineStr">
        <is>
          <t>Table 1</t>
        </is>
      </c>
      <c r="D50" s="5" t="inlineStr">
        <is>
          <t>PARAMS</t>
        </is>
      </c>
      <c r="E50" s="21" t="n"/>
    </row>
    <row r="51" ht="13" customHeight="1" s="102">
      <c r="A51" s="7" t="n"/>
      <c r="B51" s="3" t="inlineStr">
        <is>
          <t>EVENTS</t>
        </is>
      </c>
      <c r="C51" s="3" t="n"/>
      <c r="D51" s="3" t="n"/>
      <c r="E51" s="9" t="n"/>
    </row>
    <row r="52" ht="13" customHeight="1" s="102">
      <c r="A52" s="20" t="n"/>
      <c r="B52" s="4" t="n"/>
      <c r="C52" s="4" t="inlineStr">
        <is>
          <t>Table 1</t>
        </is>
      </c>
      <c r="D52" s="5" t="inlineStr">
        <is>
          <t>EVENTS</t>
        </is>
      </c>
      <c r="E52" s="21" t="n"/>
    </row>
    <row r="53">
      <c r="B53" s="3" t="inlineStr">
        <is>
          <t>Vega Weights</t>
        </is>
      </c>
      <c r="C53" s="3" t="n"/>
      <c r="D53" s="3" t="n"/>
    </row>
    <row r="54">
      <c r="B54" s="4" t="n"/>
      <c r="C54" s="4" t="inlineStr">
        <is>
          <t>Table 1</t>
        </is>
      </c>
      <c r="D54" s="5" t="inlineStr">
        <is>
          <t>Vega Weights</t>
        </is>
      </c>
    </row>
  </sheetData>
  <mergeCells count="1">
    <mergeCell ref="B3:D3"/>
  </mergeCells>
  <hyperlinks>
    <hyperlink ref="D10" location="'INDIC_CONFIG'!R1C1" tooltip="" display="INDIC_CONFIG"/>
    <hyperlink ref="D12" location="'INDIC_CONFIG'!R1C1" tooltip="" display="INDIC_CONFIG"/>
    <hyperlink ref="D14" location="'CONFIG'!R1C1" tooltip="" display="CONFIG"/>
    <hyperlink ref="D16" location="'NZDUSD'!R1C1" tooltip="" display="NZDUSD"/>
    <hyperlink ref="D18" location="'GBPUSD'!R1C1" tooltip="" display="GBPUSD"/>
    <hyperlink ref="D20" location="'GBPNZD'!R1C1" tooltip="" display="GBPNZD"/>
    <hyperlink ref="D22" location="'EURGBP'!R1C1" tooltip="" display="EURGBP"/>
    <hyperlink ref="D24" location="'USDHKD'!R1C1" tooltip="" display="USDHKD"/>
    <hyperlink ref="D26" location="'GBPCNH'!R1C1" tooltip="" display="GBPCNH"/>
    <hyperlink ref="D28" location="'AUDCNH'!R1C1" tooltip="" display="AUDCNH"/>
    <hyperlink ref="D30" location="'NZDCNH'!R1C1" tooltip="" display="NZDCNH"/>
    <hyperlink ref="D32" location="'CNHHKD'!R1C1" tooltip="" display="CNHHKD"/>
    <hyperlink ref="D34" location="'EURCNH'!R1C1" tooltip="" display="EURCNH"/>
    <hyperlink ref="D36" location="'AUDJPY'!R1C1" tooltip="" display="AUDJPY"/>
    <hyperlink ref="D38" location="'EURJPY'!R1C1" tooltip="" display="EURJPY"/>
    <hyperlink ref="D40" location="'EURUSD'!R1C1" tooltip="" display="EURUSD"/>
    <hyperlink ref="D42" location="'AUDUSD'!R1C1" tooltip="" display="AUDUSD"/>
    <hyperlink ref="D44" location="'USDJPY'!R1C1" tooltip="" display="USDJPY"/>
    <hyperlink ref="D46" location="'USDCNH'!R1C1" tooltip="" display="USDCNH"/>
    <hyperlink ref="D48" location="'USDCNY'!R1C1" tooltip="" display="USDCNY"/>
    <hyperlink ref="D50" location="'PARAMS'!R1C1" tooltip="" display="PARAMS"/>
    <hyperlink ref="D52" location="'EVENTS'!R1C1" tooltip="" display="EVENTS"/>
    <hyperlink ref="D54" location="'Vega Weights'!R1C1" tooltip="" display="Vega Weights"/>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6" t="inlineStr">
        <is>
          <t>indication.xlsx</t>
        </is>
      </c>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15"/>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PAIRS</t>
        </is>
      </c>
      <c r="B1" s="29" t="inlineStr">
        <is>
          <t>TENORS</t>
        </is>
      </c>
      <c r="C1" s="27" t="n"/>
      <c r="D1" s="27" t="n"/>
      <c r="E1" s="27" t="n"/>
    </row>
    <row r="2" ht="13.65" customHeight="1" s="102">
      <c r="A2" s="29" t="inlineStr">
        <is>
          <t>USDJPY</t>
        </is>
      </c>
      <c r="B2" s="29" t="inlineStr">
        <is>
          <t>1w</t>
        </is>
      </c>
      <c r="C2" s="27" t="n"/>
      <c r="D2" s="27" t="n"/>
      <c r="E2" s="27" t="n"/>
    </row>
    <row r="3" ht="13.65" customHeight="1" s="102">
      <c r="A3" s="29" t="inlineStr">
        <is>
          <t>USDCNH</t>
        </is>
      </c>
      <c r="B3" s="29" t="inlineStr">
        <is>
          <t>2w</t>
        </is>
      </c>
      <c r="C3" s="27" t="n"/>
      <c r="D3" s="27" t="n"/>
      <c r="E3" s="27" t="n"/>
    </row>
    <row r="4" ht="13.65" customHeight="1" s="102">
      <c r="A4" s="29" t="inlineStr">
        <is>
          <t>USDCNY</t>
        </is>
      </c>
      <c r="B4" s="29" t="inlineStr">
        <is>
          <t>3w</t>
        </is>
      </c>
      <c r="C4" s="27" t="n"/>
      <c r="D4" s="27" t="n"/>
      <c r="E4" s="27" t="n"/>
    </row>
    <row r="5" ht="13.65" customHeight="1" s="102">
      <c r="A5" s="29" t="inlineStr">
        <is>
          <t>EURUSD</t>
        </is>
      </c>
      <c r="B5" s="29" t="inlineStr">
        <is>
          <t>1m</t>
        </is>
      </c>
      <c r="C5" s="27" t="n"/>
      <c r="D5" s="27" t="n"/>
      <c r="E5" s="27" t="n"/>
    </row>
    <row r="6" ht="13.65" customHeight="1" s="102">
      <c r="A6" s="29" t="inlineStr">
        <is>
          <t>GBPUSD</t>
        </is>
      </c>
      <c r="B6" s="29" t="inlineStr">
        <is>
          <t>2m</t>
        </is>
      </c>
      <c r="C6" s="27" t="n"/>
      <c r="D6" s="27" t="n"/>
      <c r="E6" s="27" t="n"/>
    </row>
    <row r="7" ht="13.65" customHeight="1" s="102">
      <c r="A7" s="29" t="inlineStr">
        <is>
          <t>AUDUSD</t>
        </is>
      </c>
      <c r="B7" s="29" t="inlineStr">
        <is>
          <t>3m</t>
        </is>
      </c>
      <c r="C7" s="27" t="n"/>
      <c r="D7" s="27" t="n"/>
      <c r="E7" s="27" t="n"/>
    </row>
    <row r="8" ht="13.65" customHeight="1" s="102">
      <c r="A8" s="29" t="inlineStr">
        <is>
          <t>NZDUSD</t>
        </is>
      </c>
      <c r="B8" s="29" t="inlineStr">
        <is>
          <t>6m</t>
        </is>
      </c>
      <c r="C8" s="27" t="n"/>
      <c r="D8" s="27" t="n"/>
      <c r="E8" s="27" t="n"/>
    </row>
    <row r="9" ht="13.65" customHeight="1" s="102">
      <c r="A9" s="29" t="inlineStr">
        <is>
          <t>EURJPY</t>
        </is>
      </c>
      <c r="B9" s="29" t="inlineStr">
        <is>
          <t>9m</t>
        </is>
      </c>
      <c r="C9" s="27" t="n"/>
      <c r="D9" s="27" t="n"/>
      <c r="E9" s="27" t="n"/>
    </row>
    <row r="10" ht="13.65" customHeight="1" s="102">
      <c r="A10" s="29" t="inlineStr">
        <is>
          <t>AUDJPY</t>
        </is>
      </c>
      <c r="B10" s="29" t="inlineStr">
        <is>
          <t>1y</t>
        </is>
      </c>
      <c r="C10" s="27" t="n"/>
      <c r="D10" s="27" t="n"/>
      <c r="E10" s="27" t="n"/>
    </row>
    <row r="11" ht="13.65" customHeight="1" s="102">
      <c r="A11" s="29" t="inlineStr">
        <is>
          <t>EURGBP</t>
        </is>
      </c>
      <c r="B11" s="27" t="n"/>
      <c r="C11" s="27" t="n"/>
      <c r="D11" s="27" t="n"/>
      <c r="E11" s="27" t="n"/>
    </row>
    <row r="12" ht="13.65" customHeight="1" s="102">
      <c r="A12" s="29" t="inlineStr">
        <is>
          <t>GBPNZD</t>
        </is>
      </c>
      <c r="B12" s="27" t="n"/>
      <c r="C12" s="27" t="n"/>
      <c r="D12" s="27" t="n"/>
      <c r="E12" s="27" t="n"/>
    </row>
    <row r="13" ht="13.65" customHeight="1" s="102">
      <c r="A13" s="29" t="inlineStr">
        <is>
          <t>EURCNH</t>
        </is>
      </c>
      <c r="B13" s="27" t="n"/>
      <c r="C13" s="27" t="n"/>
      <c r="D13" s="27" t="n"/>
      <c r="E13" s="27" t="n"/>
    </row>
    <row r="14" ht="13.65" customHeight="1" s="102">
      <c r="A14" s="29" t="inlineStr">
        <is>
          <t>GBPCNH</t>
        </is>
      </c>
      <c r="B14" s="27" t="n"/>
      <c r="C14" s="27" t="n"/>
      <c r="D14" s="27" t="n"/>
      <c r="E14" s="27" t="n"/>
    </row>
    <row r="15" ht="13.65" customHeight="1" s="102">
      <c r="A15" s="29" t="inlineStr">
        <is>
          <t>USDHKD</t>
        </is>
      </c>
      <c r="B15" s="27" t="n"/>
      <c r="C15" s="27" t="n"/>
      <c r="D15" s="27" t="n"/>
      <c r="E15"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C2*2.8</f>
        <v>0.756</v>
      </c>
      <c r="C2" s="34" t="n">
        <v>0.27</v>
      </c>
      <c r="D2" s="35" t="n">
        <v>-0.955</v>
      </c>
      <c r="E2" s="36">
        <f t="array" ref="E2">D2*1.8</f>
        <v>-1.719</v>
      </c>
    </row>
    <row r="3" ht="13.65" customHeight="1" s="102">
      <c r="A3" s="32" t="inlineStr">
        <is>
          <t>2W</t>
        </is>
      </c>
      <c r="B3" s="33">
        <f t="array" ref="B3">C3*2.8</f>
        <v>0.791</v>
      </c>
      <c r="C3" s="34" t="n">
        <v>0.2825</v>
      </c>
      <c r="D3" s="35" t="n">
        <v>-1.0825</v>
      </c>
      <c r="E3" s="36">
        <f t="array" ref="E3">D3*1.8</f>
        <v>-1.9485</v>
      </c>
    </row>
    <row r="4" ht="13.65" customHeight="1" s="102">
      <c r="A4" s="32" t="inlineStr">
        <is>
          <t>3W</t>
        </is>
      </c>
      <c r="B4" s="33">
        <f t="array" ref="B4">C4*2.8</f>
        <v>0.847</v>
      </c>
      <c r="C4" s="34" t="n">
        <v>0.3025</v>
      </c>
      <c r="D4" s="35" t="n">
        <v>-1.24</v>
      </c>
      <c r="E4" s="36">
        <f t="array" ref="E4">D4*1.9</f>
        <v>-2.356</v>
      </c>
    </row>
    <row r="5" ht="13.65" customHeight="1" s="102">
      <c r="A5" s="32" t="inlineStr">
        <is>
          <t>1M</t>
        </is>
      </c>
      <c r="B5" s="33">
        <f t="array" ref="B5">C5*2.9</f>
        <v>0.90625</v>
      </c>
      <c r="C5" s="34" t="n">
        <v>0.3125</v>
      </c>
      <c r="D5" s="35" t="n">
        <v>-1.21</v>
      </c>
      <c r="E5" s="36">
        <f t="array" ref="E5">D5*1.9</f>
        <v>-2.299</v>
      </c>
    </row>
    <row r="6" ht="13.65" customHeight="1" s="102">
      <c r="A6" s="32" t="inlineStr">
        <is>
          <t>2M</t>
        </is>
      </c>
      <c r="B6" s="33">
        <f t="array" ref="B6">C6*3</f>
        <v>1.05</v>
      </c>
      <c r="C6" s="34" t="n">
        <v>0.35</v>
      </c>
      <c r="D6" s="35" t="n">
        <v>-1.34</v>
      </c>
      <c r="E6" s="36">
        <f t="array" ref="E6">D6*1.9</f>
        <v>-2.546</v>
      </c>
    </row>
    <row r="7" ht="13.65" customHeight="1" s="102">
      <c r="A7" s="32" t="inlineStr">
        <is>
          <t>3M</t>
        </is>
      </c>
      <c r="B7" s="33">
        <f t="array" ref="B7">C7*3</f>
        <v>1.125</v>
      </c>
      <c r="C7" s="34" t="n">
        <v>0.375</v>
      </c>
      <c r="D7" s="35" t="n">
        <v>-1.455</v>
      </c>
      <c r="E7" s="36">
        <f t="array" ref="E7">D7*1.9</f>
        <v>-2.7645</v>
      </c>
    </row>
    <row r="8" ht="13.65" customHeight="1" s="102">
      <c r="A8" s="32" t="inlineStr">
        <is>
          <t>6M</t>
        </is>
      </c>
      <c r="B8" s="33">
        <f t="array" ref="B8">C8*3.1</f>
        <v>1.26325</v>
      </c>
      <c r="C8" s="34" t="n">
        <v>0.4075</v>
      </c>
      <c r="D8" s="35" t="n">
        <v>-1.59</v>
      </c>
      <c r="E8" s="36">
        <f t="array" ref="E8">D8*1.9</f>
        <v>-3.021</v>
      </c>
    </row>
    <row r="9" ht="13.65" customHeight="1" s="102">
      <c r="A9" s="32" t="inlineStr">
        <is>
          <t>9M</t>
        </is>
      </c>
      <c r="B9" s="33">
        <f t="array" ref="B9">C9*3.1</f>
        <v>1.333</v>
      </c>
      <c r="C9" s="34" t="n">
        <v>0.43</v>
      </c>
      <c r="D9" s="35" t="n">
        <v>-1.65</v>
      </c>
      <c r="E9" s="36">
        <f t="array" ref="E9">D9*1.9</f>
        <v>-3.135</v>
      </c>
    </row>
    <row r="10" ht="13.65" customHeight="1" s="102">
      <c r="A10" s="32" t="inlineStr">
        <is>
          <t>1Y</t>
        </is>
      </c>
      <c r="B10" s="33">
        <f t="array" ref="B10">C10*3.2</f>
        <v>1.416</v>
      </c>
      <c r="C10" s="34" t="n">
        <v>0.4425</v>
      </c>
      <c r="D10" s="35" t="n">
        <v>-1.71</v>
      </c>
      <c r="E10" s="36">
        <f t="array" ref="E10">D10*1.9</f>
        <v>-3.249</v>
      </c>
    </row>
    <row r="11" ht="13.65" customHeight="1" s="102">
      <c r="A11" s="32" t="inlineStr">
        <is>
          <t>2Y</t>
        </is>
      </c>
      <c r="B11" s="37">
        <f t="array" ref="B11">C11*3.5</f>
        <v>1.46125</v>
      </c>
      <c r="C11" s="34" t="n">
        <v>0.4175</v>
      </c>
      <c r="D11" s="35" t="n">
        <v>-1.8525</v>
      </c>
      <c r="E11" s="38">
        <f t="array" ref="E11">D11*1.9</f>
        <v>-3.51975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f>
        <v>0.5775</v>
      </c>
      <c r="C2" s="34" t="n">
        <v>0.1925</v>
      </c>
      <c r="D2" s="35" t="n">
        <v>-0.445</v>
      </c>
      <c r="E2" s="36">
        <f t="array" ref="E2">D2*1.85</f>
        <v>-0.82325</v>
      </c>
    </row>
    <row r="3" ht="13.65" customHeight="1" s="102">
      <c r="A3" s="32" t="inlineStr">
        <is>
          <t>2W</t>
        </is>
      </c>
      <c r="B3" s="33">
        <f t="array" ref="B3">C3*3</f>
        <v>0.6</v>
      </c>
      <c r="C3" s="34" t="n">
        <v>0.2</v>
      </c>
      <c r="D3" s="35" t="n">
        <v>-0.5</v>
      </c>
      <c r="E3" s="36">
        <f t="array" ref="E3">D3*1.85</f>
        <v>-0.925</v>
      </c>
    </row>
    <row r="4" ht="13.65" customHeight="1" s="102">
      <c r="A4" s="32" t="inlineStr">
        <is>
          <t>3W</t>
        </is>
      </c>
      <c r="B4" s="33">
        <f t="array" ref="B4">C4*3</f>
        <v>0.585</v>
      </c>
      <c r="C4" s="34" t="n">
        <v>0.195</v>
      </c>
      <c r="D4" s="35" t="n">
        <v>-0.595</v>
      </c>
      <c r="E4" s="36">
        <f t="array" ref="E4">D4*1.85</f>
        <v>-1.10075</v>
      </c>
    </row>
    <row r="5" ht="13.65" customHeight="1" s="102">
      <c r="A5" s="32" t="inlineStr">
        <is>
          <t>1M</t>
        </is>
      </c>
      <c r="B5" s="33">
        <f t="array" ref="B5">C5*3.15</f>
        <v>0.693</v>
      </c>
      <c r="C5" s="34" t="n">
        <v>0.22</v>
      </c>
      <c r="D5" s="35" t="n">
        <v>-0.5825</v>
      </c>
      <c r="E5" s="36">
        <f t="array" ref="E5">D5*1.85</f>
        <v>-1.077625</v>
      </c>
    </row>
    <row r="6" ht="13.65" customHeight="1" s="102">
      <c r="A6" s="32" t="inlineStr">
        <is>
          <t>2M</t>
        </is>
      </c>
      <c r="B6" s="33">
        <f t="array" ref="B6">C6*3.15</f>
        <v>0.80325</v>
      </c>
      <c r="C6" s="34" t="n">
        <v>0.255</v>
      </c>
      <c r="D6" s="35" t="n">
        <v>-0.7425</v>
      </c>
      <c r="E6" s="36">
        <f t="array" ref="E6">D6*1.85</f>
        <v>-1.373625</v>
      </c>
    </row>
    <row r="7" ht="13.65" customHeight="1" s="102">
      <c r="A7" s="32" t="inlineStr">
        <is>
          <t>3M</t>
        </is>
      </c>
      <c r="B7" s="33">
        <f t="array" ref="B7">C7*3.2</f>
        <v>0.928</v>
      </c>
      <c r="C7" s="34" t="n">
        <v>0.29</v>
      </c>
      <c r="D7" s="35" t="n">
        <v>-0.8075</v>
      </c>
      <c r="E7" s="36">
        <f t="array" ref="E7">D7*1.85</f>
        <v>-1.493875</v>
      </c>
    </row>
    <row r="8" ht="13.65" customHeight="1" s="102">
      <c r="A8" s="32" t="inlineStr">
        <is>
          <t>6M</t>
        </is>
      </c>
      <c r="B8" s="33">
        <f t="array" ref="B8">C8*3.25</f>
        <v>1.18625</v>
      </c>
      <c r="C8" s="34" t="n">
        <v>0.365</v>
      </c>
      <c r="D8" s="35" t="n">
        <v>-0.9399999999999999</v>
      </c>
      <c r="E8" s="36">
        <f t="array" ref="E8">D8*1.875</f>
        <v>-1.7625</v>
      </c>
    </row>
    <row r="9" ht="13.65" customHeight="1" s="102">
      <c r="A9" s="32" t="inlineStr">
        <is>
          <t>9M</t>
        </is>
      </c>
      <c r="B9" s="33">
        <f t="array" ref="B9">C9*3.25</f>
        <v>1.3</v>
      </c>
      <c r="C9" s="34" t="n">
        <v>0.4</v>
      </c>
      <c r="D9" s="35" t="n">
        <v>-1.08</v>
      </c>
      <c r="E9" s="36">
        <f t="array" ref="E9">D9*1.875</f>
        <v>-2.025</v>
      </c>
    </row>
    <row r="10" ht="13.65" customHeight="1" s="102">
      <c r="A10" s="32" t="inlineStr">
        <is>
          <t>1Y</t>
        </is>
      </c>
      <c r="B10" s="33">
        <f t="array" ref="B10">C10*3.4</f>
        <v>1.411</v>
      </c>
      <c r="C10" s="34" t="n">
        <v>0.415</v>
      </c>
      <c r="D10" s="35" t="n">
        <v>-1.12</v>
      </c>
      <c r="E10" s="36">
        <f t="array" ref="E10">D10*1.875</f>
        <v>-2.1</v>
      </c>
    </row>
    <row r="11" ht="13.65" customHeight="1" s="102">
      <c r="A11" s="32" t="inlineStr">
        <is>
          <t>2Y</t>
        </is>
      </c>
      <c r="B11" s="37">
        <f t="array" ref="B11">C11*3.4</f>
        <v>1.462</v>
      </c>
      <c r="C11" s="34" t="n">
        <v>0.43</v>
      </c>
      <c r="D11" s="35" t="n">
        <v>-1.2</v>
      </c>
      <c r="E11" s="38">
        <f t="array" ref="E11">D11*1.875</f>
        <v>-2.25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C2*3.75</f>
        <v>0.825</v>
      </c>
      <c r="C2" s="34" t="n">
        <v>0.22</v>
      </c>
      <c r="D2" s="35" t="n">
        <v>0.48</v>
      </c>
      <c r="E2" s="36">
        <f t="array" ref="E2">D2*1.3</f>
        <v>0.624</v>
      </c>
    </row>
    <row r="3" ht="13.65" customHeight="1" s="102">
      <c r="A3" s="32" t="inlineStr">
        <is>
          <t>2W</t>
        </is>
      </c>
      <c r="B3" s="33">
        <f t="array" ref="B3">C3*3.75</f>
        <v>0.834375</v>
      </c>
      <c r="C3" s="34" t="n">
        <v>0.2225</v>
      </c>
      <c r="D3" s="35" t="n">
        <v>0.505</v>
      </c>
      <c r="E3" s="36">
        <f t="array" ref="E3">D3*1.8</f>
        <v>0.909</v>
      </c>
    </row>
    <row r="4" ht="13.65" customHeight="1" s="102">
      <c r="A4" s="32" t="inlineStr">
        <is>
          <t>3W</t>
        </is>
      </c>
      <c r="B4" s="33">
        <f t="array" ref="B4">C4*3.75</f>
        <v>0.84375</v>
      </c>
      <c r="C4" s="34" t="n">
        <v>0.225</v>
      </c>
      <c r="D4" s="35" t="n">
        <v>0.52</v>
      </c>
      <c r="E4" s="36">
        <f t="array" ref="E4">D4*1.8</f>
        <v>0.936</v>
      </c>
    </row>
    <row r="5" ht="13.65" customHeight="1" s="102">
      <c r="A5" s="32" t="inlineStr">
        <is>
          <t>1M</t>
        </is>
      </c>
      <c r="B5" s="33">
        <f t="array" ref="B5">C5*3.75</f>
        <v>0.871875</v>
      </c>
      <c r="C5" s="34" t="n">
        <v>0.2325</v>
      </c>
      <c r="D5" s="35" t="n">
        <v>0.555</v>
      </c>
      <c r="E5" s="36">
        <f t="array" ref="E5">D5*1.8</f>
        <v>0.999</v>
      </c>
    </row>
    <row r="6" ht="13.65" customHeight="1" s="102">
      <c r="A6" s="32" t="inlineStr">
        <is>
          <t>2M</t>
        </is>
      </c>
      <c r="B6" s="33">
        <f t="array" ref="B6">C6*3.75</f>
        <v>0.95625</v>
      </c>
      <c r="C6" s="34" t="n">
        <v>0.255</v>
      </c>
      <c r="D6" s="35" t="n">
        <v>0.5625</v>
      </c>
      <c r="E6" s="36">
        <f t="array" ref="E6">D6*1.8</f>
        <v>1.0125</v>
      </c>
    </row>
    <row r="7" ht="13.65" customHeight="1" s="102">
      <c r="A7" s="32" t="inlineStr">
        <is>
          <t>3M</t>
        </is>
      </c>
      <c r="B7" s="33">
        <f t="array" ref="B7">C7*3.85</f>
        <v>1.126125</v>
      </c>
      <c r="C7" s="34" t="n">
        <v>0.2925</v>
      </c>
      <c r="D7" s="35" t="n">
        <v>0.5775</v>
      </c>
      <c r="E7" s="36">
        <f t="array" ref="E7">D7*1.8</f>
        <v>1.0395</v>
      </c>
    </row>
    <row r="8" ht="13.65" customHeight="1" s="102">
      <c r="A8" s="32" t="inlineStr">
        <is>
          <t>6M</t>
        </is>
      </c>
      <c r="B8" s="33">
        <f t="array" ref="B8">C8*3.85</f>
        <v>1.318625</v>
      </c>
      <c r="C8" s="34" t="n">
        <v>0.3425</v>
      </c>
      <c r="D8" s="35" t="n">
        <v>0.5575</v>
      </c>
      <c r="E8" s="36">
        <f t="array" ref="E8">D8*1.8</f>
        <v>1.0035</v>
      </c>
    </row>
    <row r="9" ht="13.65" customHeight="1" s="102">
      <c r="A9" s="32" t="inlineStr">
        <is>
          <t>9M</t>
        </is>
      </c>
      <c r="B9" s="33">
        <f t="array" ref="B9">C9*3.85</f>
        <v>1.52075</v>
      </c>
      <c r="C9" s="34" t="n">
        <v>0.395</v>
      </c>
      <c r="D9" s="35" t="n">
        <v>0.5875</v>
      </c>
      <c r="E9" s="36">
        <f t="array" ref="E9">D9*1.8</f>
        <v>1.0575</v>
      </c>
    </row>
    <row r="10" ht="13.65" customHeight="1" s="102">
      <c r="A10" s="32" t="inlineStr">
        <is>
          <t>1Y</t>
        </is>
      </c>
      <c r="B10" s="33">
        <f t="array" ref="B10">C10*4</f>
        <v>1.6</v>
      </c>
      <c r="C10" s="34" t="n">
        <v>0.4</v>
      </c>
      <c r="D10" s="35" t="n">
        <v>0.58</v>
      </c>
      <c r="E10" s="36">
        <f t="array" ref="E10">D10*1.8</f>
        <v>1.044</v>
      </c>
    </row>
    <row r="11" ht="13.65" customHeight="1" s="102">
      <c r="A11" s="32" t="inlineStr">
        <is>
          <t>2Y</t>
        </is>
      </c>
      <c r="B11" s="37">
        <f t="array" ref="B11">C11*4.1</f>
        <v>1.71175</v>
      </c>
      <c r="C11" s="34" t="n">
        <v>0.4175</v>
      </c>
      <c r="D11" s="35" t="n">
        <v>0.6625</v>
      </c>
      <c r="E11" s="38">
        <f t="array" ref="E11">D11*1.8</f>
        <v>1.1925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5" customHeight="1" outlineLevelRow="0"/>
  <cols>
    <col width="8.851559999999999" customWidth="1" style="99" min="1" max="5"/>
    <col width="8.851559999999999" customWidth="1" style="99" min="6" max="16384"/>
  </cols>
  <sheetData>
    <row r="1" ht="13.65" customHeight="1" s="102">
      <c r="A1" s="42" t="inlineStr">
        <is>
          <t>expiry</t>
        </is>
      </c>
      <c r="B1" s="43" t="inlineStr">
        <is>
          <t>ST 10D</t>
        </is>
      </c>
      <c r="C1" s="42" t="inlineStr">
        <is>
          <t>ST 25D</t>
        </is>
      </c>
      <c r="D1" s="42" t="inlineStr">
        <is>
          <t>RR 25D</t>
        </is>
      </c>
      <c r="E1" s="43" t="inlineStr">
        <is>
          <t>RR 10D</t>
        </is>
      </c>
    </row>
    <row r="2" ht="13.65" customHeight="1" s="102">
      <c r="A2" s="44" t="inlineStr">
        <is>
          <t>1W</t>
        </is>
      </c>
      <c r="B2" s="45">
        <f t="array" ref="B2">C2*3.1</f>
        <v>0.33325</v>
      </c>
      <c r="C2" s="46" t="n">
        <v>0.1075</v>
      </c>
      <c r="D2" s="47" t="n">
        <v>0.34</v>
      </c>
      <c r="E2" s="48">
        <f t="array" ref="E2">D2*1.8</f>
        <v>0.612</v>
      </c>
    </row>
    <row r="3" ht="13.65" customHeight="1" s="102">
      <c r="A3" s="44" t="inlineStr">
        <is>
          <t>2W</t>
        </is>
      </c>
      <c r="B3" s="45">
        <f t="array" ref="B3">C3*3.1</f>
        <v>0.3875</v>
      </c>
      <c r="C3" s="46" t="n">
        <v>0.125</v>
      </c>
      <c r="D3" s="47" t="n">
        <v>0.39</v>
      </c>
      <c r="E3" s="48">
        <f t="array" ref="E3">D3*1.8</f>
        <v>0.702</v>
      </c>
    </row>
    <row r="4" ht="13.65" customHeight="1" s="102">
      <c r="A4" s="44" t="inlineStr">
        <is>
          <t>3W</t>
        </is>
      </c>
      <c r="B4" s="45">
        <f t="array" ref="B4">C4*3.1</f>
        <v>0.465</v>
      </c>
      <c r="C4" s="46" t="n">
        <v>0.15</v>
      </c>
      <c r="D4" s="47" t="n">
        <v>0.425</v>
      </c>
      <c r="E4" s="48">
        <f t="array" ref="E4">D4*1.8</f>
        <v>0.765</v>
      </c>
    </row>
    <row r="5" ht="13.65" customHeight="1" s="102">
      <c r="A5" s="44" t="inlineStr">
        <is>
          <t>1M</t>
        </is>
      </c>
      <c r="B5" s="45">
        <f t="array" ref="B5">C5*3.1</f>
        <v>0.403</v>
      </c>
      <c r="C5" s="46" t="n">
        <v>0.13</v>
      </c>
      <c r="D5" s="47" t="n">
        <v>0.49</v>
      </c>
      <c r="E5" s="48">
        <f t="array" ref="E5">D5*1.85</f>
        <v>0.9065</v>
      </c>
    </row>
    <row r="6" ht="13.65" customHeight="1" s="102">
      <c r="A6" s="44" t="inlineStr">
        <is>
          <t>2M</t>
        </is>
      </c>
      <c r="B6" s="45">
        <f t="array" ref="B6">C6*3.1</f>
        <v>0.4805</v>
      </c>
      <c r="C6" s="46" t="n">
        <v>0.155</v>
      </c>
      <c r="D6" s="47" t="n">
        <v>0.575</v>
      </c>
      <c r="E6" s="48">
        <f t="array" ref="E6">D6*1.85</f>
        <v>1.06375</v>
      </c>
    </row>
    <row r="7" ht="13.65" customHeight="1" s="102">
      <c r="A7" s="44" t="inlineStr">
        <is>
          <t>3M</t>
        </is>
      </c>
      <c r="B7" s="45">
        <f t="array" ref="B7">C7*3.1</f>
        <v>0.558</v>
      </c>
      <c r="C7" s="46" t="n">
        <v>0.18</v>
      </c>
      <c r="D7" s="47" t="n">
        <v>0.6475</v>
      </c>
      <c r="E7" s="48">
        <f t="array" ref="E7">D7*1.85</f>
        <v>1.197875</v>
      </c>
    </row>
    <row r="8" ht="13.65" customHeight="1" s="102">
      <c r="A8" s="44" t="inlineStr">
        <is>
          <t>6M</t>
        </is>
      </c>
      <c r="B8" s="45">
        <f t="array" ref="B8">C8*3.1</f>
        <v>0.72075</v>
      </c>
      <c r="C8" s="46" t="n">
        <v>0.2325</v>
      </c>
      <c r="D8" s="47" t="n">
        <v>0.7875</v>
      </c>
      <c r="E8" s="48">
        <f t="array" ref="E8">D8*1.85</f>
        <v>1.456875</v>
      </c>
    </row>
    <row r="9" ht="13.65" customHeight="1" s="102">
      <c r="A9" s="44" t="inlineStr">
        <is>
          <t>9M</t>
        </is>
      </c>
      <c r="B9" s="45">
        <f t="array" ref="B9">C9*3.1</f>
        <v>0.79825</v>
      </c>
      <c r="C9" s="46" t="n">
        <v>0.2575</v>
      </c>
      <c r="D9" s="47" t="n">
        <v>0.8625</v>
      </c>
      <c r="E9" s="48">
        <f t="array" ref="E9">D9*1.85</f>
        <v>1.595625</v>
      </c>
    </row>
    <row r="10" ht="13.65" customHeight="1" s="102">
      <c r="A10" s="44" t="inlineStr">
        <is>
          <t>1Y</t>
        </is>
      </c>
      <c r="B10" s="45">
        <f t="array" ref="B10">C10*3.2</f>
        <v>0.84</v>
      </c>
      <c r="C10" s="46" t="n">
        <v>0.2625</v>
      </c>
      <c r="D10" s="47" t="n">
        <v>0.9125</v>
      </c>
      <c r="E10" s="48">
        <f t="array" ref="E10">D10*1.85</f>
        <v>1.688125</v>
      </c>
    </row>
    <row r="11" ht="13.65" customHeight="1" s="102">
      <c r="A11" s="44" t="inlineStr">
        <is>
          <t>2Y</t>
        </is>
      </c>
      <c r="B11" s="49">
        <f t="array" ref="B11">C11*3.2</f>
        <v>1.08</v>
      </c>
      <c r="C11" s="46" t="n">
        <v>0.3375</v>
      </c>
      <c r="D11" s="47" t="n">
        <v>0.8675</v>
      </c>
      <c r="E11" s="50">
        <f t="array" ref="E11">D11*1.85</f>
        <v>1.604875</v>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103">
        <f t="array" ref="B2">C2*3.4</f>
        <v>0.6205</v>
      </c>
      <c r="C2" s="104" t="n">
        <v>0.1825</v>
      </c>
      <c r="D2" s="105" t="n">
        <v>0.385</v>
      </c>
      <c r="E2" s="106">
        <f t="array" ref="E2">D2*2.05</f>
        <v>0.78925</v>
      </c>
    </row>
    <row r="3" ht="13.65" customHeight="1" s="102">
      <c r="A3" s="32" t="inlineStr">
        <is>
          <t>2W</t>
        </is>
      </c>
      <c r="B3" s="103">
        <f t="array" ref="B3">C3*3.4</f>
        <v>0.6375</v>
      </c>
      <c r="C3" s="104" t="n">
        <v>0.1875</v>
      </c>
      <c r="D3" s="105" t="n">
        <v>0.45</v>
      </c>
      <c r="E3" s="106">
        <f t="array" ref="E3">D3*2.15</f>
        <v>0.9675</v>
      </c>
    </row>
    <row r="4" ht="13.65" customHeight="1" s="102">
      <c r="A4" s="32" t="inlineStr">
        <is>
          <t>1M</t>
        </is>
      </c>
      <c r="B4" s="103">
        <f t="array" ref="B4">C4*3.4</f>
        <v>0.731</v>
      </c>
      <c r="C4" s="104" t="n">
        <v>0.215</v>
      </c>
      <c r="D4" s="105" t="n">
        <v>0.525</v>
      </c>
      <c r="E4" s="106">
        <f t="array" ref="E4">D4*2.3</f>
        <v>1.2075</v>
      </c>
    </row>
    <row r="5" ht="13.65" customHeight="1" s="102">
      <c r="A5" s="32" t="inlineStr">
        <is>
          <t>2M</t>
        </is>
      </c>
      <c r="B5" s="103">
        <f t="array" ref="B5">C5*3.4</f>
        <v>0.816</v>
      </c>
      <c r="C5" s="104" t="n">
        <v>0.24</v>
      </c>
      <c r="D5" s="105" t="n">
        <v>0.66</v>
      </c>
      <c r="E5" s="106">
        <f t="array" ref="E5">D5*2.3</f>
        <v>1.518</v>
      </c>
    </row>
    <row r="6" ht="13.65" customHeight="1" s="102">
      <c r="A6" s="32" t="inlineStr">
        <is>
          <t>3M</t>
        </is>
      </c>
      <c r="B6" s="103">
        <f t="array" ref="B6">C6*3.4</f>
        <v>0.867</v>
      </c>
      <c r="C6" s="104" t="n">
        <v>0.255</v>
      </c>
      <c r="D6" s="105" t="n">
        <v>0.74</v>
      </c>
      <c r="E6" s="106">
        <f t="array" ref="E6">D6*2.3</f>
        <v>1.702</v>
      </c>
    </row>
    <row r="7" ht="13.65" customHeight="1" s="102">
      <c r="A7" s="32" t="inlineStr">
        <is>
          <t>6M</t>
        </is>
      </c>
      <c r="B7" s="103">
        <f t="array" ref="B7">C7*3.4</f>
        <v>0.986</v>
      </c>
      <c r="C7" s="104" t="n">
        <v>0.29</v>
      </c>
      <c r="D7" s="105" t="n">
        <v>0.95</v>
      </c>
      <c r="E7" s="106">
        <f t="array" ref="E7">D7*2.3</f>
        <v>2.185</v>
      </c>
    </row>
    <row r="8" ht="13.65" customHeight="1" s="102">
      <c r="A8" s="32" t="inlineStr">
        <is>
          <t>9M</t>
        </is>
      </c>
      <c r="B8" s="103">
        <f t="array" ref="B8">C8*3.4</f>
        <v>1.122</v>
      </c>
      <c r="C8" s="104" t="n">
        <v>0.33</v>
      </c>
      <c r="D8" s="105" t="n">
        <v>1.07</v>
      </c>
      <c r="E8" s="106">
        <f t="array" ref="E8">D8*2.3</f>
        <v>2.461</v>
      </c>
    </row>
    <row r="9" ht="13.65" customHeight="1" s="102">
      <c r="A9" s="32" t="inlineStr">
        <is>
          <t>1Y</t>
        </is>
      </c>
      <c r="B9" s="103">
        <f t="array" ref="B9">C9*3.4</f>
        <v>1.207</v>
      </c>
      <c r="C9" s="104" t="n">
        <v>0.355</v>
      </c>
      <c r="D9" s="105" t="n">
        <v>1.15</v>
      </c>
      <c r="E9" s="106">
        <f t="array" ref="E9">D9*2.3</f>
        <v>2.645</v>
      </c>
    </row>
    <row r="10" ht="13.65" customHeight="1" s="102">
      <c r="A10" s="32" t="inlineStr">
        <is>
          <t>2Y</t>
        </is>
      </c>
      <c r="B10" s="107">
        <f t="array" ref="B10">C10*3.4</f>
        <v>1.292</v>
      </c>
      <c r="C10" s="104" t="n">
        <v>0.38</v>
      </c>
      <c r="D10" s="105" t="n">
        <v>1.25</v>
      </c>
      <c r="E10" s="108">
        <f t="array" ref="E10">D10*2.3</f>
        <v>2.875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C2*3.75</f>
        <v>0.703125</v>
      </c>
      <c r="C2" s="34" t="n">
        <v>0.1875</v>
      </c>
      <c r="D2" s="35" t="n">
        <v>0.095</v>
      </c>
      <c r="E2" s="36">
        <f t="array" ref="E2">D2*1.3</f>
        <v>0.1235</v>
      </c>
    </row>
    <row r="3" ht="13.65" customHeight="1" s="102">
      <c r="A3" s="32" t="inlineStr">
        <is>
          <t>2W</t>
        </is>
      </c>
      <c r="B3" s="33">
        <f t="array" ref="B3">C3*3.75</f>
        <v>0.73125</v>
      </c>
      <c r="C3" s="34" t="n">
        <v>0.195</v>
      </c>
      <c r="D3" s="35" t="n">
        <v>0.14</v>
      </c>
      <c r="E3" s="36">
        <f t="array" ref="E3">D3*1.8</f>
        <v>0.252</v>
      </c>
    </row>
    <row r="4" ht="13.65" customHeight="1" s="102">
      <c r="A4" s="32" t="inlineStr">
        <is>
          <t>3W</t>
        </is>
      </c>
      <c r="B4" s="33">
        <f t="array" ref="B4">C4*3.75</f>
        <v>0.75</v>
      </c>
      <c r="C4" s="34" t="n">
        <v>0.2</v>
      </c>
      <c r="D4" s="35" t="n">
        <v>0.145</v>
      </c>
      <c r="E4" s="36">
        <f t="array" ref="E4">D4*1.8</f>
        <v>0.261</v>
      </c>
    </row>
    <row r="5" ht="13.65" customHeight="1" s="102">
      <c r="A5" s="32" t="inlineStr">
        <is>
          <t>1M</t>
        </is>
      </c>
      <c r="B5" s="33">
        <f t="array" ref="B5">C5*3.75</f>
        <v>0.75</v>
      </c>
      <c r="C5" s="34" t="n">
        <v>0.2</v>
      </c>
      <c r="D5" s="35" t="n">
        <v>0.1575</v>
      </c>
      <c r="E5" s="36">
        <f t="array" ref="E5">D5*1.8</f>
        <v>0.2835</v>
      </c>
    </row>
    <row r="6" ht="13.65" customHeight="1" s="102">
      <c r="A6" s="32" t="inlineStr">
        <is>
          <t>2M</t>
        </is>
      </c>
      <c r="B6" s="33">
        <f t="array" ref="B6">C6*3.75</f>
        <v>0.834375</v>
      </c>
      <c r="C6" s="34" t="n">
        <v>0.2225</v>
      </c>
      <c r="D6" s="35" t="n">
        <v>0.185</v>
      </c>
      <c r="E6" s="36">
        <f t="array" ref="E6">D6*1.8</f>
        <v>0.333</v>
      </c>
    </row>
    <row r="7" ht="13.65" customHeight="1" s="102">
      <c r="A7" s="32" t="inlineStr">
        <is>
          <t>3M</t>
        </is>
      </c>
      <c r="B7" s="33">
        <f t="array" ref="B7">C7*3.85</f>
        <v>1.001</v>
      </c>
      <c r="C7" s="34" t="n">
        <v>0.26</v>
      </c>
      <c r="D7" s="35" t="n">
        <v>0.23</v>
      </c>
      <c r="E7" s="36">
        <f t="array" ref="E7">D7*1.8</f>
        <v>0.414</v>
      </c>
    </row>
    <row r="8" ht="13.65" customHeight="1" s="102">
      <c r="A8" s="32" t="inlineStr">
        <is>
          <t>6M</t>
        </is>
      </c>
      <c r="B8" s="33">
        <f t="array" ref="B8">C8*3.85</f>
        <v>1.155</v>
      </c>
      <c r="C8" s="34" t="n">
        <v>0.3</v>
      </c>
      <c r="D8" s="35" t="n">
        <v>0.355</v>
      </c>
      <c r="E8" s="36">
        <f t="array" ref="E8">D8*1.8</f>
        <v>0.639</v>
      </c>
    </row>
    <row r="9" ht="13.65" customHeight="1" s="102">
      <c r="A9" s="32" t="inlineStr">
        <is>
          <t>9M</t>
        </is>
      </c>
      <c r="B9" s="33">
        <f t="array" ref="B9">C9*3.85</f>
        <v>1.36675</v>
      </c>
      <c r="C9" s="34" t="n">
        <v>0.355</v>
      </c>
      <c r="D9" s="35" t="n">
        <v>0.375</v>
      </c>
      <c r="E9" s="36">
        <f t="array" ref="E9">D9*1.8</f>
        <v>0.675</v>
      </c>
    </row>
    <row r="10" ht="13.65" customHeight="1" s="102">
      <c r="A10" s="32" t="inlineStr">
        <is>
          <t>1Y</t>
        </is>
      </c>
      <c r="B10" s="33">
        <f t="array" ref="B10">C10*4</f>
        <v>1.45</v>
      </c>
      <c r="C10" s="34" t="n">
        <v>0.3625</v>
      </c>
      <c r="D10" s="35" t="n">
        <v>0.46</v>
      </c>
      <c r="E10" s="36">
        <f t="array" ref="E10">D10*1.8</f>
        <v>0.828</v>
      </c>
    </row>
    <row r="11" ht="13.65" customHeight="1" s="102">
      <c r="A11" s="32" t="inlineStr">
        <is>
          <t>2Y</t>
        </is>
      </c>
      <c r="B11" s="37">
        <f t="array" ref="B11">C11*4.1</f>
        <v>1.64</v>
      </c>
      <c r="C11" s="34" t="n">
        <v>0.4</v>
      </c>
      <c r="D11" s="35" t="n">
        <v>0.435</v>
      </c>
      <c r="E11" s="38">
        <f t="array" ref="E11">D11*1.8</f>
        <v>0.783</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7" t="n"/>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7" t="n"/>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7" t="n"/>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K22"/>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1"/>
    <col width="8.351559999999999" customWidth="1" style="99" min="2" max="2"/>
    <col width="8.851559999999999" customWidth="1" style="99" min="3" max="10"/>
    <col width="13.5" customWidth="1" style="99" min="11" max="11"/>
    <col width="8.851559999999999" customWidth="1" style="99" min="12" max="16384"/>
  </cols>
  <sheetData>
    <row r="1" ht="13.65" customHeight="1" s="102">
      <c r="A1" s="29" t="inlineStr">
        <is>
          <t>expiry</t>
        </is>
      </c>
      <c r="B1" s="31" t="inlineStr">
        <is>
          <t>ST 10D</t>
        </is>
      </c>
      <c r="C1" s="29" t="inlineStr">
        <is>
          <t>ST 25D</t>
        </is>
      </c>
      <c r="D1" s="29" t="inlineStr">
        <is>
          <t>RR 25D</t>
        </is>
      </c>
      <c r="E1" s="31" t="inlineStr">
        <is>
          <t>RR 10D</t>
        </is>
      </c>
      <c r="F1" s="27" t="n"/>
      <c r="G1" s="27" t="n"/>
      <c r="H1" s="27" t="n"/>
      <c r="I1" s="27" t="n"/>
      <c r="J1" s="27" t="n"/>
      <c r="K1" s="27" t="n"/>
    </row>
    <row r="2" ht="13.65" customHeight="1" s="102">
      <c r="A2" s="32" t="inlineStr">
        <is>
          <t>1W</t>
        </is>
      </c>
      <c r="B2" s="63">
        <f t="array" ref="B2">C2*3.4</f>
        <v>0.476</v>
      </c>
      <c r="C2" s="34" t="n">
        <v>0.14</v>
      </c>
      <c r="D2" s="35" t="n">
        <v>0.0475</v>
      </c>
      <c r="E2" s="63">
        <f t="array" ref="E2">D2*2.6</f>
        <v>0.1235</v>
      </c>
      <c r="F2" s="64" t="n"/>
      <c r="G2" s="27" t="n"/>
      <c r="H2" s="27" t="n"/>
      <c r="I2" s="27" t="n"/>
      <c r="J2" s="27" t="n"/>
      <c r="K2" s="27" t="n"/>
    </row>
    <row r="3" ht="13.65" customHeight="1" s="102">
      <c r="A3" s="32" t="inlineStr">
        <is>
          <t>2W</t>
        </is>
      </c>
      <c r="B3" s="63">
        <f t="array" ref="B3">C3*3.4</f>
        <v>0.4675</v>
      </c>
      <c r="C3" s="34" t="n">
        <v>0.1375</v>
      </c>
      <c r="D3" s="35" t="n">
        <v>0.1225</v>
      </c>
      <c r="E3" s="63">
        <f t="array" ref="E3">D3*1.8</f>
        <v>0.2205</v>
      </c>
      <c r="F3" s="64" t="n"/>
      <c r="G3" s="27" t="n"/>
      <c r="H3" s="27" t="n"/>
      <c r="I3" s="27" t="n"/>
      <c r="J3" s="27" t="n"/>
      <c r="K3" s="27" t="n"/>
    </row>
    <row r="4" ht="13.65" customHeight="1" s="102">
      <c r="A4" s="32" t="inlineStr">
        <is>
          <t>1M</t>
        </is>
      </c>
      <c r="B4" s="63">
        <f t="array" ref="B4">C4*3.4</f>
        <v>0.5695</v>
      </c>
      <c r="C4" s="34" t="n">
        <v>0.1675</v>
      </c>
      <c r="D4" s="35" t="n">
        <v>0.26</v>
      </c>
      <c r="E4" s="63">
        <f t="array" ref="E4">D4*1.8</f>
        <v>0.468</v>
      </c>
      <c r="F4" s="64" t="n"/>
      <c r="G4" s="27" t="n"/>
      <c r="H4" s="27" t="n"/>
      <c r="I4" s="27" t="n"/>
      <c r="J4" s="27" t="n"/>
      <c r="K4" s="27" t="n"/>
    </row>
    <row r="5" ht="13.65" customHeight="1" s="102">
      <c r="A5" s="32" t="inlineStr">
        <is>
          <t>2M</t>
        </is>
      </c>
      <c r="B5" s="63">
        <f t="array" ref="B5">C5*3.4</f>
        <v>0.663</v>
      </c>
      <c r="C5" s="34" t="n">
        <v>0.195</v>
      </c>
      <c r="D5" s="35" t="n">
        <v>0.36</v>
      </c>
      <c r="E5" s="63">
        <f t="array" ref="E5">D5*1.8</f>
        <v>0.648</v>
      </c>
      <c r="F5" s="64" t="n"/>
      <c r="G5" s="27" t="n"/>
      <c r="H5" s="27" t="n"/>
      <c r="I5" s="27" t="n"/>
      <c r="J5" s="27" t="n"/>
      <c r="K5" s="27" t="n"/>
    </row>
    <row r="6" ht="13.65" customHeight="1" s="102">
      <c r="A6" s="32" t="inlineStr">
        <is>
          <t>3M</t>
        </is>
      </c>
      <c r="B6" s="63">
        <f t="array" ref="B6">C6*3.4</f>
        <v>0.765</v>
      </c>
      <c r="C6" s="34" t="n">
        <v>0.225</v>
      </c>
      <c r="D6" s="35" t="n">
        <v>0.4625</v>
      </c>
      <c r="E6" s="63">
        <f t="array" ref="E6">D6*1.8</f>
        <v>0.8325</v>
      </c>
      <c r="F6" s="64" t="n"/>
      <c r="G6" s="27" t="n"/>
      <c r="H6" s="27" t="n"/>
      <c r="I6" s="27" t="n"/>
      <c r="J6" s="27" t="n"/>
      <c r="K6" s="27" t="n"/>
    </row>
    <row r="7" ht="13.65" customHeight="1" s="102">
      <c r="A7" s="32" t="inlineStr">
        <is>
          <t>6M</t>
        </is>
      </c>
      <c r="B7" s="63">
        <f t="array" ref="B7">C7*3.4</f>
        <v>0.867</v>
      </c>
      <c r="C7" s="34" t="n">
        <v>0.255</v>
      </c>
      <c r="D7" s="35" t="n">
        <v>0.6775</v>
      </c>
      <c r="E7" s="63">
        <f t="array" ref="E7">D7*1.8</f>
        <v>1.2195</v>
      </c>
      <c r="F7" s="64" t="n"/>
      <c r="G7" s="27" t="n"/>
      <c r="H7" s="27" t="n"/>
      <c r="I7" s="27" t="n"/>
      <c r="J7" s="27" t="n"/>
      <c r="K7" s="27" t="n"/>
    </row>
    <row r="8" ht="13.65" customHeight="1" s="102">
      <c r="A8" s="32" t="inlineStr">
        <is>
          <t>9M</t>
        </is>
      </c>
      <c r="B8" s="63">
        <f t="array" ref="B8">C8*3.4</f>
        <v>1.02</v>
      </c>
      <c r="C8" s="34" t="n">
        <v>0.3</v>
      </c>
      <c r="D8" s="35" t="n">
        <v>0.57</v>
      </c>
      <c r="E8" s="63">
        <f t="array" ref="E8">D8*1.8</f>
        <v>1.026</v>
      </c>
      <c r="F8" s="64" t="n"/>
      <c r="G8" s="27" t="n"/>
      <c r="H8" s="27" t="n"/>
      <c r="I8" s="27" t="n"/>
      <c r="J8" s="27" t="n"/>
      <c r="K8" s="27" t="n"/>
    </row>
    <row r="9" ht="13.65" customHeight="1" s="102">
      <c r="A9" s="32" t="inlineStr">
        <is>
          <t>1Y</t>
        </is>
      </c>
      <c r="B9" s="63">
        <f t="array" ref="B9">C9*3.4</f>
        <v>1.122</v>
      </c>
      <c r="C9" s="34" t="n">
        <v>0.33</v>
      </c>
      <c r="D9" s="35" t="n">
        <v>0.925</v>
      </c>
      <c r="E9" s="63">
        <f t="array" ref="E9">D9*1.8</f>
        <v>1.665</v>
      </c>
      <c r="F9" s="64" t="n"/>
      <c r="G9" s="27" t="n"/>
      <c r="H9" s="27" t="n"/>
      <c r="I9" s="27" t="n"/>
      <c r="J9" s="27" t="n"/>
      <c r="K9" s="27" t="n"/>
    </row>
    <row r="10" ht="13.65" customHeight="1" s="102">
      <c r="A10" s="32" t="inlineStr">
        <is>
          <t>2Y</t>
        </is>
      </c>
      <c r="B10" s="63">
        <f t="array" ref="B10">C10*3.4</f>
        <v>1.207</v>
      </c>
      <c r="C10" s="34" t="n">
        <v>0.355</v>
      </c>
      <c r="D10" s="35" t="n">
        <v>1.1225</v>
      </c>
      <c r="E10" s="63">
        <f t="array" ref="E10">D10*1.8</f>
        <v>2.0205</v>
      </c>
      <c r="F10" s="64" t="n"/>
      <c r="G10" s="27" t="n"/>
      <c r="H10" s="27" t="n"/>
      <c r="I10" s="27" t="n"/>
      <c r="J10" s="27" t="n"/>
      <c r="K10" s="27" t="n"/>
    </row>
    <row r="11" ht="13.65" customHeight="1" s="102">
      <c r="A11" s="27" t="n"/>
      <c r="B11" s="65" t="n"/>
      <c r="C11" s="27" t="n"/>
      <c r="D11" s="27" t="n"/>
      <c r="E11" s="65" t="n"/>
      <c r="F11" s="27" t="n"/>
      <c r="G11" s="27" t="n"/>
      <c r="H11" s="27" t="n"/>
      <c r="I11" s="27" t="n"/>
      <c r="J11" s="27" t="n"/>
      <c r="K11" s="27" t="n"/>
    </row>
    <row r="12" ht="13.65" customHeight="1" s="102">
      <c r="A12" s="27" t="n"/>
      <c r="B12" s="27" t="n"/>
      <c r="C12" s="27" t="n"/>
      <c r="D12" s="27" t="n"/>
      <c r="E12" s="27" t="n"/>
      <c r="F12" s="27" t="n"/>
      <c r="G12" s="27" t="n"/>
      <c r="H12" s="27" t="n"/>
      <c r="I12" s="27" t="n"/>
      <c r="J12" s="27" t="n"/>
      <c r="K12" s="27" t="n"/>
    </row>
    <row r="13" ht="13.65" customHeight="1" s="102">
      <c r="A13" s="27" t="n"/>
      <c r="B13" s="27" t="n"/>
      <c r="C13" s="27" t="n"/>
      <c r="D13" s="27" t="n"/>
      <c r="E13" s="27" t="n"/>
      <c r="F13" s="27" t="n"/>
      <c r="G13" s="27" t="n"/>
      <c r="H13" s="27" t="n"/>
      <c r="I13" s="27" t="n"/>
      <c r="J13" s="27" t="n"/>
      <c r="K13" s="27" t="n"/>
    </row>
    <row r="14" ht="13.65" customHeight="1" s="102">
      <c r="A14" s="27" t="n"/>
      <c r="B14" s="27" t="n"/>
      <c r="C14" s="27" t="n"/>
      <c r="D14" s="27" t="n"/>
      <c r="E14" s="27" t="n"/>
      <c r="F14" s="27" t="n"/>
      <c r="G14" s="27" t="n"/>
      <c r="H14" s="27" t="n"/>
      <c r="I14" s="27" t="n"/>
      <c r="J14" s="27" t="n"/>
      <c r="K14" s="27" t="n"/>
    </row>
    <row r="15" ht="13.65" customHeight="1" s="102">
      <c r="A15" s="27" t="n"/>
      <c r="B15" s="27" t="n"/>
      <c r="C15" s="27" t="n"/>
      <c r="D15" s="27" t="n"/>
      <c r="E15" s="27" t="n"/>
      <c r="F15" s="27" t="n"/>
      <c r="G15" s="27" t="n"/>
      <c r="H15" s="27" t="n"/>
      <c r="I15" s="27" t="n"/>
      <c r="J15" s="27" t="n"/>
      <c r="K15" s="27" t="n"/>
    </row>
    <row r="16" ht="13.65" customHeight="1" s="102">
      <c r="A16" s="27" t="n"/>
      <c r="B16" s="27" t="n"/>
      <c r="C16" s="27" t="n"/>
      <c r="D16" s="27" t="n"/>
      <c r="E16" s="27" t="n"/>
      <c r="F16" s="27" t="n"/>
      <c r="G16" s="27" t="n"/>
      <c r="H16" s="27" t="n"/>
      <c r="I16" s="27" t="n"/>
      <c r="J16" s="27" t="n"/>
      <c r="K16" s="27" t="n"/>
    </row>
    <row r="17" ht="13.65" customHeight="1" s="102">
      <c r="A17" s="27" t="n"/>
      <c r="B17" s="27" t="n"/>
      <c r="C17" s="27" t="n"/>
      <c r="D17" s="27" t="n"/>
      <c r="E17" s="27" t="n"/>
      <c r="F17" s="27" t="n"/>
      <c r="G17" s="27" t="n"/>
      <c r="H17" s="27" t="n"/>
      <c r="I17" s="27" t="n"/>
      <c r="J17" s="27" t="n"/>
      <c r="K17" s="27" t="n"/>
    </row>
    <row r="18" ht="13.65" customHeight="1" s="102">
      <c r="A18" s="27" t="n"/>
      <c r="B18" s="27" t="n"/>
      <c r="C18" s="27" t="n"/>
      <c r="D18" s="27" t="n"/>
      <c r="E18" s="27" t="n"/>
      <c r="F18" s="27" t="n"/>
      <c r="G18" s="27" t="n"/>
      <c r="H18" s="27" t="n"/>
      <c r="I18" s="27" t="n"/>
      <c r="J18" s="27" t="n"/>
      <c r="K18" s="27" t="n"/>
    </row>
    <row r="19" ht="13.65" customHeight="1" s="102">
      <c r="A19" s="27" t="n"/>
      <c r="B19" s="27" t="n"/>
      <c r="C19" s="27" t="n"/>
      <c r="D19" s="27" t="n"/>
      <c r="E19" s="27" t="n"/>
      <c r="F19" s="27" t="n"/>
      <c r="G19" s="27" t="n"/>
      <c r="H19" s="27" t="n"/>
      <c r="I19" s="27" t="n"/>
      <c r="J19" s="27" t="n"/>
      <c r="K19" s="27" t="n"/>
    </row>
    <row r="20" ht="13.65" customHeight="1" s="102">
      <c r="A20" s="27" t="n"/>
      <c r="B20" s="27" t="n"/>
      <c r="C20" s="27" t="n"/>
      <c r="D20" s="27" t="n"/>
      <c r="E20" s="27" t="n"/>
      <c r="F20" s="27" t="n"/>
      <c r="G20" s="27" t="n"/>
      <c r="H20" s="27" t="n"/>
      <c r="I20" s="27" t="n"/>
      <c r="J20" s="27" t="n"/>
      <c r="K20" s="109" t="n"/>
    </row>
    <row r="21" ht="13.65" customHeight="1" s="102">
      <c r="A21" s="27" t="n"/>
      <c r="B21" s="27" t="n"/>
      <c r="C21" s="27" t="n"/>
      <c r="D21" s="27" t="n"/>
      <c r="E21" s="27" t="n"/>
      <c r="F21" s="27" t="n"/>
      <c r="G21" s="27" t="n"/>
      <c r="H21" s="27" t="n"/>
      <c r="I21" s="27" t="n"/>
      <c r="J21" s="27" t="n"/>
      <c r="K21" s="109" t="n"/>
    </row>
    <row r="22" ht="13.65" customHeight="1" s="102">
      <c r="A22" s="27" t="n"/>
      <c r="B22" s="27" t="n"/>
      <c r="C22" s="27" t="n"/>
      <c r="D22" s="27" t="n"/>
      <c r="E22" s="27" t="n"/>
      <c r="F22" s="27" t="n"/>
      <c r="G22" s="27" t="n"/>
      <c r="H22" s="27" t="n"/>
      <c r="I22" s="27" t="n"/>
      <c r="J22" s="27" t="n"/>
      <c r="K22" s="109"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8">
        <f t="array" ref="B2">C2*3.25</f>
        <v>0.706875</v>
      </c>
      <c r="C2" s="34" t="n">
        <v>0.2175</v>
      </c>
      <c r="D2" s="35" t="n">
        <v>-1.25</v>
      </c>
      <c r="E2" s="69">
        <f t="array" ref="E2">D2*1.825</f>
        <v>-2.28125</v>
      </c>
    </row>
    <row r="3" ht="13.65" customHeight="1" s="102">
      <c r="A3" s="32" t="inlineStr">
        <is>
          <t>2W</t>
        </is>
      </c>
      <c r="B3" s="68">
        <f t="array" ref="B3">C3*3.25</f>
        <v>0.755625</v>
      </c>
      <c r="C3" s="34" t="n">
        <v>0.2325</v>
      </c>
      <c r="D3" s="35" t="n">
        <v>-1.2925</v>
      </c>
      <c r="E3" s="69">
        <f t="array" ref="E3">D3*1.825</f>
        <v>-2.3588125</v>
      </c>
    </row>
    <row r="4" ht="13.65" customHeight="1" s="102">
      <c r="A4" s="32" t="inlineStr">
        <is>
          <t>3W</t>
        </is>
      </c>
      <c r="B4" s="68">
        <f t="array" ref="B4">C4*3.25</f>
        <v>1.105</v>
      </c>
      <c r="C4" s="34" t="n">
        <v>0.34</v>
      </c>
      <c r="D4" s="35" t="n">
        <v>-1.2975</v>
      </c>
      <c r="E4" s="69">
        <f t="array" ref="E4">D4*1.825</f>
        <v>-2.3679375</v>
      </c>
    </row>
    <row r="5" ht="13.65" customHeight="1" s="102">
      <c r="A5" s="32" t="inlineStr">
        <is>
          <t>1M</t>
        </is>
      </c>
      <c r="B5" s="68">
        <f t="array" ref="B5">C5*3.75</f>
        <v>0.965625</v>
      </c>
      <c r="C5" s="34" t="n">
        <v>0.2575</v>
      </c>
      <c r="D5" s="35" t="n">
        <v>-1.47</v>
      </c>
      <c r="E5" s="69">
        <f t="array" ref="E5">D5*1.825</f>
        <v>-2.68275</v>
      </c>
    </row>
    <row r="6" ht="13.65" customHeight="1" s="102">
      <c r="A6" s="32" t="inlineStr">
        <is>
          <t>2M</t>
        </is>
      </c>
      <c r="B6" s="68">
        <f t="array" ref="B6">4*C6</f>
        <v>1.26</v>
      </c>
      <c r="C6" s="34" t="n">
        <v>0.315</v>
      </c>
      <c r="D6" s="35" t="n">
        <v>-1.84</v>
      </c>
      <c r="E6" s="69">
        <f t="array" ref="E6">D6*1.825</f>
        <v>-3.358</v>
      </c>
    </row>
    <row r="7" ht="13.65" customHeight="1" s="102">
      <c r="A7" s="32" t="inlineStr">
        <is>
          <t>3M</t>
        </is>
      </c>
      <c r="B7" s="68">
        <f t="array" ref="B7">4*C7</f>
        <v>1.41</v>
      </c>
      <c r="C7" s="34" t="n">
        <v>0.3525</v>
      </c>
      <c r="D7" s="35" t="n">
        <v>-2.1575</v>
      </c>
      <c r="E7" s="69">
        <f t="array" ref="E7">D7*1.825</f>
        <v>-3.9374375</v>
      </c>
    </row>
    <row r="8" ht="13.65" customHeight="1" s="102">
      <c r="A8" s="32" t="inlineStr">
        <is>
          <t>6M</t>
        </is>
      </c>
      <c r="B8" s="68">
        <f t="array" ref="B8">4*C8</f>
        <v>1.68</v>
      </c>
      <c r="C8" s="34" t="n">
        <v>0.42</v>
      </c>
      <c r="D8" s="35" t="n">
        <v>-2.5675</v>
      </c>
      <c r="E8" s="69">
        <f t="array" ref="E8">D8*1.825</f>
        <v>-4.6856875</v>
      </c>
    </row>
    <row r="9" ht="13.65" customHeight="1" s="102">
      <c r="A9" s="32" t="inlineStr">
        <is>
          <t>9M</t>
        </is>
      </c>
      <c r="B9" s="68">
        <f t="array" ref="B9">4*C9</f>
        <v>1.87</v>
      </c>
      <c r="C9" s="34" t="n">
        <v>0.4675</v>
      </c>
      <c r="D9" s="35" t="n">
        <v>-2.735</v>
      </c>
      <c r="E9" s="69">
        <f t="array" ref="E9">D9*1.825</f>
        <v>-4.991375</v>
      </c>
    </row>
    <row r="10" ht="13.65" customHeight="1" s="102">
      <c r="A10" s="32" t="inlineStr">
        <is>
          <t>1Y</t>
        </is>
      </c>
      <c r="B10" s="68">
        <f t="array" ref="B10">4.25*C10</f>
        <v>2.135625</v>
      </c>
      <c r="C10" s="34" t="n">
        <v>0.5024999999999999</v>
      </c>
      <c r="D10" s="35" t="n">
        <v>-2.875</v>
      </c>
      <c r="E10" s="69">
        <f t="array" ref="E10">D10*1.825</f>
        <v>-5.246875</v>
      </c>
    </row>
    <row r="11" ht="13.65" customHeight="1" s="102">
      <c r="A11" s="32" t="inlineStr">
        <is>
          <t>2Y</t>
        </is>
      </c>
      <c r="B11" s="70">
        <f t="array" ref="B11">4.25*C11</f>
        <v>2.295</v>
      </c>
      <c r="C11" s="34" t="n">
        <v>0.54</v>
      </c>
      <c r="D11" s="35" t="n">
        <v>-3.34</v>
      </c>
      <c r="E11" s="71">
        <f t="array" ref="E11">D11*1.825</f>
        <v>-6.0955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8">
        <f t="array" ref="B2">3.25*C2</f>
        <v>0.6175</v>
      </c>
      <c r="C2" s="34" t="n">
        <v>0.19</v>
      </c>
      <c r="D2" s="35" t="n">
        <v>-0.43</v>
      </c>
      <c r="E2" s="69">
        <f t="array" ref="E2">D2*1.8</f>
        <v>-0.774</v>
      </c>
    </row>
    <row r="3" ht="13.65" customHeight="1" s="102">
      <c r="A3" s="32" t="inlineStr">
        <is>
          <t>2W</t>
        </is>
      </c>
      <c r="B3" s="68">
        <f t="array" ref="B3">3.25*C3</f>
        <v>0.65</v>
      </c>
      <c r="C3" s="34" t="n">
        <v>0.2</v>
      </c>
      <c r="D3" s="35" t="n">
        <v>-0.415</v>
      </c>
      <c r="E3" s="69">
        <f t="array" ref="E3">D3*1.8</f>
        <v>-0.747</v>
      </c>
    </row>
    <row r="4" ht="13.65" customHeight="1" s="102">
      <c r="A4" s="32" t="inlineStr">
        <is>
          <t>3W</t>
        </is>
      </c>
      <c r="B4" s="68">
        <f t="array" ref="B4">3.25*C4</f>
        <v>0.6175</v>
      </c>
      <c r="C4" s="34" t="n">
        <v>0.19</v>
      </c>
      <c r="D4" s="35" t="n">
        <v>-0.37</v>
      </c>
      <c r="E4" s="69">
        <f t="array" ref="E4">D4*1.8</f>
        <v>-0.666</v>
      </c>
    </row>
    <row r="5" ht="13.65" customHeight="1" s="102">
      <c r="A5" s="32" t="inlineStr">
        <is>
          <t>1M</t>
        </is>
      </c>
      <c r="B5" s="68">
        <f t="array" ref="B5">3.25*C5</f>
        <v>0.76375</v>
      </c>
      <c r="C5" s="34" t="n">
        <v>0.235</v>
      </c>
      <c r="D5" s="35" t="n">
        <v>-0.475</v>
      </c>
      <c r="E5" s="69">
        <f t="array" ref="E5">D5*1.8</f>
        <v>-0.855</v>
      </c>
    </row>
    <row r="6" ht="13.65" customHeight="1" s="102">
      <c r="A6" s="32" t="inlineStr">
        <is>
          <t>2M</t>
        </is>
      </c>
      <c r="B6" s="68">
        <f t="array" ref="B6">3.25*C6</f>
        <v>0.869375</v>
      </c>
      <c r="C6" s="34" t="n">
        <v>0.2675</v>
      </c>
      <c r="D6" s="35" t="n">
        <v>-0.6625</v>
      </c>
      <c r="E6" s="69">
        <f t="array" ref="E6">D6*1.8</f>
        <v>-1.1925</v>
      </c>
    </row>
    <row r="7" ht="13.65" customHeight="1" s="102">
      <c r="A7" s="32" t="inlineStr">
        <is>
          <t>3M</t>
        </is>
      </c>
      <c r="B7" s="68">
        <f t="array" ref="B7">3.25*C7</f>
        <v>0.950625</v>
      </c>
      <c r="C7" s="34" t="n">
        <v>0.2925</v>
      </c>
      <c r="D7" s="35" t="n">
        <v>-0.8275</v>
      </c>
      <c r="E7" s="69">
        <f t="array" ref="E7">D7*1.825</f>
        <v>-1.5101875</v>
      </c>
    </row>
    <row r="8" ht="13.65" customHeight="1" s="102">
      <c r="A8" s="32" t="inlineStr">
        <is>
          <t>6M</t>
        </is>
      </c>
      <c r="B8" s="68">
        <f t="array" ref="B8">3.25*C8</f>
        <v>1.129375</v>
      </c>
      <c r="C8" s="34" t="n">
        <v>0.3475</v>
      </c>
      <c r="D8" s="35" t="n">
        <v>-1.0925</v>
      </c>
      <c r="E8" s="69">
        <f t="array" ref="E8">D8*1.825</f>
        <v>-1.9938125</v>
      </c>
    </row>
    <row r="9" ht="13.65" customHeight="1" s="102">
      <c r="A9" s="32" t="inlineStr">
        <is>
          <t>9M</t>
        </is>
      </c>
      <c r="B9" s="68">
        <f t="array" ref="B9">3.25*C9</f>
        <v>1.259375</v>
      </c>
      <c r="C9" s="34" t="n">
        <v>0.3875</v>
      </c>
      <c r="D9" s="35" t="n">
        <v>-1.2925</v>
      </c>
      <c r="E9" s="69">
        <f t="array" ref="E9">D9*1.825</f>
        <v>-2.3588125</v>
      </c>
    </row>
    <row r="10" ht="13.65" customHeight="1" s="102">
      <c r="A10" s="32" t="inlineStr">
        <is>
          <t>1Y</t>
        </is>
      </c>
      <c r="B10" s="68">
        <f t="array" ref="B10">3.25*C10</f>
        <v>1.291875</v>
      </c>
      <c r="C10" s="34" t="n">
        <v>0.3975</v>
      </c>
      <c r="D10" s="35" t="n">
        <v>-1.3775</v>
      </c>
      <c r="E10" s="69">
        <f t="array" ref="E10">D10*1.825</f>
        <v>-2.5139375</v>
      </c>
    </row>
    <row r="11" ht="13.65" customHeight="1" s="102">
      <c r="A11" s="32" t="inlineStr">
        <is>
          <t>2Y</t>
        </is>
      </c>
      <c r="B11" s="70">
        <f t="array" ref="B11">3.25*C11</f>
        <v>1.3975</v>
      </c>
      <c r="C11" s="34" t="n">
        <v>0.43</v>
      </c>
      <c r="D11" s="35" t="n">
        <v>-1.685</v>
      </c>
      <c r="E11" s="73">
        <f t="array" ref="E11">D11*1.75</f>
        <v>-2.94875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f>
        <v>0.4425</v>
      </c>
      <c r="C2" s="34" t="n">
        <v>0.1475</v>
      </c>
      <c r="D2" s="35" t="n">
        <v>-0.18</v>
      </c>
      <c r="E2" s="36">
        <f t="array" ref="E2">D2*1.75</f>
        <v>-0.315</v>
      </c>
    </row>
    <row r="3" ht="13.65" customHeight="1" s="102">
      <c r="A3" s="32" t="inlineStr">
        <is>
          <t>2W</t>
        </is>
      </c>
      <c r="B3" s="33">
        <f t="array" ref="B3">C3*3</f>
        <v>0.4575</v>
      </c>
      <c r="C3" s="34" t="n">
        <v>0.1525</v>
      </c>
      <c r="D3" s="35" t="n">
        <v>-0.165</v>
      </c>
      <c r="E3" s="36">
        <f t="array" ref="E3">D3*1.75</f>
        <v>-0.28875</v>
      </c>
    </row>
    <row r="4" ht="13.65" customHeight="1" s="102">
      <c r="A4" s="32" t="inlineStr">
        <is>
          <t>3W</t>
        </is>
      </c>
      <c r="B4" s="33">
        <f t="array" ref="B4">C4*3</f>
        <v>0.4875</v>
      </c>
      <c r="C4" s="34" t="n">
        <v>0.1625</v>
      </c>
      <c r="D4" s="35" t="n">
        <v>-0.1775</v>
      </c>
      <c r="E4" s="36">
        <f t="array" ref="E4">D4*1.75</f>
        <v>-0.310625</v>
      </c>
    </row>
    <row r="5" ht="13.65" customHeight="1" s="102">
      <c r="A5" s="32" t="inlineStr">
        <is>
          <t>1M</t>
        </is>
      </c>
      <c r="B5" s="33">
        <f t="array" ref="B5">C5*3</f>
        <v>0.5175</v>
      </c>
      <c r="C5" s="34" t="n">
        <v>0.1725</v>
      </c>
      <c r="D5" s="35" t="n">
        <v>-0.1225</v>
      </c>
      <c r="E5" s="36">
        <f t="array" ref="E5">D5*1.75</f>
        <v>-0.214375</v>
      </c>
    </row>
    <row r="6" ht="13.65" customHeight="1" s="102">
      <c r="A6" s="32" t="inlineStr">
        <is>
          <t>2M</t>
        </is>
      </c>
      <c r="B6" s="33">
        <f t="array" ref="B6">C6*3</f>
        <v>0.585</v>
      </c>
      <c r="C6" s="34" t="n">
        <v>0.195</v>
      </c>
      <c r="D6" s="35" t="n">
        <v>-0.1025</v>
      </c>
      <c r="E6" s="36">
        <f t="array" ref="E6">D6*1.75</f>
        <v>-0.179375</v>
      </c>
    </row>
    <row r="7" ht="13.65" customHeight="1" s="102">
      <c r="A7" s="32" t="inlineStr">
        <is>
          <t>3M</t>
        </is>
      </c>
      <c r="B7" s="33">
        <f t="array" ref="B7">C7*3</f>
        <v>0.6375</v>
      </c>
      <c r="C7" s="34" t="n">
        <v>0.2125</v>
      </c>
      <c r="D7" s="35" t="n">
        <v>-0.0925</v>
      </c>
      <c r="E7" s="36">
        <f t="array" ref="E7">D7*1.8</f>
        <v>-0.1665</v>
      </c>
    </row>
    <row r="8" ht="13.65" customHeight="1" s="102">
      <c r="A8" s="32" t="inlineStr">
        <is>
          <t>6M</t>
        </is>
      </c>
      <c r="B8" s="33">
        <f t="array" ref="B8">C8*3.25</f>
        <v>0.8775</v>
      </c>
      <c r="C8" s="34" t="n">
        <v>0.27</v>
      </c>
      <c r="D8" s="35" t="n">
        <v>-0.04</v>
      </c>
      <c r="E8" s="36">
        <f t="array" ref="E8">D8*1.8</f>
        <v>-0.072</v>
      </c>
    </row>
    <row r="9" ht="13.65" customHeight="1" s="102">
      <c r="A9" s="32" t="inlineStr">
        <is>
          <t>9M</t>
        </is>
      </c>
      <c r="B9" s="33">
        <f t="array" ref="B9">C9*3.5</f>
        <v>1.04125</v>
      </c>
      <c r="C9" s="34" t="n">
        <v>0.2975</v>
      </c>
      <c r="D9" s="35" t="n">
        <v>0.0025</v>
      </c>
      <c r="E9" s="36">
        <f t="array" ref="E9">D9*1.825</f>
        <v>0.0045625</v>
      </c>
    </row>
    <row r="10" ht="13.65" customHeight="1" s="102">
      <c r="A10" s="32" t="inlineStr">
        <is>
          <t>1Y</t>
        </is>
      </c>
      <c r="B10" s="33">
        <f t="array" ref="B10">C10*3.55</f>
        <v>1.144875</v>
      </c>
      <c r="C10" s="34" t="n">
        <v>0.3225</v>
      </c>
      <c r="D10" s="35" t="n">
        <v>0.025</v>
      </c>
      <c r="E10" s="36">
        <f t="array" ref="E10">D10*1.85</f>
        <v>0.04625</v>
      </c>
    </row>
    <row r="11" ht="13.65" customHeight="1" s="102">
      <c r="A11" s="32" t="inlineStr">
        <is>
          <t>2Y</t>
        </is>
      </c>
      <c r="B11" s="37">
        <f t="array" ref="B11">C11*3.55</f>
        <v>1.207</v>
      </c>
      <c r="C11" s="34" t="n">
        <v>0.34</v>
      </c>
      <c r="D11" s="35" t="n">
        <v>-0.055</v>
      </c>
      <c r="E11" s="38">
        <f t="array" ref="E11">D11*2.15</f>
        <v>-0.11825</v>
      </c>
    </row>
  </sheetData>
  <pageMargins left="0.7875" right="0.7875" top="1.025" bottom="1.025" header="0.7875" footer="0.7875"/>
  <pageSetup orientation="portrait" scale="100" fitToHeight="1" fitToWidth="1" firstPageNumber="1" useFirstPageNumber="0" pageOrder="downThenOver"/>
  <headerFooter>
    <oddHeader>&amp;C&amp;"Arial,Regular"&amp;10 &amp;K000000EURUSD</oddHeader>
    <oddFooter>&amp;C&amp;"Arial,Regular"&amp;10 &amp;K000000Page &amp;P</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8">
        <f t="array" ref="B2">C2*3</f>
        <v>0.8175</v>
      </c>
      <c r="C2" s="34" t="n">
        <v>0.2725</v>
      </c>
      <c r="D2" s="35" t="n">
        <v>-0.9175</v>
      </c>
      <c r="E2" s="69">
        <f t="array" ref="E2">D2*1.8</f>
        <v>-1.6515</v>
      </c>
    </row>
    <row r="3" ht="13.65" customHeight="1" s="102">
      <c r="A3" s="32" t="inlineStr">
        <is>
          <t>2W</t>
        </is>
      </c>
      <c r="B3" s="68">
        <f t="array" ref="B3">C3*3</f>
        <v>0.8775</v>
      </c>
      <c r="C3" s="34" t="n">
        <v>0.2925</v>
      </c>
      <c r="D3" s="35" t="n">
        <v>-1.0425</v>
      </c>
      <c r="E3" s="69">
        <f t="array" ref="E3">D3*1.8</f>
        <v>-1.8765</v>
      </c>
    </row>
    <row r="4" ht="13.65" customHeight="1" s="102">
      <c r="A4" s="32" t="inlineStr">
        <is>
          <t>3W</t>
        </is>
      </c>
      <c r="B4" s="68">
        <f t="array" ref="B4">C4*3</f>
        <v>0.93</v>
      </c>
      <c r="C4" s="34" t="n">
        <v>0.31</v>
      </c>
      <c r="D4" s="35" t="n">
        <v>-1.205</v>
      </c>
      <c r="E4" s="69">
        <f t="array" ref="E4">D4*1.8</f>
        <v>-2.169</v>
      </c>
    </row>
    <row r="5" ht="13.65" customHeight="1" s="102">
      <c r="A5" s="32" t="inlineStr">
        <is>
          <t>1M</t>
        </is>
      </c>
      <c r="B5" s="68">
        <f t="array" ref="B5">C5*3</f>
        <v>1.02</v>
      </c>
      <c r="C5" s="34" t="n">
        <v>0.34</v>
      </c>
      <c r="D5" s="35" t="n">
        <v>-1.295</v>
      </c>
      <c r="E5" s="69">
        <f t="array" ref="E5">D5*1.825</f>
        <v>-2.363375</v>
      </c>
    </row>
    <row r="6" ht="13.65" customHeight="1" s="102">
      <c r="A6" s="32" t="inlineStr">
        <is>
          <t>2M</t>
        </is>
      </c>
      <c r="B6" s="68">
        <f t="array" ref="B6">C6*3</f>
        <v>1.11</v>
      </c>
      <c r="C6" s="34" t="n">
        <v>0.37</v>
      </c>
      <c r="D6" s="35" t="n">
        <v>-1.425</v>
      </c>
      <c r="E6" s="69">
        <f t="array" ref="E6">D6*1.825</f>
        <v>-2.600625</v>
      </c>
    </row>
    <row r="7" ht="13.65" customHeight="1" s="102">
      <c r="A7" s="32" t="inlineStr">
        <is>
          <t>3M</t>
        </is>
      </c>
      <c r="B7" s="68">
        <f t="array" ref="B7">C7*3</f>
        <v>1.1925</v>
      </c>
      <c r="C7" s="34" t="n">
        <v>0.3975</v>
      </c>
      <c r="D7" s="35" t="n">
        <v>-1.4875</v>
      </c>
      <c r="E7" s="69">
        <f t="array" ref="E7">D7*1.825</f>
        <v>-2.7146875</v>
      </c>
    </row>
    <row r="8" ht="13.65" customHeight="1" s="102">
      <c r="A8" s="32" t="inlineStr">
        <is>
          <t>6M</t>
        </is>
      </c>
      <c r="B8" s="68">
        <f t="array" ref="B8">C8*3</f>
        <v>1.3125</v>
      </c>
      <c r="C8" s="34" t="n">
        <v>0.4375</v>
      </c>
      <c r="D8" s="35" t="n">
        <v>-1.6475</v>
      </c>
      <c r="E8" s="69">
        <f t="array" ref="E8">D8*1.825</f>
        <v>-3.0066875</v>
      </c>
    </row>
    <row r="9" ht="13.65" customHeight="1" s="102">
      <c r="A9" s="32" t="inlineStr">
        <is>
          <t>9M</t>
        </is>
      </c>
      <c r="B9" s="68">
        <f t="array" ref="B9">C9*3</f>
        <v>1.3575</v>
      </c>
      <c r="C9" s="34" t="n">
        <v>0.4525</v>
      </c>
      <c r="D9" s="35" t="n">
        <v>-1.7175</v>
      </c>
      <c r="E9" s="69">
        <f t="array" ref="E9">D9*1.85</f>
        <v>-3.177375</v>
      </c>
    </row>
    <row r="10" ht="13.65" customHeight="1" s="102">
      <c r="A10" s="32" t="inlineStr">
        <is>
          <t>1Y</t>
        </is>
      </c>
      <c r="B10" s="68">
        <f t="array" ref="B10">C10*3</f>
        <v>1.4025</v>
      </c>
      <c r="C10" s="34" t="n">
        <v>0.4675</v>
      </c>
      <c r="D10" s="35" t="n">
        <v>-1.7675</v>
      </c>
      <c r="E10" s="69">
        <f t="array" ref="E10">D10*1.85</f>
        <v>-3.269875</v>
      </c>
    </row>
    <row r="11" ht="13.65" customHeight="1" s="102">
      <c r="A11" s="32" t="inlineStr">
        <is>
          <t>2Y</t>
        </is>
      </c>
      <c r="B11" s="70">
        <f t="array" ref="B11">C11*3</f>
        <v>1.47</v>
      </c>
      <c r="C11" s="34" t="n">
        <v>0.49</v>
      </c>
      <c r="D11" s="35" t="n">
        <v>-1.75</v>
      </c>
      <c r="E11" s="71">
        <f t="array" ref="E11">D11*1.85</f>
        <v>-3.2375</v>
      </c>
    </row>
  </sheetData>
  <pageMargins left="0.7875" right="0.7875" top="1.025" bottom="1.025" header="0.7875" footer="0.7875"/>
  <pageSetup orientation="portrait" scale="100" fitToHeight="1" fitToWidth="1" firstPageNumber="1" useFirstPageNumber="0" pageOrder="downThenOver"/>
  <headerFooter>
    <oddHeader>&amp;C&amp;"Arial,Regular"&amp;10 &amp;K000000AUDUSD</oddHeader>
    <oddFooter>&amp;C&amp;"Arial,Regular"&amp;10 &amp;K000000Page &amp;P</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3">
        <f t="array" ref="B2">C2*3</f>
        <v>0.6525</v>
      </c>
      <c r="C2" s="34" t="n">
        <v>0.2175</v>
      </c>
      <c r="D2" s="35" t="n">
        <v>-0.0275</v>
      </c>
      <c r="E2" s="36">
        <f t="array" ref="E2">1.85*D2</f>
        <v>-0.050875</v>
      </c>
    </row>
    <row r="3" ht="13.65" customHeight="1" s="102">
      <c r="A3" s="32" t="inlineStr">
        <is>
          <t>2W</t>
        </is>
      </c>
      <c r="B3" s="63">
        <f t="array" ref="B3">C3*3</f>
        <v>0.675</v>
      </c>
      <c r="C3" s="34" t="n">
        <v>0.225</v>
      </c>
      <c r="D3" s="35" t="n">
        <v>-0.11</v>
      </c>
      <c r="E3" s="36">
        <f t="array" ref="E3">1.85*D3</f>
        <v>-0.2035</v>
      </c>
    </row>
    <row r="4" ht="13.65" customHeight="1" s="102">
      <c r="A4" s="32" t="inlineStr">
        <is>
          <t>3W</t>
        </is>
      </c>
      <c r="B4" s="63">
        <f t="array" ref="B4">C4*3</f>
        <v>0.735</v>
      </c>
      <c r="C4" s="34" t="n">
        <v>0.245</v>
      </c>
      <c r="D4" s="35" t="n">
        <v>-0.1475</v>
      </c>
      <c r="E4" s="36">
        <f t="array" ref="E4">1.85*D4</f>
        <v>-0.272875</v>
      </c>
    </row>
    <row r="5" ht="13.65" customHeight="1" s="102">
      <c r="A5" s="32" t="inlineStr">
        <is>
          <t>1M</t>
        </is>
      </c>
      <c r="B5" s="63">
        <f t="array" ref="B5">C5*3</f>
        <v>0.72</v>
      </c>
      <c r="C5" s="34" t="n">
        <v>0.24</v>
      </c>
      <c r="D5" s="35" t="n">
        <v>-0.24</v>
      </c>
      <c r="E5" s="36">
        <f t="array" ref="E5">1.85*D5</f>
        <v>-0.444</v>
      </c>
    </row>
    <row r="6" ht="13.65" customHeight="1" s="102">
      <c r="A6" s="32" t="inlineStr">
        <is>
          <t>2M</t>
        </is>
      </c>
      <c r="B6" s="63">
        <f t="array" ref="B6">C6*3</f>
        <v>0.8025</v>
      </c>
      <c r="C6" s="34" t="n">
        <v>0.2675</v>
      </c>
      <c r="D6" s="35" t="n">
        <v>-0.4575</v>
      </c>
      <c r="E6" s="36">
        <f t="array" ref="E6">1.85*D6</f>
        <v>-0.846375</v>
      </c>
    </row>
    <row r="7" ht="13.65" customHeight="1" s="102">
      <c r="A7" s="32" t="inlineStr">
        <is>
          <t>3M</t>
        </is>
      </c>
      <c r="B7" s="63">
        <f t="array" ref="B7">C7*3</f>
        <v>0.87</v>
      </c>
      <c r="C7" s="34" t="n">
        <v>0.29</v>
      </c>
      <c r="D7" s="35" t="n">
        <v>-0.645</v>
      </c>
      <c r="E7" s="36">
        <f t="array" ref="E7">1.85*D7</f>
        <v>-1.19325</v>
      </c>
    </row>
    <row r="8" ht="13.65" customHeight="1" s="102">
      <c r="A8" s="32" t="inlineStr">
        <is>
          <t>6M</t>
        </is>
      </c>
      <c r="B8" s="63">
        <f t="array" ref="B8">C8*3</f>
        <v>0.99</v>
      </c>
      <c r="C8" s="34" t="n">
        <v>0.33</v>
      </c>
      <c r="D8" s="35" t="n">
        <v>-0.9575</v>
      </c>
      <c r="E8" s="77">
        <f t="array" ref="E8">D8*2</f>
        <v>-1.915</v>
      </c>
    </row>
    <row r="9" ht="13.65" customHeight="1" s="102">
      <c r="A9" s="32" t="inlineStr">
        <is>
          <t>9M</t>
        </is>
      </c>
      <c r="B9" s="63">
        <f t="array" ref="B9">C9*3</f>
        <v>1.065</v>
      </c>
      <c r="C9" s="34" t="n">
        <v>0.355</v>
      </c>
      <c r="D9" s="35" t="n">
        <v>-1.0925</v>
      </c>
      <c r="E9" s="36">
        <f t="array" ref="E9">1.875*D9</f>
        <v>-2.0484375</v>
      </c>
    </row>
    <row r="10" ht="13.65" customHeight="1" s="102">
      <c r="A10" s="32" t="inlineStr">
        <is>
          <t>1Y</t>
        </is>
      </c>
      <c r="B10" s="78">
        <f t="array" ref="B10">3.25*C10</f>
        <v>1.2025</v>
      </c>
      <c r="C10" s="34" t="n">
        <v>0.37</v>
      </c>
      <c r="D10" s="35" t="n">
        <v>-1.19</v>
      </c>
      <c r="E10" s="36">
        <f t="array" ref="E10">1.875*D10</f>
        <v>-2.23125</v>
      </c>
    </row>
    <row r="11" ht="13.65" customHeight="1" s="102">
      <c r="A11" s="32" t="inlineStr">
        <is>
          <t>2Y</t>
        </is>
      </c>
      <c r="B11" s="79">
        <f t="array" ref="B11">3.5*C11</f>
        <v>1.4525</v>
      </c>
      <c r="C11" s="34" t="n">
        <v>0.415</v>
      </c>
      <c r="D11" s="35" t="n">
        <v>-1.42</v>
      </c>
      <c r="E11" s="38">
        <f t="array" ref="E11">1.875*D11</f>
        <v>-2.6625</v>
      </c>
    </row>
  </sheetData>
  <pageMargins left="0.7875" right="0.7875" top="1.025" bottom="1.025" header="0.7875" footer="0.7875"/>
  <pageSetup orientation="portrait" scale="100" fitToHeight="1" fitToWidth="1" firstPageNumber="1" useFirstPageNumber="0" pageOrder="downThenOver"/>
  <headerFooter>
    <oddHeader>&amp;C&amp;"Arial,Regular"&amp;10 &amp;K000000USDJPY</oddHeader>
    <oddFooter>&amp;C&amp;"Arial,Regular"&amp;10 &amp;K000000Page &amp;P</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U30"/>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7"/>
    <col width="10.3516" customWidth="1" style="99" min="8" max="8"/>
    <col width="8.851559999999999" customWidth="1" style="99" min="9" max="11"/>
    <col width="12.8516" customWidth="1" style="99" min="12" max="12"/>
    <col width="15" customWidth="1" style="99" min="13" max="13"/>
    <col width="8.851559999999999" customWidth="1" style="99" min="14" max="14"/>
    <col width="12.8516" customWidth="1" style="99" min="15" max="15"/>
    <col width="8.851559999999999" customWidth="1" style="99" min="16" max="21"/>
    <col width="8.851559999999999" customWidth="1" style="99" min="22" max="16384"/>
  </cols>
  <sheetData>
    <row r="1" ht="13.65" customHeight="1" s="102">
      <c r="A1" s="29" t="inlineStr">
        <is>
          <t>expiry</t>
        </is>
      </c>
      <c r="B1" s="31" t="inlineStr">
        <is>
          <t>ST 10D</t>
        </is>
      </c>
      <c r="C1" s="29" t="inlineStr">
        <is>
          <t>ST 25D</t>
        </is>
      </c>
      <c r="D1" s="29" t="inlineStr">
        <is>
          <t>RR 25D</t>
        </is>
      </c>
      <c r="E1" s="31" t="inlineStr">
        <is>
          <t>RR 10D</t>
        </is>
      </c>
      <c r="F1" s="27" t="n"/>
      <c r="G1" s="27" t="n"/>
      <c r="H1" s="27" t="n"/>
      <c r="I1" s="27" t="n"/>
      <c r="J1" s="27" t="n"/>
      <c r="K1" s="27" t="n"/>
      <c r="L1" s="27" t="n"/>
      <c r="M1" s="27" t="n"/>
      <c r="N1" s="27" t="n"/>
      <c r="O1" s="27" t="n"/>
      <c r="P1" s="27" t="n"/>
      <c r="Q1" s="27" t="n"/>
      <c r="R1" s="27" t="n"/>
      <c r="S1" s="27" t="n"/>
      <c r="T1" s="27" t="n"/>
      <c r="U1" s="27" t="n"/>
    </row>
    <row r="2" ht="13.65" customHeight="1" s="102">
      <c r="A2" s="32" t="inlineStr">
        <is>
          <t>1W</t>
        </is>
      </c>
      <c r="B2" s="103">
        <f t="array" ref="B2">C2*3.4</f>
        <v>0.6205</v>
      </c>
      <c r="C2" s="104" t="n">
        <v>0.1825</v>
      </c>
      <c r="D2" s="105" t="n">
        <v>0.385</v>
      </c>
      <c r="E2" s="103">
        <f t="array" ref="E2">D2*2.05</f>
        <v>0.78925</v>
      </c>
      <c r="F2" s="64" t="n"/>
      <c r="G2" s="27" t="n"/>
      <c r="H2" s="27" t="n"/>
      <c r="I2" s="27" t="n"/>
      <c r="J2" s="27" t="n"/>
      <c r="K2" s="27" t="n"/>
      <c r="L2" s="27" t="n"/>
      <c r="M2" s="27" t="n"/>
      <c r="N2" s="27" t="n"/>
      <c r="O2" s="27" t="n"/>
      <c r="P2" s="27" t="n"/>
      <c r="Q2" s="27" t="n"/>
      <c r="R2" s="27" t="n"/>
      <c r="S2" s="27" t="n"/>
      <c r="T2" s="27" t="n"/>
      <c r="U2" s="27" t="n"/>
    </row>
    <row r="3" ht="13.65" customHeight="1" s="102">
      <c r="A3" s="32" t="inlineStr">
        <is>
          <t>2W</t>
        </is>
      </c>
      <c r="B3" s="103">
        <f t="array" ref="B3">C3*3.4</f>
        <v>0.6375</v>
      </c>
      <c r="C3" s="104" t="n">
        <v>0.1875</v>
      </c>
      <c r="D3" s="105" t="n">
        <v>0.45</v>
      </c>
      <c r="E3" s="103">
        <f t="array" ref="E3">D3*2.15</f>
        <v>0.9675</v>
      </c>
      <c r="F3" s="64" t="n"/>
      <c r="G3" s="27" t="n"/>
      <c r="H3" s="27" t="n"/>
      <c r="I3" s="27" t="n"/>
      <c r="J3" s="27" t="n"/>
      <c r="K3" s="27" t="n"/>
      <c r="L3" s="27" t="n"/>
      <c r="M3" s="27" t="n"/>
      <c r="N3" s="27" t="n"/>
      <c r="O3" s="27" t="n"/>
      <c r="P3" s="27" t="n"/>
      <c r="Q3" s="27" t="n"/>
      <c r="R3" s="27" t="n"/>
      <c r="S3" s="27" t="n"/>
      <c r="T3" s="27" t="n"/>
      <c r="U3" s="27" t="n"/>
    </row>
    <row r="4" ht="13.65" customHeight="1" s="102">
      <c r="A4" s="32" t="inlineStr">
        <is>
          <t>1M</t>
        </is>
      </c>
      <c r="B4" s="103">
        <f t="array" ref="B4">C4*3.4</f>
        <v>0.731</v>
      </c>
      <c r="C4" s="104" t="n">
        <v>0.215</v>
      </c>
      <c r="D4" s="105" t="n">
        <v>0.525</v>
      </c>
      <c r="E4" s="103">
        <f t="array" ref="E4">D4*2.3</f>
        <v>1.2075</v>
      </c>
      <c r="F4" s="64" t="n"/>
      <c r="G4" s="27" t="n"/>
      <c r="H4" s="27" t="n"/>
      <c r="I4" s="27" t="n"/>
      <c r="J4" s="27" t="n"/>
      <c r="K4" s="27" t="n"/>
      <c r="L4" s="27" t="n"/>
      <c r="M4" s="27" t="n"/>
      <c r="N4" s="27" t="n"/>
      <c r="O4" s="27" t="n"/>
      <c r="P4" s="27" t="n"/>
      <c r="Q4" s="27" t="n"/>
      <c r="R4" s="27" t="n"/>
      <c r="S4" s="27" t="n"/>
      <c r="T4" s="27" t="n"/>
      <c r="U4" s="27" t="n"/>
    </row>
    <row r="5" ht="13.65" customHeight="1" s="102">
      <c r="A5" s="32" t="inlineStr">
        <is>
          <t>2M</t>
        </is>
      </c>
      <c r="B5" s="103">
        <f t="array" ref="B5">C5*3.4</f>
        <v>0.816</v>
      </c>
      <c r="C5" s="104" t="n">
        <v>0.24</v>
      </c>
      <c r="D5" s="105" t="n">
        <v>0.66</v>
      </c>
      <c r="E5" s="103">
        <f t="array" ref="E5">D5*2.3</f>
        <v>1.518</v>
      </c>
      <c r="F5" s="64" t="n"/>
      <c r="G5" s="27" t="n"/>
      <c r="H5" s="27" t="n"/>
      <c r="I5" s="27" t="n"/>
      <c r="J5" s="27" t="n"/>
      <c r="K5" s="27" t="n"/>
      <c r="L5" s="27" t="n"/>
      <c r="M5" s="27" t="n"/>
      <c r="N5" s="27" t="n"/>
      <c r="O5" s="27" t="n"/>
      <c r="P5" s="27" t="n"/>
      <c r="Q5" s="27" t="n"/>
      <c r="R5" s="27" t="n"/>
      <c r="S5" s="27" t="n"/>
      <c r="T5" s="27" t="n"/>
      <c r="U5" s="27" t="n"/>
    </row>
    <row r="6" ht="13.65" customHeight="1" s="102">
      <c r="A6" s="32" t="inlineStr">
        <is>
          <t>3M</t>
        </is>
      </c>
      <c r="B6" s="103">
        <f t="array" ref="B6">C6*3.4</f>
        <v>0.867</v>
      </c>
      <c r="C6" s="104" t="n">
        <v>0.255</v>
      </c>
      <c r="D6" s="105" t="n">
        <v>0.74</v>
      </c>
      <c r="E6" s="103">
        <f t="array" ref="E6">D6*2.3</f>
        <v>1.702</v>
      </c>
      <c r="F6" s="64" t="n"/>
      <c r="G6" s="27" t="n"/>
      <c r="H6" s="27" t="n"/>
      <c r="I6" s="27" t="n"/>
      <c r="J6" s="27" t="n"/>
      <c r="K6" s="27" t="n"/>
      <c r="L6" s="110" t="n"/>
      <c r="M6" s="27" t="n"/>
      <c r="N6" s="27" t="n"/>
      <c r="O6" s="27" t="n"/>
      <c r="P6" s="27" t="n"/>
      <c r="Q6" s="27" t="n"/>
      <c r="R6" s="27" t="n"/>
      <c r="S6" s="27" t="n"/>
      <c r="T6" s="27" t="n"/>
      <c r="U6" s="27" t="n"/>
    </row>
    <row r="7" ht="13.65" customHeight="1" s="102">
      <c r="A7" s="32" t="inlineStr">
        <is>
          <t>6M</t>
        </is>
      </c>
      <c r="B7" s="103">
        <f t="array" ref="B7">C7*3.4</f>
        <v>0.986</v>
      </c>
      <c r="C7" s="104" t="n">
        <v>0.29</v>
      </c>
      <c r="D7" s="105" t="n">
        <v>0.95</v>
      </c>
      <c r="E7" s="103">
        <f t="array" ref="E7">D7*2.3</f>
        <v>2.185</v>
      </c>
      <c r="F7" s="64" t="n"/>
      <c r="G7" s="27" t="n"/>
      <c r="H7" s="27" t="n"/>
      <c r="I7" s="27" t="n"/>
      <c r="J7" s="27" t="n"/>
      <c r="K7" s="27" t="n"/>
      <c r="L7" s="27" t="n"/>
      <c r="M7" s="27" t="n"/>
      <c r="N7" s="27" t="n"/>
      <c r="O7" s="27" t="n"/>
      <c r="P7" s="27" t="n"/>
      <c r="Q7" s="27" t="n"/>
      <c r="R7" s="27" t="n"/>
      <c r="S7" s="27" t="n"/>
      <c r="T7" s="27" t="n"/>
      <c r="U7" s="27" t="n"/>
    </row>
    <row r="8" ht="13.65" customHeight="1" s="102">
      <c r="A8" s="32" t="inlineStr">
        <is>
          <t>9M</t>
        </is>
      </c>
      <c r="B8" s="103">
        <f t="array" ref="B8">C8*3.4</f>
        <v>1.122</v>
      </c>
      <c r="C8" s="104" t="n">
        <v>0.33</v>
      </c>
      <c r="D8" s="105" t="n">
        <v>1.07</v>
      </c>
      <c r="E8" s="103">
        <f t="array" ref="E8">D8*2.3</f>
        <v>2.461</v>
      </c>
      <c r="F8" s="64" t="n"/>
      <c r="G8" s="27" t="n"/>
      <c r="H8" s="27" t="n"/>
      <c r="I8" s="27" t="n"/>
      <c r="J8" s="27" t="n"/>
      <c r="K8" s="27" t="n"/>
      <c r="L8" s="111" t="n"/>
      <c r="M8" s="27" t="n"/>
      <c r="N8" s="27" t="n"/>
      <c r="O8" s="27" t="n"/>
      <c r="P8" s="27" t="n"/>
      <c r="Q8" s="27" t="n"/>
      <c r="R8" s="27" t="n"/>
      <c r="S8" s="27" t="n"/>
      <c r="T8" s="27" t="n"/>
      <c r="U8" s="27" t="n"/>
    </row>
    <row r="9" ht="13.65" customHeight="1" s="102">
      <c r="A9" s="32" t="inlineStr">
        <is>
          <t>1Y</t>
        </is>
      </c>
      <c r="B9" s="103">
        <f t="array" ref="B9">C9*3.4</f>
        <v>1.207</v>
      </c>
      <c r="C9" s="104" t="n">
        <v>0.355</v>
      </c>
      <c r="D9" s="105" t="n">
        <v>1.15</v>
      </c>
      <c r="E9" s="103">
        <f t="array" ref="E9">D9*2.3</f>
        <v>2.645</v>
      </c>
      <c r="F9" s="64" t="n"/>
      <c r="G9" s="27" t="n"/>
      <c r="H9" s="27" t="n"/>
      <c r="I9" s="27" t="n"/>
      <c r="J9" s="27" t="n"/>
      <c r="K9" s="27" t="n"/>
      <c r="L9" s="27" t="n"/>
      <c r="M9" s="27" t="n"/>
      <c r="N9" s="27" t="n"/>
      <c r="O9" s="112" t="n"/>
      <c r="P9" s="27" t="n"/>
      <c r="Q9" s="27" t="n"/>
      <c r="R9" s="27" t="n"/>
      <c r="S9" s="27" t="n"/>
      <c r="T9" s="27" t="n"/>
      <c r="U9" s="27" t="n"/>
    </row>
    <row r="10" ht="13.65" customHeight="1" s="102">
      <c r="A10" s="32" t="inlineStr">
        <is>
          <t>2Y</t>
        </is>
      </c>
      <c r="B10" s="103">
        <f t="array" ref="B10">C10*3.4</f>
        <v>1.292</v>
      </c>
      <c r="C10" s="104" t="n">
        <v>0.38</v>
      </c>
      <c r="D10" s="105" t="n">
        <v>1.25</v>
      </c>
      <c r="E10" s="103">
        <f t="array" ref="E10">D10*2.3</f>
        <v>2.875</v>
      </c>
      <c r="F10" s="64" t="n"/>
      <c r="G10" s="27" t="n"/>
      <c r="H10" s="27" t="n"/>
      <c r="I10" s="27" t="n"/>
      <c r="J10" s="27" t="n"/>
      <c r="K10" s="27" t="n"/>
      <c r="L10" s="27" t="n"/>
      <c r="M10" s="27" t="n"/>
      <c r="N10" s="27" t="n"/>
      <c r="O10" s="113" t="n"/>
      <c r="P10" s="27" t="n"/>
      <c r="Q10" s="27" t="n"/>
      <c r="R10" s="27" t="n"/>
      <c r="S10" s="27" t="n"/>
      <c r="T10" s="27" t="n"/>
      <c r="U10" s="27" t="n"/>
    </row>
    <row r="11" ht="13.65" customHeight="1" s="102">
      <c r="A11" s="27" t="n"/>
      <c r="B11" s="65" t="n"/>
      <c r="C11" s="27" t="n"/>
      <c r="D11" s="27" t="n"/>
      <c r="E11" s="65" t="n"/>
      <c r="F11" s="27" t="n"/>
      <c r="G11" s="27" t="n"/>
      <c r="H11" s="27" t="n"/>
      <c r="I11" s="27" t="n"/>
      <c r="J11" s="27" t="n"/>
      <c r="K11" s="27" t="n"/>
      <c r="L11" s="27" t="n"/>
      <c r="M11" s="27" t="n"/>
      <c r="N11" s="27" t="n"/>
      <c r="O11" s="27" t="n"/>
      <c r="P11" s="27" t="n"/>
      <c r="Q11" s="27" t="n"/>
      <c r="R11" s="27" t="n"/>
      <c r="S11" s="27" t="n"/>
      <c r="T11" s="27" t="n"/>
      <c r="U11" s="27" t="n"/>
    </row>
    <row r="12" ht="13.65" customHeight="1" s="102">
      <c r="A12" s="27" t="n"/>
      <c r="B12" s="27" t="n"/>
      <c r="C12" s="27" t="n"/>
      <c r="D12" s="27" t="n"/>
      <c r="E12" s="27" t="n"/>
      <c r="F12" s="27" t="n"/>
      <c r="G12" s="27" t="n"/>
      <c r="H12" s="27" t="n"/>
      <c r="I12" s="27" t="n"/>
      <c r="J12" s="27" t="n"/>
      <c r="K12" s="27" t="n"/>
      <c r="L12" s="27" t="n"/>
      <c r="M12" s="27" t="n"/>
      <c r="N12" s="27" t="n"/>
      <c r="O12" s="27" t="n"/>
      <c r="P12" s="27" t="n"/>
      <c r="Q12" s="27" t="n"/>
      <c r="R12" s="27" t="n"/>
      <c r="S12" s="27" t="n"/>
      <c r="T12" s="111" t="n"/>
      <c r="U12" s="112" t="n"/>
    </row>
    <row r="13" ht="13.65" customHeight="1" s="102">
      <c r="A13" s="27" t="n"/>
      <c r="B13" s="27" t="n"/>
      <c r="C13" s="27" t="n"/>
      <c r="D13" s="27" t="n"/>
      <c r="E13" s="27" t="n"/>
      <c r="F13" s="27" t="n"/>
      <c r="G13" s="27" t="n"/>
      <c r="H13" s="27" t="n"/>
      <c r="I13" s="27" t="n"/>
      <c r="J13" s="27" t="n"/>
      <c r="K13" s="27" t="n"/>
      <c r="L13" s="27" t="n"/>
      <c r="M13" s="27" t="n"/>
      <c r="N13" s="27" t="n"/>
      <c r="O13" s="27" t="n"/>
      <c r="P13" s="27" t="n"/>
      <c r="Q13" s="27" t="n"/>
      <c r="R13" s="27" t="n"/>
      <c r="S13" s="27" t="n"/>
      <c r="T13" s="111" t="n"/>
      <c r="U13" s="27" t="n"/>
    </row>
    <row r="14" ht="13.65" customHeight="1" s="102">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row>
    <row r="15" ht="13.65" customHeight="1" s="102">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row>
    <row r="16" ht="13.65" customHeight="1" s="102">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row>
    <row r="17" ht="13.65" customHeight="1" s="102">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row>
    <row r="18" ht="13.65" customHeight="1" s="102">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row>
    <row r="19" ht="13.65" customHeight="1" s="102">
      <c r="A19" s="27" t="n"/>
      <c r="B19" s="27" t="n"/>
      <c r="C19" s="27" t="n"/>
      <c r="D19" s="27" t="n"/>
      <c r="E19" s="27" t="n"/>
      <c r="F19" s="27" t="n"/>
      <c r="G19" s="27" t="n"/>
      <c r="H19" s="27" t="n"/>
      <c r="I19" s="27" t="n"/>
      <c r="J19" s="114" t="n"/>
      <c r="K19" s="27" t="n"/>
      <c r="L19" s="27" t="n"/>
      <c r="M19" s="27" t="n"/>
      <c r="N19" s="27" t="n"/>
      <c r="O19" s="27" t="n"/>
      <c r="P19" s="27" t="n"/>
      <c r="Q19" s="27" t="n"/>
      <c r="R19" s="27" t="n"/>
      <c r="S19" s="27" t="n"/>
      <c r="T19" s="27" t="n"/>
      <c r="U19" s="27" t="n"/>
    </row>
    <row r="20" ht="13.65" customHeight="1" s="102">
      <c r="A20" s="27" t="n"/>
      <c r="B20" s="27" t="n"/>
      <c r="C20" s="27" t="n"/>
      <c r="D20" s="27" t="n"/>
      <c r="E20" s="27" t="n"/>
      <c r="F20" s="27" t="n"/>
      <c r="G20" s="27" t="n"/>
      <c r="H20" s="27" t="n"/>
      <c r="I20" s="27" t="n"/>
      <c r="J20" s="27" t="n"/>
      <c r="K20" s="27" t="n"/>
      <c r="L20" s="111" t="n"/>
      <c r="M20" s="27" t="n"/>
      <c r="N20" s="27" t="n"/>
      <c r="O20" s="27" t="n"/>
      <c r="P20" s="27" t="n"/>
      <c r="Q20" s="27" t="n"/>
      <c r="R20" s="27" t="n"/>
      <c r="S20" s="27" t="n"/>
      <c r="T20" s="27" t="n"/>
      <c r="U20" s="27" t="n"/>
    </row>
    <row r="21" ht="13.65" customHeight="1" s="102">
      <c r="A21" s="27" t="n"/>
      <c r="B21" s="27" t="n"/>
      <c r="C21" s="27" t="n"/>
      <c r="D21" s="27" t="n"/>
      <c r="E21" s="27" t="n"/>
      <c r="F21" s="27" t="n"/>
      <c r="G21" s="27" t="n"/>
      <c r="H21" s="27" t="n"/>
      <c r="I21" s="27" t="n"/>
      <c r="J21" s="27" t="n"/>
      <c r="K21" s="27" t="n"/>
      <c r="L21" s="115" t="n"/>
      <c r="M21" s="27" t="n"/>
      <c r="N21" s="27" t="n"/>
      <c r="O21" s="27" t="n"/>
      <c r="P21" s="27" t="n"/>
      <c r="Q21" s="27" t="n"/>
      <c r="R21" s="27" t="n"/>
      <c r="S21" s="27" t="n"/>
      <c r="T21" s="27" t="n"/>
      <c r="U21" s="27" t="n"/>
    </row>
    <row r="22" ht="13.65" customHeight="1" s="102">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row>
    <row r="23" ht="13.65" customHeight="1" s="102">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row>
    <row r="24" ht="13.65" customHeight="1" s="102">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row>
    <row r="25" ht="13.65" customHeight="1" s="102">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row>
    <row r="26" ht="13.65" customHeight="1" s="102">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row>
    <row r="27" ht="13.65" customHeight="1" s="102">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row>
    <row r="28" ht="13.65" customHeight="1" s="102">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row>
    <row r="29" ht="13.65" customHeight="1" s="102">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row>
    <row r="30" ht="13.65" customHeight="1" s="102">
      <c r="A30" s="27" t="n"/>
      <c r="B30" s="27" t="n"/>
      <c r="C30" s="27" t="n"/>
      <c r="D30" s="27" t="n"/>
      <c r="E30" s="27" t="n"/>
      <c r="F30" s="27" t="n"/>
      <c r="G30" s="27" t="n"/>
      <c r="H30" s="27" t="n"/>
      <c r="I30" s="27" t="n"/>
      <c r="J30" s="27" t="n"/>
      <c r="K30" s="27" t="n"/>
      <c r="L30" s="111" t="n"/>
      <c r="M30" s="27" t="n"/>
      <c r="N30" s="27" t="n"/>
      <c r="O30" s="27" t="n"/>
      <c r="P30" s="27" t="n"/>
      <c r="Q30" s="27" t="n"/>
      <c r="R30" s="27" t="n"/>
      <c r="S30" s="27" t="n"/>
      <c r="T30" s="27" t="n"/>
      <c r="U30" s="27" t="n"/>
    </row>
  </sheetData>
  <pageMargins left="0.7875" right="0.7875" top="1.025" bottom="1.025" header="0.7875" footer="0.7875"/>
  <pageSetup orientation="portrait" scale="100" fitToHeight="1" fitToWidth="1" firstPageNumber="1" useFirstPageNumber="0" pageOrder="downThenOver"/>
  <headerFooter>
    <oddHeader>&amp;C&amp;"Arial,Regular"&amp;10 &amp;K000000USDCNH</oddHeader>
    <oddFooter>&amp;C&amp;"Arial,Regular"&amp;10 &amp;K000000Page &amp;P</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103">
        <f t="array" ref="B2">C2*1.4</f>
        <v>0.546</v>
      </c>
      <c r="C2" s="104" t="n">
        <v>0.39</v>
      </c>
      <c r="D2" s="105" t="n">
        <v>0.5</v>
      </c>
      <c r="E2" s="106">
        <f t="array" ref="E2">D2*1.2</f>
        <v>0.6</v>
      </c>
    </row>
    <row r="3" ht="13.65" customHeight="1" s="102">
      <c r="A3" s="32" t="inlineStr">
        <is>
          <t>2W</t>
        </is>
      </c>
      <c r="B3" s="103">
        <f t="array" ref="B3">C3*1.4</f>
        <v>0.546</v>
      </c>
      <c r="C3" s="104" t="n">
        <v>0.39</v>
      </c>
      <c r="D3" s="105" t="n">
        <v>0.515</v>
      </c>
      <c r="E3" s="106">
        <f t="array" ref="E3">D3*1.2</f>
        <v>0.618</v>
      </c>
    </row>
    <row r="4" ht="13.65" customHeight="1" s="102">
      <c r="A4" s="32" t="inlineStr">
        <is>
          <t>1M</t>
        </is>
      </c>
      <c r="B4" s="103">
        <f t="array" ref="B4">C4*1.4</f>
        <v>0.546</v>
      </c>
      <c r="C4" s="104" t="n">
        <v>0.39</v>
      </c>
      <c r="D4" s="105" t="n">
        <v>0.55</v>
      </c>
      <c r="E4" s="106">
        <f t="array" ref="E4">D4*1.2</f>
        <v>0.66</v>
      </c>
    </row>
    <row r="5" ht="13.65" customHeight="1" s="102">
      <c r="A5" s="32" t="inlineStr">
        <is>
          <t>2M</t>
        </is>
      </c>
      <c r="B5" s="103">
        <f t="array" ref="B5">C5*1.4</f>
        <v>0.546</v>
      </c>
      <c r="C5" s="104" t="n">
        <v>0.39</v>
      </c>
      <c r="D5" s="105" t="n">
        <v>0.525</v>
      </c>
      <c r="E5" s="106">
        <f t="array" ref="E5">D5*1.2</f>
        <v>0.63</v>
      </c>
    </row>
    <row r="6" ht="13.65" customHeight="1" s="102">
      <c r="A6" s="32" t="inlineStr">
        <is>
          <t>3M</t>
        </is>
      </c>
      <c r="B6" s="103">
        <f t="array" ref="B6">C6*1.55</f>
        <v>0.6045</v>
      </c>
      <c r="C6" s="104" t="n">
        <v>0.39</v>
      </c>
      <c r="D6" s="105" t="n">
        <v>0.525</v>
      </c>
      <c r="E6" s="106">
        <f t="array" ref="E6">D6*1.3</f>
        <v>0.6825</v>
      </c>
    </row>
    <row r="7" ht="13.65" customHeight="1" s="102">
      <c r="A7" s="32" t="inlineStr">
        <is>
          <t>6M</t>
        </is>
      </c>
      <c r="B7" s="103">
        <f t="array" ref="B7">C7*1.65</f>
        <v>0.6435</v>
      </c>
      <c r="C7" s="104" t="n">
        <v>0.39</v>
      </c>
      <c r="D7" s="105" t="n">
        <v>0.6</v>
      </c>
      <c r="E7" s="106">
        <f t="array" ref="E7">D7*1.4</f>
        <v>0.84</v>
      </c>
    </row>
    <row r="8" ht="13.65" customHeight="1" s="102">
      <c r="A8" s="32" t="inlineStr">
        <is>
          <t>9M</t>
        </is>
      </c>
      <c r="B8" s="103">
        <f t="array" ref="B8">C8*1.75</f>
        <v>0.6825</v>
      </c>
      <c r="C8" s="104" t="n">
        <v>0.39</v>
      </c>
      <c r="D8" s="105" t="n">
        <v>0.625</v>
      </c>
      <c r="E8" s="106">
        <f t="array" ref="E8">D8*1.5</f>
        <v>0.9375</v>
      </c>
    </row>
    <row r="9" ht="13.65" customHeight="1" s="102">
      <c r="A9" s="32" t="inlineStr">
        <is>
          <t>1Y</t>
        </is>
      </c>
      <c r="B9" s="103">
        <f t="array" ref="B9">C9*1.75</f>
        <v>0.6825</v>
      </c>
      <c r="C9" s="104" t="n">
        <v>0.39</v>
      </c>
      <c r="D9" s="105" t="n">
        <v>0.65</v>
      </c>
      <c r="E9" s="106">
        <f t="array" ref="E9">D9*1.5</f>
        <v>0.975</v>
      </c>
    </row>
    <row r="10" ht="13.65" customHeight="1" s="102">
      <c r="A10" s="32" t="inlineStr">
        <is>
          <t>2Y</t>
        </is>
      </c>
      <c r="B10" s="107">
        <f t="array" ref="B10">C10*1.75</f>
        <v>0.6825</v>
      </c>
      <c r="C10" s="104" t="n">
        <v>0.39</v>
      </c>
      <c r="D10" s="105" t="n">
        <v>0.65</v>
      </c>
      <c r="E10" s="108">
        <f t="array" ref="E10">D10*1.5</f>
        <v>0.975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S24"/>
  <sheetViews>
    <sheetView showGridLines="0" defaultGridColor="1" workbookViewId="0">
      <selection activeCell="A1" sqref="A1"/>
    </sheetView>
  </sheetViews>
  <sheetFormatPr baseColWidth="8" defaultColWidth="11.8333" defaultRowHeight="12.75" customHeight="1" outlineLevelRow="0"/>
  <cols>
    <col width="15.1719" customWidth="1" style="99" min="1" max="1"/>
    <col width="10.8516" customWidth="1" style="99" min="2" max="14"/>
    <col width="11.8516" customWidth="1" style="99" min="15" max="19"/>
    <col width="11.8516" customWidth="1" style="99" min="20" max="16384"/>
  </cols>
  <sheetData>
    <row r="1" ht="13.65" customHeight="1" s="102">
      <c r="A1" s="27" t="n"/>
      <c r="B1" s="29" t="inlineStr">
        <is>
          <t>USDCNH</t>
        </is>
      </c>
      <c r="C1" s="29" t="inlineStr">
        <is>
          <t>USDCNY</t>
        </is>
      </c>
      <c r="D1" s="29" t="inlineStr">
        <is>
          <t>EURCNH</t>
        </is>
      </c>
      <c r="E1" s="89" t="inlineStr">
        <is>
          <t>GBPCNH</t>
        </is>
      </c>
      <c r="F1" s="90" t="inlineStr">
        <is>
          <t>USDJPY</t>
        </is>
      </c>
      <c r="G1" s="29" t="inlineStr">
        <is>
          <t>EURUSD</t>
        </is>
      </c>
      <c r="H1" s="29" t="inlineStr">
        <is>
          <t>AUDUSD</t>
        </is>
      </c>
      <c r="I1" s="29" t="inlineStr">
        <is>
          <t>GBPUSD</t>
        </is>
      </c>
      <c r="J1" s="29" t="inlineStr">
        <is>
          <t>NZDUSD</t>
        </is>
      </c>
      <c r="K1" s="29" t="inlineStr">
        <is>
          <t>AUDJPY</t>
        </is>
      </c>
      <c r="L1" s="29" t="inlineStr">
        <is>
          <t>EURJPY</t>
        </is>
      </c>
      <c r="M1" s="29" t="inlineStr">
        <is>
          <t>GBPNZD</t>
        </is>
      </c>
      <c r="N1" s="29" t="inlineStr">
        <is>
          <t>EURGBP</t>
        </is>
      </c>
      <c r="O1" s="29" t="inlineStr">
        <is>
          <t>USDHKD</t>
        </is>
      </c>
      <c r="P1" s="27" t="n"/>
      <c r="Q1" s="27" t="n"/>
      <c r="R1" s="27" t="n"/>
      <c r="S1" s="27" t="n"/>
    </row>
    <row r="2" ht="13.65" customHeight="1" s="102">
      <c r="A2" s="29" t="inlineStr">
        <is>
          <t>initial</t>
        </is>
      </c>
      <c r="B2" s="91" t="n">
        <v>4.9</v>
      </c>
      <c r="C2" s="91" t="n">
        <v>5</v>
      </c>
      <c r="D2" s="91" t="n">
        <v>0.42</v>
      </c>
      <c r="E2" s="92" t="n">
        <v>0.5</v>
      </c>
      <c r="F2" s="93" t="n">
        <v>6.05</v>
      </c>
      <c r="G2" s="91" t="n">
        <v>6.25</v>
      </c>
      <c r="H2" s="91" t="n">
        <v>10.9</v>
      </c>
      <c r="I2" s="91" t="n">
        <v>7.75</v>
      </c>
      <c r="J2" s="91" t="n">
        <v>10.9</v>
      </c>
      <c r="K2" s="91" t="n">
        <v>0.37</v>
      </c>
      <c r="L2" s="91" t="n">
        <v>0.405</v>
      </c>
      <c r="M2" s="91" t="n">
        <v>0.705</v>
      </c>
      <c r="N2" s="91" t="n">
        <v>0.57</v>
      </c>
      <c r="O2" s="91" t="n">
        <v>0.57</v>
      </c>
      <c r="P2" s="27" t="n"/>
      <c r="Q2" s="27" t="n"/>
      <c r="R2" s="27" t="n"/>
      <c r="S2" s="27" t="n"/>
    </row>
    <row r="3" ht="13.65" customHeight="1" s="102">
      <c r="A3" s="29" t="inlineStr">
        <is>
          <t>long term</t>
        </is>
      </c>
      <c r="B3" s="91" t="n">
        <v>6.800000000000001</v>
      </c>
      <c r="C3" s="91" t="n">
        <v>4.95</v>
      </c>
      <c r="D3" s="91" t="n">
        <v>0.39</v>
      </c>
      <c r="E3" s="92" t="n">
        <v>0.375</v>
      </c>
      <c r="F3" s="93" t="n">
        <v>7.649999999999999</v>
      </c>
      <c r="G3" s="91" t="n">
        <v>6.950000000000001</v>
      </c>
      <c r="H3" s="91" t="n">
        <v>10.65</v>
      </c>
      <c r="I3" s="91" t="n">
        <v>9.029999999999999</v>
      </c>
      <c r="J3" s="91" t="n">
        <v>10.77</v>
      </c>
      <c r="K3" s="91" t="n">
        <v>0.19</v>
      </c>
      <c r="L3" s="91" t="n">
        <v>0.395</v>
      </c>
      <c r="M3" s="91" t="n">
        <v>0.54</v>
      </c>
      <c r="N3" s="91" t="n">
        <v>0.54</v>
      </c>
      <c r="O3" s="91" t="n">
        <v>0.54</v>
      </c>
      <c r="P3" s="27" t="n"/>
      <c r="Q3" s="27" t="n"/>
      <c r="R3" s="27" t="n"/>
      <c r="S3" s="27" t="n"/>
    </row>
    <row r="4" ht="13.65" customHeight="1" s="102">
      <c r="A4" s="29" t="inlineStr">
        <is>
          <t>ratevol</t>
        </is>
      </c>
      <c r="B4" s="91" t="n">
        <v>0</v>
      </c>
      <c r="C4" s="91" t="n">
        <v>0</v>
      </c>
      <c r="D4" s="91" t="n">
        <v>0</v>
      </c>
      <c r="E4" s="92" t="n">
        <v>0</v>
      </c>
      <c r="F4" s="93" t="n">
        <v>0</v>
      </c>
      <c r="G4" s="91" t="n">
        <v>0</v>
      </c>
      <c r="H4" s="91" t="n">
        <v>0</v>
      </c>
      <c r="I4" s="91" t="n">
        <v>0</v>
      </c>
      <c r="J4" s="91" t="n">
        <v>0</v>
      </c>
      <c r="K4" s="91" t="n">
        <v>0</v>
      </c>
      <c r="L4" s="91" t="n">
        <v>0</v>
      </c>
      <c r="M4" s="91" t="n">
        <v>0</v>
      </c>
      <c r="N4" s="91" t="n">
        <v>0</v>
      </c>
      <c r="O4" s="91" t="n">
        <v>0</v>
      </c>
      <c r="P4" s="27" t="n"/>
      <c r="Q4" s="27" t="n"/>
      <c r="R4" s="27" t="n"/>
      <c r="S4" s="27" t="n"/>
    </row>
    <row r="5" ht="13.65" customHeight="1" s="102">
      <c r="A5" s="29" t="inlineStr">
        <is>
          <t>addon</t>
        </is>
      </c>
      <c r="B5" s="91" t="n">
        <v>0</v>
      </c>
      <c r="C5" s="91" t="n">
        <v>-0.25</v>
      </c>
      <c r="D5" s="91" t="n">
        <v>0</v>
      </c>
      <c r="E5" s="92" t="n">
        <v>0.6</v>
      </c>
      <c r="F5" s="93" t="n">
        <v>0.7</v>
      </c>
      <c r="G5" s="91" t="n">
        <v>0.6</v>
      </c>
      <c r="H5" s="91" t="n">
        <v>1.1</v>
      </c>
      <c r="I5" s="91" t="n">
        <v>0.8</v>
      </c>
      <c r="J5" s="91" t="n">
        <v>1.2</v>
      </c>
      <c r="K5" s="91" t="n">
        <v>1.5</v>
      </c>
      <c r="L5" s="91" t="n">
        <v>-0.2</v>
      </c>
      <c r="M5" s="91" t="n">
        <v>0</v>
      </c>
      <c r="N5" s="91" t="n">
        <v>0</v>
      </c>
      <c r="O5" s="91" t="n">
        <v>0</v>
      </c>
      <c r="P5" s="27" t="n"/>
      <c r="Q5" s="27" t="n"/>
      <c r="R5" s="27" t="n"/>
      <c r="S5" s="27" t="n"/>
    </row>
    <row r="6" ht="13.65" customHeight="1" s="102">
      <c r="A6" s="29" t="inlineStr">
        <is>
          <t>MR</t>
        </is>
      </c>
      <c r="B6" s="91" t="n">
        <v>4.5</v>
      </c>
      <c r="C6" s="91" t="n">
        <v>3.5</v>
      </c>
      <c r="D6" s="91" t="n">
        <v>3</v>
      </c>
      <c r="E6" s="92" t="n">
        <v>3</v>
      </c>
      <c r="F6" s="93" t="n">
        <v>5</v>
      </c>
      <c r="G6" s="91" t="n">
        <v>6</v>
      </c>
      <c r="H6" s="91" t="n">
        <v>6.5</v>
      </c>
      <c r="I6" s="91" t="n">
        <v>6</v>
      </c>
      <c r="J6" s="91" t="n">
        <v>6.5</v>
      </c>
      <c r="K6" s="91" t="n">
        <v>5.5</v>
      </c>
      <c r="L6" s="91" t="n">
        <v>5</v>
      </c>
      <c r="M6" s="91" t="n">
        <v>4</v>
      </c>
      <c r="N6" s="91" t="n">
        <v>4</v>
      </c>
      <c r="O6" s="91" t="n">
        <v>4</v>
      </c>
      <c r="P6" s="27" t="n"/>
      <c r="Q6" s="27" t="n"/>
      <c r="R6" s="27" t="n"/>
      <c r="S6" s="27" t="n"/>
    </row>
    <row r="7" ht="13.65" customHeight="1" s="102">
      <c r="A7" s="29" t="inlineStr">
        <is>
          <t>rate corr</t>
        </is>
      </c>
      <c r="B7" s="91" t="n">
        <v>0</v>
      </c>
      <c r="C7" s="91" t="n">
        <v>0</v>
      </c>
      <c r="D7" s="91" t="n">
        <v>0</v>
      </c>
      <c r="E7" s="92" t="n">
        <v>0</v>
      </c>
      <c r="F7" s="93" t="n">
        <v>0</v>
      </c>
      <c r="G7" s="91" t="n">
        <v>0</v>
      </c>
      <c r="H7" s="91" t="n">
        <v>0</v>
      </c>
      <c r="I7" s="91" t="n">
        <v>0</v>
      </c>
      <c r="J7" s="91" t="n">
        <v>0</v>
      </c>
      <c r="K7" s="91" t="n">
        <v>0</v>
      </c>
      <c r="L7" s="91" t="n">
        <v>0</v>
      </c>
      <c r="M7" s="91" t="n">
        <v>0</v>
      </c>
      <c r="N7" s="91" t="n">
        <v>0</v>
      </c>
      <c r="O7" s="91" t="n">
        <v>0</v>
      </c>
      <c r="P7" s="27" t="n"/>
      <c r="Q7" s="27" t="n"/>
      <c r="R7" s="27" t="n"/>
      <c r="S7" s="27" t="n"/>
    </row>
    <row r="8" ht="13.65" customHeight="1" s="102">
      <c r="A8" s="29" t="inlineStr">
        <is>
          <t>short decay</t>
        </is>
      </c>
      <c r="B8" s="91" t="n">
        <v>50</v>
      </c>
      <c r="C8" s="91" t="n">
        <v>50</v>
      </c>
      <c r="D8" s="91" t="n">
        <v>50</v>
      </c>
      <c r="E8" s="92" t="n">
        <v>50</v>
      </c>
      <c r="F8" s="93" t="n">
        <v>50</v>
      </c>
      <c r="G8" s="91" t="n">
        <v>50</v>
      </c>
      <c r="H8" s="91" t="n">
        <v>50</v>
      </c>
      <c r="I8" s="91" t="n">
        <v>50</v>
      </c>
      <c r="J8" s="91" t="n">
        <v>50</v>
      </c>
      <c r="K8" s="91" t="n">
        <v>50</v>
      </c>
      <c r="L8" s="91" t="n">
        <v>50</v>
      </c>
      <c r="M8" s="91" t="n">
        <v>50</v>
      </c>
      <c r="N8" s="91" t="n">
        <v>50</v>
      </c>
      <c r="O8" s="91" t="n">
        <v>50</v>
      </c>
      <c r="P8" s="27" t="n"/>
      <c r="Q8" s="27" t="n"/>
      <c r="R8" s="27" t="n"/>
      <c r="S8" s="27" t="n"/>
    </row>
    <row r="9" ht="13.65" customHeight="1" s="102">
      <c r="A9" s="27" t="inlineStr">
        <is>
          <t>anchor</t>
        </is>
      </c>
      <c r="B9" s="27" t="n"/>
      <c r="C9" s="27" t="n"/>
      <c r="D9" s="27" t="n"/>
      <c r="E9" s="94" t="n"/>
      <c r="F9" s="95" t="n"/>
      <c r="G9" s="27" t="n"/>
      <c r="H9" s="27" t="n"/>
      <c r="I9" s="27" t="n"/>
      <c r="J9" s="27" t="n"/>
      <c r="K9" s="27" t="n"/>
      <c r="L9" s="27" t="n"/>
      <c r="M9" s="27" t="n"/>
      <c r="N9" s="27" t="n"/>
      <c r="O9" s="27" t="n"/>
      <c r="P9" s="27" t="n"/>
      <c r="Q9" s="27" t="n"/>
      <c r="R9" s="27" t="n"/>
      <c r="S9" s="27" t="n"/>
    </row>
    <row r="10" ht="13.65" customHeight="1" s="102">
      <c r="A10" s="27" t="n"/>
      <c r="B10" s="27" t="n"/>
      <c r="C10" s="27" t="n"/>
      <c r="D10" s="27" t="n"/>
      <c r="E10" s="94" t="n"/>
      <c r="F10" s="95" t="n"/>
      <c r="G10" s="27" t="n"/>
      <c r="H10" s="27" t="n"/>
      <c r="I10" s="27" t="n"/>
      <c r="J10" s="27" t="n"/>
      <c r="K10" s="27" t="n"/>
      <c r="L10" s="27" t="n"/>
      <c r="M10" s="27" t="n"/>
      <c r="N10" s="27" t="n"/>
      <c r="O10" s="27" t="n"/>
      <c r="P10" s="27" t="n"/>
      <c r="Q10" s="27" t="n"/>
      <c r="R10" s="27" t="n"/>
      <c r="S10" s="27" t="n"/>
    </row>
    <row r="11" ht="13.65" customHeight="1" s="102">
      <c r="A11" s="27" t="n"/>
      <c r="B11" s="27" t="n"/>
      <c r="C11" s="27" t="n"/>
      <c r="D11" s="27" t="n"/>
      <c r="E11" s="116" t="n"/>
      <c r="F11" s="95" t="n"/>
      <c r="G11" s="27" t="n"/>
      <c r="H11" s="27" t="n"/>
      <c r="I11" s="27" t="n"/>
      <c r="J11" s="27" t="n"/>
      <c r="K11" s="27" t="n"/>
      <c r="L11" s="27" t="n"/>
      <c r="M11" s="27" t="n"/>
      <c r="N11" s="27" t="n"/>
      <c r="O11" s="27" t="n"/>
      <c r="P11" s="27" t="n"/>
      <c r="Q11" s="27" t="n"/>
      <c r="R11" s="27" t="n"/>
      <c r="S11" s="27" t="n"/>
    </row>
    <row r="12" ht="13.65" customHeight="1" s="102">
      <c r="A12" s="27" t="n"/>
      <c r="B12" s="27" t="n"/>
      <c r="C12" s="27" t="n"/>
      <c r="D12" s="27" t="n"/>
      <c r="E12" s="94" t="n"/>
      <c r="F12" s="95" t="n"/>
      <c r="G12" s="27" t="n"/>
      <c r="H12" s="27" t="n"/>
      <c r="I12" s="27" t="n"/>
      <c r="J12" s="27" t="n"/>
      <c r="K12" s="27" t="n"/>
      <c r="L12" s="27" t="n"/>
      <c r="M12" s="27" t="n"/>
      <c r="N12" s="27" t="n"/>
      <c r="O12" s="27" t="n"/>
      <c r="P12" s="27" t="n"/>
      <c r="Q12" s="27" t="n"/>
      <c r="R12" s="27" t="n"/>
      <c r="S12" s="27" t="n"/>
    </row>
    <row r="13" ht="13.65" customHeight="1" s="102">
      <c r="A13" s="27" t="n"/>
      <c r="B13" s="27" t="n"/>
      <c r="C13" s="27" t="n"/>
      <c r="D13" s="27" t="n"/>
      <c r="E13" s="94" t="n"/>
      <c r="F13" s="95" t="n"/>
      <c r="G13" s="27" t="n"/>
      <c r="H13" s="27" t="n"/>
      <c r="I13" s="27" t="n"/>
      <c r="J13" s="27" t="n"/>
      <c r="K13" s="27" t="n"/>
      <c r="L13" s="27" t="n"/>
      <c r="M13" s="27" t="n"/>
      <c r="N13" s="27" t="n"/>
      <c r="O13" s="27" t="n"/>
      <c r="P13" s="27" t="n"/>
      <c r="Q13" s="27" t="n"/>
      <c r="R13" s="27" t="n"/>
      <c r="S13" s="27" t="n"/>
    </row>
    <row r="14" ht="13.65" customHeight="1" s="102">
      <c r="A14" s="27" t="n"/>
      <c r="B14" s="27" t="n"/>
      <c r="C14" s="27" t="n"/>
      <c r="D14" s="27" t="n"/>
      <c r="E14" s="94" t="n"/>
      <c r="F14" s="95" t="n"/>
      <c r="G14" s="27" t="n"/>
      <c r="H14" s="27" t="n"/>
      <c r="I14" s="27" t="n"/>
      <c r="J14" s="27" t="n"/>
      <c r="K14" s="27" t="n"/>
      <c r="L14" s="27" t="n"/>
      <c r="M14" s="27" t="n"/>
      <c r="N14" s="27" t="n"/>
      <c r="O14" s="27" t="n"/>
      <c r="P14" s="27" t="n"/>
      <c r="Q14" s="27" t="n"/>
      <c r="R14" s="27" t="n"/>
      <c r="S14" s="97" t="n"/>
    </row>
    <row r="15" ht="13.65" customHeight="1" s="102">
      <c r="A15" s="27" t="n"/>
      <c r="B15" s="27" t="n"/>
      <c r="C15" s="27" t="n"/>
      <c r="D15" s="27" t="n"/>
      <c r="E15" s="94" t="n"/>
      <c r="F15" s="95" t="n"/>
      <c r="G15" s="27" t="n"/>
      <c r="H15" s="27" t="n"/>
      <c r="I15" s="27" t="n"/>
      <c r="J15" s="27" t="n"/>
      <c r="K15" s="27" t="n"/>
      <c r="L15" s="27" t="n"/>
      <c r="M15" s="27" t="n"/>
      <c r="N15" s="27" t="n"/>
      <c r="O15" s="27" t="n"/>
      <c r="P15" s="111" t="n"/>
      <c r="Q15" s="27" t="n"/>
      <c r="R15" s="27" t="n"/>
      <c r="S15" s="27" t="n"/>
    </row>
    <row r="16" ht="13.65" customHeight="1" s="102">
      <c r="A16" s="27" t="n"/>
      <c r="B16" s="27" t="n"/>
      <c r="C16" s="27" t="n"/>
      <c r="D16" s="27" t="n"/>
      <c r="E16" s="94" t="n"/>
      <c r="F16" s="95" t="n"/>
      <c r="G16" s="27" t="n"/>
      <c r="H16" s="27" t="n"/>
      <c r="I16" s="27" t="n"/>
      <c r="J16" s="27" t="n"/>
      <c r="K16" s="27" t="n"/>
      <c r="L16" s="27" t="n"/>
      <c r="M16" s="27" t="n"/>
      <c r="N16" s="27" t="n"/>
      <c r="O16" s="27" t="n"/>
      <c r="P16" s="111" t="n"/>
      <c r="Q16" s="27" t="n"/>
      <c r="R16" s="27" t="n"/>
      <c r="S16" s="27" t="n"/>
    </row>
    <row r="17" ht="13.65" customHeight="1" s="102">
      <c r="A17" s="27" t="n"/>
      <c r="B17" s="27" t="n"/>
      <c r="C17" s="27" t="n"/>
      <c r="D17" s="27" t="n"/>
      <c r="E17" s="94" t="n"/>
      <c r="F17" s="95" t="n"/>
      <c r="G17" s="27" t="n"/>
      <c r="H17" s="27" t="n"/>
      <c r="I17" s="27" t="n"/>
      <c r="J17" s="27" t="n"/>
      <c r="K17" s="27" t="n"/>
      <c r="L17" s="27" t="n"/>
      <c r="M17" s="27" t="n"/>
      <c r="N17" s="27" t="n"/>
      <c r="O17" s="27" t="n"/>
      <c r="P17" s="111" t="n"/>
      <c r="Q17" s="27" t="n"/>
      <c r="R17" s="27" t="n"/>
      <c r="S17" s="27" t="n"/>
    </row>
    <row r="18" ht="13.65" customHeight="1" s="102">
      <c r="A18" s="27" t="n"/>
      <c r="B18" s="27" t="n"/>
      <c r="C18" s="27" t="n"/>
      <c r="D18" s="27" t="n"/>
      <c r="E18" s="116" t="n"/>
      <c r="F18" s="95" t="n"/>
      <c r="G18" s="27" t="n"/>
      <c r="H18" s="27" t="n"/>
      <c r="I18" s="27" t="n"/>
      <c r="J18" s="27" t="n"/>
      <c r="K18" s="27" t="n"/>
      <c r="L18" s="27" t="n"/>
      <c r="M18" s="27" t="n"/>
      <c r="N18" s="27" t="n"/>
      <c r="O18" s="27" t="n"/>
      <c r="P18" s="27" t="n"/>
      <c r="Q18" s="27" t="n"/>
      <c r="R18" s="27" t="n"/>
      <c r="S18" s="27" t="n"/>
    </row>
    <row r="19" ht="13.65" customHeight="1" s="102">
      <c r="A19" s="27" t="n"/>
      <c r="B19" s="27" t="n"/>
      <c r="C19" s="27" t="n"/>
      <c r="D19" s="27" t="n"/>
      <c r="E19" s="116" t="n"/>
      <c r="F19" s="95" t="n"/>
      <c r="G19" s="27" t="n"/>
      <c r="H19" s="27" t="n"/>
      <c r="I19" s="27" t="n"/>
      <c r="J19" s="27" t="n"/>
      <c r="K19" s="27" t="n"/>
      <c r="L19" s="27" t="n"/>
      <c r="M19" s="27" t="n"/>
      <c r="N19" s="27" t="n"/>
      <c r="O19" s="27" t="n"/>
      <c r="P19" s="27" t="n"/>
      <c r="Q19" s="27" t="n"/>
      <c r="R19" s="27" t="n"/>
      <c r="S19" s="27" t="n"/>
    </row>
    <row r="20" ht="13.65" customHeight="1" s="102">
      <c r="A20" s="27" t="n"/>
      <c r="B20" s="27" t="n"/>
      <c r="C20" s="27" t="n"/>
      <c r="D20" s="27" t="n"/>
      <c r="E20" s="116" t="n"/>
      <c r="F20" s="95" t="n"/>
      <c r="G20" s="27" t="n"/>
      <c r="H20" s="27" t="n"/>
      <c r="I20" s="27" t="n"/>
      <c r="J20" s="27" t="n"/>
      <c r="K20" s="27" t="n"/>
      <c r="L20" s="27" t="n"/>
      <c r="M20" s="27" t="n"/>
      <c r="N20" s="27" t="n"/>
      <c r="O20" s="27" t="n"/>
      <c r="P20" s="27" t="n"/>
      <c r="Q20" s="27" t="n"/>
      <c r="R20" s="27" t="n"/>
      <c r="S20" s="27" t="n"/>
    </row>
    <row r="21" ht="13.65" customHeight="1" s="102">
      <c r="A21" s="27" t="n"/>
      <c r="B21" s="27" t="n"/>
      <c r="C21" s="27" t="n"/>
      <c r="D21" s="27" t="n"/>
      <c r="E21" s="116" t="n"/>
      <c r="F21" s="95" t="n"/>
      <c r="G21" s="27" t="n"/>
      <c r="H21" s="27" t="n"/>
      <c r="I21" s="111" t="n"/>
      <c r="J21" s="27" t="n"/>
      <c r="K21" s="27" t="n"/>
      <c r="L21" s="27" t="n"/>
      <c r="M21" s="27" t="n"/>
      <c r="N21" s="27" t="n"/>
      <c r="O21" s="27" t="n"/>
      <c r="P21" s="27" t="n"/>
      <c r="Q21" s="27" t="n"/>
      <c r="R21" s="27" t="n"/>
      <c r="S21" s="27" t="n"/>
    </row>
    <row r="22" ht="13.65" customHeight="1" s="102">
      <c r="A22" s="27" t="n"/>
      <c r="B22" s="27" t="n"/>
      <c r="C22" s="27" t="n"/>
      <c r="D22" s="27" t="n"/>
      <c r="E22" s="94" t="n"/>
      <c r="F22" s="95" t="n"/>
      <c r="G22" s="27" t="n"/>
      <c r="H22" s="27" t="n"/>
      <c r="I22" s="27" t="n"/>
      <c r="J22" s="27" t="n"/>
      <c r="K22" s="27" t="n"/>
      <c r="L22" s="27" t="n"/>
      <c r="M22" s="27" t="n"/>
      <c r="N22" s="27" t="n"/>
      <c r="O22" s="27" t="n"/>
      <c r="P22" s="27" t="n"/>
      <c r="Q22" s="27" t="n"/>
      <c r="R22" s="27" t="n"/>
      <c r="S22" s="27" t="n"/>
    </row>
    <row r="23" ht="13.65" customHeight="1" s="102">
      <c r="A23" s="27" t="n"/>
      <c r="B23" s="27" t="n"/>
      <c r="C23" s="27" t="n"/>
      <c r="D23" s="27" t="n"/>
      <c r="E23" s="94" t="n"/>
      <c r="F23" s="95" t="n"/>
      <c r="G23" s="27" t="n"/>
      <c r="H23" s="27" t="n"/>
      <c r="I23" s="27" t="n"/>
      <c r="J23" s="27" t="n"/>
      <c r="K23" s="27" t="n"/>
      <c r="L23" s="27" t="n"/>
      <c r="M23" s="111" t="n"/>
      <c r="N23" s="27" t="n"/>
      <c r="O23" s="27" t="n"/>
      <c r="P23" s="27" t="n"/>
      <c r="Q23" s="27" t="n"/>
      <c r="R23" s="27" t="n"/>
      <c r="S23" s="27" t="n"/>
    </row>
    <row r="24" ht="13.65" customHeight="1" s="102">
      <c r="A24" s="27" t="n"/>
      <c r="B24" s="27" t="n"/>
      <c r="C24" s="27" t="n"/>
      <c r="D24" s="27" t="n"/>
      <c r="E24" s="94" t="n"/>
      <c r="F24" s="95" t="n"/>
      <c r="G24" s="27" t="n"/>
      <c r="H24" s="27" t="n"/>
      <c r="I24" s="27" t="n"/>
      <c r="J24" s="27" t="n"/>
      <c r="K24" s="27" t="n"/>
      <c r="L24" s="27" t="n"/>
      <c r="M24" s="111" t="n"/>
      <c r="N24" s="27" t="n"/>
      <c r="O24" s="27" t="n"/>
      <c r="P24" s="27" t="n"/>
      <c r="Q24" s="27" t="n"/>
      <c r="R24" s="27" t="n"/>
      <c r="S24" s="27" t="n"/>
    </row>
    <row r="25" ht="13.65" customHeight="1" s="102"/>
    <row r="26" ht="13.65" customHeight="1" s="102"/>
  </sheetData>
  <pageMargins left="0.7875" right="0.7875" top="1.05278" bottom="1.05278" header="0.7875" footer="0.7875"/>
  <pageSetup orientation="portrait" scale="100" fitToHeight="1" fitToWidth="1" firstPageNumber="1" useFirstPageNumber="0" pageOrder="downThenOver"/>
  <headerFooter>
    <oddHeader>&amp;C&amp;"Times New Roman,Regular"&amp;12 &amp;K000000PARAMS</oddHeader>
    <oddFooter>&amp;C&amp;"Helvetica Neue,Regular"&amp;12 &amp;K000000&amp;P</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W3"/>
  <sheetViews>
    <sheetView showGridLines="0" defaultGridColor="1" workbookViewId="0">
      <selection activeCell="A1" sqref="A1"/>
    </sheetView>
  </sheetViews>
  <sheetFormatPr baseColWidth="8" defaultColWidth="11.8333" defaultRowHeight="12.75" customHeight="1" outlineLevelRow="0"/>
  <cols>
    <col width="15.1719" customWidth="1" style="99" min="1" max="1"/>
    <col width="10.8516" customWidth="1" style="99" min="2" max="22"/>
    <col width="11.8516" customWidth="1" style="99" min="23" max="27"/>
    <col width="11.8516" customWidth="1" style="99" min="28" max="16384"/>
  </cols>
  <sheetData>
    <row r="1" ht="13.65" customHeight="1" s="102">
      <c r="B1" s="99" t="inlineStr">
        <is>
          <t>AUD</t>
        </is>
      </c>
      <c r="C1" s="99" t="inlineStr">
        <is>
          <t>CAD</t>
        </is>
      </c>
      <c r="D1" s="99" t="inlineStr">
        <is>
          <t>CHF</t>
        </is>
      </c>
      <c r="E1" s="99" t="inlineStr">
        <is>
          <t>CNH</t>
        </is>
      </c>
      <c r="F1" s="99" t="inlineStr">
        <is>
          <t>EUR</t>
        </is>
      </c>
      <c r="G1" s="99" t="inlineStr">
        <is>
          <t>GBP</t>
        </is>
      </c>
      <c r="H1" s="99" t="inlineStr">
        <is>
          <t>NZD</t>
        </is>
      </c>
      <c r="I1" s="99" t="inlineStr">
        <is>
          <t>USD</t>
        </is>
      </c>
      <c r="J1" s="99" t="inlineStr">
        <is>
          <t>AUDJPY</t>
        </is>
      </c>
      <c r="K1" s="99" t="inlineStr">
        <is>
          <t>AUDUSD</t>
        </is>
      </c>
      <c r="L1" s="99" t="inlineStr">
        <is>
          <t>EURCNH</t>
        </is>
      </c>
      <c r="M1" s="99" t="inlineStr">
        <is>
          <t>EURGBP</t>
        </is>
      </c>
      <c r="N1" s="99" t="inlineStr">
        <is>
          <t>EURJPY</t>
        </is>
      </c>
      <c r="O1" s="99" t="inlineStr">
        <is>
          <t>EURUSD</t>
        </is>
      </c>
      <c r="P1" s="99" t="inlineStr">
        <is>
          <t>GBPCNH</t>
        </is>
      </c>
      <c r="Q1" s="99" t="inlineStr">
        <is>
          <t>GBPNZD</t>
        </is>
      </c>
      <c r="R1" s="99" t="inlineStr">
        <is>
          <t>GBPUSD</t>
        </is>
      </c>
      <c r="S1" s="99" t="inlineStr">
        <is>
          <t>NZDUSD</t>
        </is>
      </c>
      <c r="T1" s="99" t="inlineStr">
        <is>
          <t>USDCNH</t>
        </is>
      </c>
      <c r="U1" s="99" t="inlineStr">
        <is>
          <t>USDCNY</t>
        </is>
      </c>
      <c r="V1" s="99" t="inlineStr">
        <is>
          <t>USDHKD</t>
        </is>
      </c>
      <c r="W1" s="99" t="inlineStr">
        <is>
          <t>USDJPY</t>
        </is>
      </c>
    </row>
    <row r="2" ht="13.65" customHeight="1" s="102">
      <c r="A2" s="118" t="n">
        <v>45324</v>
      </c>
      <c r="B2" s="99" t="n">
        <v>3</v>
      </c>
      <c r="C2" s="99" t="n">
        <v>2</v>
      </c>
      <c r="D2" s="99" t="n">
        <v>1</v>
      </c>
      <c r="E2" s="99" t="n">
        <v>0.2</v>
      </c>
      <c r="F2" s="99" t="n">
        <v>0.9000000000000001</v>
      </c>
      <c r="G2" s="99" t="n">
        <v>2</v>
      </c>
      <c r="H2" s="99" t="n">
        <v>4</v>
      </c>
      <c r="I2" s="99" t="n">
        <v>6</v>
      </c>
      <c r="K2" s="99" t="n">
        <v>6.5</v>
      </c>
      <c r="O2" s="99" t="n">
        <v>5.5</v>
      </c>
      <c r="R2" s="99" t="n">
        <v>6</v>
      </c>
      <c r="S2" s="99" t="n">
        <v>6.5</v>
      </c>
      <c r="T2" s="99" t="n">
        <v>0.5</v>
      </c>
      <c r="W2" s="99" t="n">
        <v>5.5</v>
      </c>
    </row>
    <row r="3" ht="13.65" customHeight="1" s="102">
      <c r="A3" s="118" t="n">
        <v>45324.41666666666</v>
      </c>
      <c r="B3" s="99" t="n">
        <v>3</v>
      </c>
      <c r="C3" s="99" t="n">
        <v>2</v>
      </c>
      <c r="D3" s="99" t="n">
        <v>1</v>
      </c>
      <c r="E3" s="99" t="n">
        <v>0.2</v>
      </c>
      <c r="F3" s="99" t="n">
        <v>0.9000000000000001</v>
      </c>
      <c r="G3" s="99" t="n">
        <v>2</v>
      </c>
      <c r="H3" s="99" t="n">
        <v>4</v>
      </c>
      <c r="I3" s="99" t="n">
        <v>1</v>
      </c>
      <c r="K3" s="99" t="n">
        <v>6.5</v>
      </c>
      <c r="O3" s="99" t="n">
        <v>5.5</v>
      </c>
      <c r="R3" s="99" t="n">
        <v>6</v>
      </c>
      <c r="S3" s="99" t="n">
        <v>6.5</v>
      </c>
      <c r="T3" s="99" t="n">
        <v>0.5</v>
      </c>
      <c r="W3" s="99" t="n">
        <v>5.5</v>
      </c>
    </row>
    <row r="4" ht="13.65" customHeight="1" s="102"/>
    <row r="5" ht="13.65" customHeight="1" s="102"/>
    <row r="6" ht="13.65" customHeight="1" s="102"/>
    <row r="7" ht="13.65" customHeight="1" s="102"/>
    <row r="8" ht="13.65" customHeight="1" s="102"/>
    <row r="9" ht="13.65" customHeight="1" s="102"/>
    <row r="10" ht="13.65" customHeight="1" s="102"/>
    <row r="11" ht="13.65" customHeight="1" s="102"/>
    <row r="12" ht="13.65" customHeight="1" s="102"/>
    <row r="13" ht="13.65" customHeight="1" s="102"/>
    <row r="14" ht="13.65" customHeight="1" s="102"/>
    <row r="15" ht="13.65" customHeight="1" s="102"/>
    <row r="16" ht="13.65" customHeight="1" s="102"/>
    <row r="17" ht="13.65" customHeight="1" s="102"/>
    <row r="18" ht="13.65" customHeight="1" s="102"/>
    <row r="19" ht="13.65" customHeight="1" s="102"/>
  </sheetData>
  <pageMargins left="0.7875" right="0.7875" top="1.05278" bottom="1.05278" header="0.7875" footer="0.7875"/>
  <pageSetup orientation="portrait" scale="100" fitToHeight="1" fitToWidth="1" firstPageNumber="1" useFirstPageNumber="0" pageOrder="downThenOver"/>
  <headerFooter>
    <oddHeader>&amp;C&amp;"Times New Roman,Regular"&amp;12 &amp;K000000PARAMS</oddHeader>
    <oddFooter>&amp;C&amp;"Helvetica Neue,Regular"&amp;12 &amp;K000000&amp;P</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99" t="inlineStr">
        <is>
          <t># How far each tenor moves when the anchor tenor moves one vol point.</t>
        </is>
      </c>
    </row>
    <row r="2">
      <c r="A2" s="99" t="inlineStr">
        <is>
          <t># 'default' is what every pair falls back to, cell by cell; a column headed by a pair is that pair's own shape. Only ratios matter -- the anchor's own weight cancels.</t>
        </is>
      </c>
    </row>
    <row r="3">
      <c r="A3" s="99" t="inlineStr">
        <is>
          <t># Marking screen &gt; ATM term structure &gt; bump; 'volkit vega &lt;pair&gt; --move 1'.</t>
        </is>
      </c>
    </row>
    <row r="4">
      <c r="A4" s="99" t="inlineStr">
        <is>
          <t>tenor</t>
        </is>
      </c>
      <c r="B4" s="99" t="inlineStr">
        <is>
          <t>default</t>
        </is>
      </c>
      <c r="C4" s="99" t="inlineStr">
        <is>
          <t>USDCNH</t>
        </is>
      </c>
      <c r="D4" s="99" t="inlineStr">
        <is>
          <t>note</t>
        </is>
      </c>
    </row>
    <row r="5">
      <c r="A5" s="99" t="inlineStr">
        <is>
          <t>1W</t>
        </is>
      </c>
      <c r="C5" s="99" t="n">
        <v>2.6</v>
      </c>
    </row>
    <row r="6">
      <c r="A6" s="99" t="inlineStr">
        <is>
          <t>2W</t>
        </is>
      </c>
      <c r="C6" s="99" t="n">
        <v>2.3</v>
      </c>
    </row>
    <row r="7">
      <c r="A7" s="99" t="inlineStr">
        <is>
          <t>1M</t>
        </is>
      </c>
      <c r="C7" s="99" t="n">
        <v>1.85</v>
      </c>
    </row>
    <row r="8">
      <c r="A8" s="99" t="inlineStr">
        <is>
          <t>2M</t>
        </is>
      </c>
      <c r="C8" s="99" t="n">
        <v>1.6</v>
      </c>
    </row>
    <row r="9">
      <c r="A9" s="99" t="inlineStr">
        <is>
          <t>3M</t>
        </is>
      </c>
      <c r="C9" s="99" t="n">
        <v>1.45</v>
      </c>
    </row>
    <row r="10">
      <c r="A10" s="99" t="inlineStr">
        <is>
          <t>6M</t>
        </is>
      </c>
      <c r="C10" s="99" t="n">
        <v>1.2</v>
      </c>
    </row>
    <row r="11">
      <c r="A11" s="99" t="inlineStr">
        <is>
          <t>9M</t>
        </is>
      </c>
      <c r="C11" s="99" t="n">
        <v>1.1</v>
      </c>
    </row>
    <row r="12">
      <c r="A12" s="99" t="inlineStr">
        <is>
          <t>1Y</t>
        </is>
      </c>
      <c r="C12" s="99" t="n">
        <v>1</v>
      </c>
    </row>
    <row r="13">
      <c r="A13" s="99" t="inlineStr">
        <is>
          <t>2Y</t>
        </is>
      </c>
      <c r="C13" s="99" t="n">
        <v>0.9</v>
      </c>
    </row>
    <row r="14">
      <c r="A14" s="99" t="inlineStr">
        <is>
          <t>3Y</t>
        </is>
      </c>
      <c r="C14" s="99" t="n">
        <v>0.85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99" t="inlineStr">
        <is>
          <t>pair</t>
        </is>
      </c>
      <c r="B1" s="99" t="inlineStr">
        <is>
          <t>mode</t>
        </is>
      </c>
      <c r="C1" s="99" t="inlineStr">
        <is>
          <t>hazard</t>
        </is>
      </c>
      <c r="D1" s="99" t="inlineStr">
        <is>
          <t>weak_share</t>
        </is>
      </c>
      <c r="E1" s="99" t="inlineStr">
        <is>
          <t>weak_jump</t>
        </is>
      </c>
      <c r="F1" s="99" t="inlineStr">
        <is>
          <t>weak_vol</t>
        </is>
      </c>
      <c r="G1" s="99" t="inlineStr">
        <is>
          <t>strong_jump</t>
        </is>
      </c>
      <c r="H1" s="99" t="inlineStr">
        <is>
          <t>strong_vol</t>
        </is>
      </c>
      <c r="I1" s="99" t="inlineStr">
        <is>
          <t>lower</t>
        </is>
      </c>
      <c r="J1" s="99" t="inlineStr">
        <is>
          <t>upper</t>
        </is>
      </c>
      <c r="K1" s="99" t="inlineStr">
        <is>
          <t>blend</t>
        </is>
      </c>
      <c r="L1" s="99" t="inlineStr">
        <is>
          <t>delta</t>
        </is>
      </c>
      <c r="M1" s="99" t="inlineStr">
        <is>
          <t>solve_hazard</t>
        </is>
      </c>
    </row>
    <row r="2">
      <c r="A2" s="99" t="inlineStr">
        <is>
          <t>USDHKD</t>
        </is>
      </c>
      <c r="B2" s="99" t="inlineStr">
        <is>
          <t>warn</t>
        </is>
      </c>
      <c r="C2" s="99" t="n">
        <v>2</v>
      </c>
      <c r="D2" s="99" t="n">
        <v>85</v>
      </c>
      <c r="E2" s="99" t="n">
        <v>6</v>
      </c>
      <c r="F2" s="99" t="n">
        <v>10</v>
      </c>
      <c r="G2" s="99" t="n">
        <v>4</v>
      </c>
      <c r="H2" s="99" t="n">
        <v>8</v>
      </c>
      <c r="K2" s="99" t="n">
        <v>100</v>
      </c>
      <c r="L2" s="99" t="n">
        <v>25</v>
      </c>
      <c r="M2" s="99"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pane ySplit="12" topLeftCell="A13" activePane="bottomLeft" state="frozen"/>
      <selection activeCell="A1" sqref="A1"/>
    </sheetView>
  </sheetViews>
  <sheetFormatPr baseColWidth="8" defaultRowHeight="15"/>
  <cols>
    <col width="12" customWidth="1" style="102" min="1" max="1"/>
    <col width="10" customWidth="1" style="102" min="2" max="2"/>
    <col width="10" customWidth="1" style="102" min="3" max="3"/>
    <col width="78" customWidth="1" style="102" min="4" max="4"/>
  </cols>
  <sheetData>
    <row r="1">
      <c r="A1" s="99" t="inlineStr">
        <is>
          <t># Managed / pegged trading bands: pair, lower, upper, note.</t>
        </is>
      </c>
    </row>
    <row r="2">
      <c r="A2" s="99" t="inlineStr">
        <is>
          <t>#</t>
        </is>
      </c>
    </row>
    <row r="3">
      <c r="A3" s="99" t="inlineStr">
        <is>
          <t># These are policy settings, not market data. Check them against the central</t>
        </is>
      </c>
    </row>
    <row r="4">
      <c r="A4" s="99" t="inlineStr">
        <is>
          <t># bank before use, and delete a pair whose regime changes.</t>
        </is>
      </c>
    </row>
    <row r="5">
      <c r="A5" s="99" t="inlineStr">
        <is>
          <t>#</t>
        </is>
      </c>
    </row>
    <row r="6">
      <c r="A6" s="99" t="inlineStr">
        <is>
          <t># A band here means a HARD, defended range for the spot. Only list a pair on</t>
        </is>
      </c>
    </row>
    <row r="7">
      <c r="A7" s="99" t="inlineStr">
        <is>
          <t># this tab if that is true: the model gives strikes outside the band zero</t>
        </is>
      </c>
    </row>
    <row r="8">
      <c r="A8" s="99" t="inlineStr">
        <is>
          <t># in-band value, which is right for a defended peg and wrong for anything else.</t>
        </is>
      </c>
    </row>
    <row r="9">
      <c r="A9" s="99" t="inlineStr">
        <is>
          <t>#</t>
        </is>
      </c>
    </row>
    <row r="10">
      <c r="A10" s="99" t="inlineStr">
        <is>
          <t># Not to be confused with the BANDS tab, which is the marking *treatment* for a</t>
        </is>
      </c>
    </row>
    <row r="11">
      <c r="A11" s="99" t="inlineStr">
        <is>
          <t># pegged pair -- hazard, jump sizes, blend. The defended range itself is here.</t>
        </is>
      </c>
    </row>
    <row r="12">
      <c r="A12" s="99" t="inlineStr">
        <is>
          <t>pair</t>
        </is>
      </c>
      <c r="B12" s="99" t="inlineStr">
        <is>
          <t>lower</t>
        </is>
      </c>
      <c r="C12" s="99" t="inlineStr">
        <is>
          <t>upper</t>
        </is>
      </c>
      <c r="D12" s="99" t="inlineStr">
        <is>
          <t>note</t>
        </is>
      </c>
    </row>
    <row r="13">
      <c r="A13" s="99" t="inlineStr">
        <is>
          <t>USDHKD</t>
        </is>
      </c>
      <c r="B13" s="99" t="n">
        <v>7.75</v>
      </c>
      <c r="C13" s="99" t="n">
        <v>7.85</v>
      </c>
      <c r="D13" s="99" t="inlineStr">
        <is>
          <t>HKMA Convertibility Undertakings under the Linked Exchange Rate System</t>
        </is>
      </c>
    </row>
    <row r="14">
      <c r="A14" s="99" t="inlineStr">
        <is>
          <t>#</t>
        </is>
      </c>
    </row>
    <row r="15">
      <c r="A15" s="99" t="inlineStr">
        <is>
          <t># Deliberately NOT listed:</t>
        </is>
      </c>
    </row>
    <row r="16">
      <c r="A16" s="99" t="inlineStr">
        <is>
          <t>#   USDCNY - the +/-2% limit is around a daily fixing, so the band moves every</t>
        </is>
      </c>
    </row>
    <row r="17">
      <c r="A17" s="99" t="inlineStr">
        <is>
          <t>#            day and is not a fixed range for a multi-month option.</t>
        </is>
      </c>
    </row>
    <row r="18">
      <c r="A18" s="99" t="inlineStr">
        <is>
          <t>#   USDCNH - offshore, not subject to the onshore limit at all.</t>
        </is>
      </c>
    </row>
    <row r="19">
      <c r="A19" s="99" t="inlineStr">
        <is>
          <t>#   DKK    - ERM II central rate 7.46038 with a +/-2.25% formal band, but the</t>
        </is>
      </c>
    </row>
    <row r="20">
      <c r="A20" s="99" t="inlineStr">
        <is>
          <t>#            Nationalbank runs a far tighter de facto range; add it only with</t>
        </is>
      </c>
    </row>
    <row r="21">
      <c r="A21" s="99" t="inlineStr">
        <is>
          <t>#            a range you are prepared to defend.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7"/>
  <sheetViews>
    <sheetView workbookViewId="0">
      <pane ySplit="18" topLeftCell="A19" activePane="bottomLeft" state="frozen"/>
      <selection activeCell="A1" sqref="A1"/>
    </sheetView>
  </sheetViews>
  <sheetFormatPr baseColWidth="8" defaultRowHeight="15"/>
  <cols>
    <col width="12" customWidth="1" style="102" min="1" max="1"/>
    <col width="10" customWidth="1" style="102" min="2" max="4"/>
    <col width="30" customWidth="1" style="102" min="5" max="5"/>
  </cols>
  <sheetData>
    <row r="1">
      <c r="A1" s="99" t="inlineStr">
        <is>
          <t># The kACE feed: which tenors are posted as pillars, and the ATM bid/offer</t>
        </is>
      </c>
    </row>
    <row r="2">
      <c r="A2" s="99" t="inlineStr">
        <is>
          <t># width at each, in volatility points.  Read by volkit/kace.py.</t>
        </is>
      </c>
    </row>
    <row r="3">
      <c r="A3" s="99" t="inlineStr">
        <is>
          <t>#</t>
        </is>
      </c>
    </row>
    <row r="4">
      <c r="A4" s="99" t="inlineStr">
        <is>
          <t># One row per tenor -- those are the pillars posted, so a tab with no rows</t>
        </is>
      </c>
    </row>
    <row r="5">
      <c r="A5" s="99" t="inlineStr">
        <is>
          <t># cannot be posted, and a tenor listed here with no wing marks in the</t>
        </is>
      </c>
    </row>
    <row r="6">
      <c r="A6" s="99" t="inlineStr">
        <is>
          <t># workbook is refused by name.  O/N is the one-day option and borrows the</t>
        </is>
      </c>
    </row>
    <row r="7">
      <c r="A7" s="99" t="inlineStr">
        <is>
          <t># shortest quoted tenor's wings.</t>
        </is>
      </c>
    </row>
    <row r="8">
      <c r="A8" s="99" t="inlineStr">
        <is>
          <t>#</t>
        </is>
      </c>
    </row>
    <row r="9">
      <c r="A9" s="99" t="inlineStr">
        <is>
          <t># One column per spreading TIER: 'default', plus whatever else the desk</t>
        </is>
      </c>
    </row>
    <row r="10">
      <c r="A10" s="99" t="inlineStr">
        <is>
          <t># names.  A tier is a quoting policy and not a currency -- the pair is</t>
        </is>
      </c>
    </row>
    <row r="11">
      <c r="A11" s="99" t="inlineStr">
        <is>
          <t># chosen on the kACE feed screen beside the tier -- and a cell a tier</t>
        </is>
      </c>
    </row>
    <row r="12">
      <c r="A12" s="99" t="inlineStr">
        <is>
          <t># leaves blank takes 'default' for that tenor.  Tiers are added, edited</t>
        </is>
      </c>
    </row>
    <row r="13">
      <c r="A13" s="99" t="inlineStr">
        <is>
          <t># and removed in the Config window, and reach this file with the marks.</t>
        </is>
      </c>
    </row>
    <row r="14">
      <c r="A14" s="99" t="inlineStr">
        <is>
          <t>#</t>
        </is>
      </c>
    </row>
    <row r="15">
      <c r="A15" s="99" t="inlineStr">
        <is>
          <t># A day between two pillars takes the spread of the earlier one; a day before</t>
        </is>
      </c>
    </row>
    <row r="16">
      <c r="A16" s="99" t="inlineStr">
        <is>
          <t># the O/N expiry takes O/N's.  The 'default' column is the USDCNH sheet's</t>
        </is>
      </c>
    </row>
    <row r="17">
      <c r="A17" s="99" t="inlineStr">
        <is>
          <t># column L, which is where this table started.</t>
        </is>
      </c>
    </row>
    <row r="18">
      <c r="A18" s="99" t="inlineStr">
        <is>
          <t>tenor</t>
        </is>
      </c>
      <c r="B18" s="99" t="inlineStr">
        <is>
          <t>default</t>
        </is>
      </c>
      <c r="C18" s="99" t="inlineStr">
        <is>
          <t>wide</t>
        </is>
      </c>
      <c r="D18" s="99" t="inlineStr">
        <is>
          <t>thin</t>
        </is>
      </c>
      <c r="E18" s="99" t="inlineStr">
        <is>
          <t>note</t>
        </is>
      </c>
    </row>
    <row r="19">
      <c r="A19" s="99" t="inlineStr">
        <is>
          <t>O/N</t>
        </is>
      </c>
      <c r="B19" s="99" t="n">
        <v>1</v>
      </c>
      <c r="C19" s="99" t="n">
        <v>1.5</v>
      </c>
      <c r="D19" s="99" t="n">
        <v>0.6</v>
      </c>
    </row>
    <row r="20">
      <c r="A20" s="99" t="inlineStr">
        <is>
          <t>1W</t>
        </is>
      </c>
      <c r="B20" s="99" t="n">
        <v>0.8</v>
      </c>
      <c r="C20" s="99" t="n">
        <v>1.2</v>
      </c>
      <c r="D20" s="99" t="n">
        <v>0.5</v>
      </c>
    </row>
    <row r="21">
      <c r="A21" s="99" t="inlineStr">
        <is>
          <t>2W</t>
        </is>
      </c>
      <c r="B21" s="99" t="n">
        <v>0.6</v>
      </c>
      <c r="C21" s="99" t="n">
        <v>0.9</v>
      </c>
      <c r="D21" s="99" t="n">
        <v>0.4</v>
      </c>
    </row>
    <row r="22">
      <c r="A22" s="99" t="inlineStr">
        <is>
          <t>1M</t>
        </is>
      </c>
      <c r="B22" s="99" t="n">
        <v>0.4</v>
      </c>
      <c r="C22" s="99" t="n">
        <v>0.6</v>
      </c>
      <c r="D22" s="99" t="n">
        <v>0.25</v>
      </c>
    </row>
    <row r="23">
      <c r="A23" s="99" t="inlineStr">
        <is>
          <t>2M</t>
        </is>
      </c>
      <c r="B23" s="99" t="n">
        <v>0.3</v>
      </c>
      <c r="C23" s="99" t="n">
        <v>0.45</v>
      </c>
      <c r="D23" s="99" t="n">
        <v>0.2</v>
      </c>
    </row>
    <row r="24">
      <c r="A24" s="99" t="inlineStr">
        <is>
          <t>3M</t>
        </is>
      </c>
      <c r="B24" s="99" t="n">
        <v>0.3</v>
      </c>
      <c r="C24" s="99" t="n">
        <v>0.45</v>
      </c>
      <c r="D24" s="99" t="n">
        <v>0.2</v>
      </c>
    </row>
    <row r="25">
      <c r="A25" s="99" t="inlineStr">
        <is>
          <t>6M</t>
        </is>
      </c>
      <c r="B25" s="99" t="n">
        <v>0.2</v>
      </c>
      <c r="C25" s="99" t="n">
        <v>0.3</v>
      </c>
      <c r="D25" s="99" t="n">
        <v>0.15</v>
      </c>
    </row>
    <row r="26">
      <c r="A26" s="99" t="inlineStr">
        <is>
          <t>9M</t>
        </is>
      </c>
      <c r="B26" s="99" t="n">
        <v>0.2</v>
      </c>
      <c r="C26" s="99" t="n">
        <v>0.3</v>
      </c>
      <c r="D26" s="99" t="n">
        <v>0.15</v>
      </c>
    </row>
    <row r="27">
      <c r="A27" s="99" t="inlineStr">
        <is>
          <t>1Y</t>
        </is>
      </c>
      <c r="B27" s="99" t="n">
        <v>0.2</v>
      </c>
      <c r="C27" s="99" t="n">
        <v>0.3</v>
      </c>
      <c r="D27" s="99" t="n">
        <v>0.15</v>
      </c>
    </row>
  </sheetData>
</worksheet>
</file>

<file path=xl/worksheets/sheet27.xml><?xml version="1.0" encoding="utf-8"?>
<worksheet xmlns="http://schemas.openxmlformats.org/spreadsheetml/2006/main">
  <sheetPr>
    <outlinePr summaryBelow="1" summaryRight="1"/>
    <pageSetUpPr/>
  </sheetPr>
  <dimension ref="A1:C21"/>
  <sheetViews>
    <sheetView workbookViewId="0">
      <pane ySplit="8" topLeftCell="A9" activePane="bottomLeft" state="frozen"/>
      <selection activeCell="A1" sqref="A1"/>
    </sheetView>
  </sheetViews>
  <sheetFormatPr baseColWidth="8" defaultRowHeight="15"/>
  <cols>
    <col width="12" customWidth="1" style="102" min="1" max="1"/>
    <col width="14" customWidth="1" style="102" min="2" max="2"/>
    <col width="10" customWidth="1" style="102" min="3" max="3"/>
  </cols>
  <sheetData>
    <row r="1">
      <c r="A1" s="99" t="inlineStr">
        <is>
          <t># Holiday dates no rule derives: country, date, remove.</t>
        </is>
      </c>
    </row>
    <row r="2">
      <c r="A2" s="99" t="inlineStr">
        <is>
          <t>#</t>
        </is>
      </c>
    </row>
    <row r="3">
      <c r="A3" s="99" t="inlineStr">
        <is>
          <t># Lunar-calendar holidays are published annually and cannot be worked out from</t>
        </is>
      </c>
    </row>
    <row r="4">
      <c r="A4" s="99" t="inlineStr">
        <is>
          <t># rules, so they are listed here. A row with remove = yes takes a date away</t>
        </is>
      </c>
    </row>
    <row r="5">
      <c r="A5" s="99" t="inlineStr">
        <is>
          <t># that the built-in rules would otherwise make a holiday.</t>
        </is>
      </c>
    </row>
    <row r="6">
      <c r="A6" s="99" t="inlineStr">
        <is>
          <t>#</t>
        </is>
      </c>
    </row>
    <row r="7">
      <c r="A7" s="99" t="inlineStr">
        <is>
          <t># Dates are YYYY-MM-DD. A '#' in the first column makes the whole row a note.</t>
        </is>
      </c>
    </row>
    <row r="8">
      <c r="A8" s="99" t="inlineStr">
        <is>
          <t>country</t>
        </is>
      </c>
      <c r="B8" s="99" t="inlineStr">
        <is>
          <t>date</t>
        </is>
      </c>
      <c r="C8" s="99" t="inlineStr">
        <is>
          <t>remove</t>
        </is>
      </c>
    </row>
    <row r="9">
      <c r="A9" s="99" t="inlineStr">
        <is>
          <t># Chinese New Year 2025</t>
        </is>
      </c>
    </row>
    <row r="10">
      <c r="A10" s="99" t="inlineStr">
        <is>
          <t>CN</t>
        </is>
      </c>
      <c r="B10" s="99" t="inlineStr">
        <is>
          <t>2025-01-28</t>
        </is>
      </c>
    </row>
    <row r="11">
      <c r="A11" s="99" t="inlineStr">
        <is>
          <t>CN</t>
        </is>
      </c>
      <c r="B11" s="99" t="inlineStr">
        <is>
          <t>2025-01-29</t>
        </is>
      </c>
    </row>
    <row r="12">
      <c r="A12" s="99" t="inlineStr">
        <is>
          <t>CN</t>
        </is>
      </c>
      <c r="B12" s="99" t="inlineStr">
        <is>
          <t>2025-01-30</t>
        </is>
      </c>
    </row>
    <row r="13">
      <c r="A13" s="99" t="inlineStr">
        <is>
          <t>CN</t>
        </is>
      </c>
      <c r="B13" s="99" t="inlineStr">
        <is>
          <t>2025-01-31</t>
        </is>
      </c>
    </row>
    <row r="14">
      <c r="A14" s="99" t="inlineStr">
        <is>
          <t>CN</t>
        </is>
      </c>
      <c r="B14" s="99" t="inlineStr">
        <is>
          <t>2025-02-03</t>
        </is>
      </c>
    </row>
    <row r="15">
      <c r="A15" s="99" t="inlineStr">
        <is>
          <t>CN</t>
        </is>
      </c>
      <c r="B15" s="99" t="inlineStr">
        <is>
          <t>2025-02-04</t>
        </is>
      </c>
    </row>
    <row r="16">
      <c r="A16" s="99" t="inlineStr">
        <is>
          <t># Chinese New Year 2026</t>
        </is>
      </c>
    </row>
    <row r="17">
      <c r="A17" s="99" t="inlineStr">
        <is>
          <t>CN</t>
        </is>
      </c>
      <c r="B17" s="99" t="inlineStr">
        <is>
          <t>2026-02-16</t>
        </is>
      </c>
    </row>
    <row r="18">
      <c r="A18" s="99" t="inlineStr">
        <is>
          <t>CN</t>
        </is>
      </c>
      <c r="B18" s="99" t="inlineStr">
        <is>
          <t>2026-02-17</t>
        </is>
      </c>
    </row>
    <row r="19">
      <c r="A19" s="99" t="inlineStr">
        <is>
          <t>CN</t>
        </is>
      </c>
      <c r="B19" s="99" t="inlineStr">
        <is>
          <t>2026-02-18</t>
        </is>
      </c>
    </row>
    <row r="20">
      <c r="A20" s="99" t="inlineStr">
        <is>
          <t>CN</t>
        </is>
      </c>
      <c r="B20" s="99" t="inlineStr">
        <is>
          <t>2026-02-19</t>
        </is>
      </c>
    </row>
    <row r="21">
      <c r="A21" s="99" t="inlineStr">
        <is>
          <t>CN</t>
        </is>
      </c>
      <c r="B21" s="99" t="inlineStr">
        <is>
          <t>2026-02-20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2026-09-01T13:22:56Z</dcterms:created>
  <dcterms:modified xsi:type="dcterms:W3CDTF">2026-09-03T02:57:58Z</dcterms:modified>
</cp:coreProperties>
</file>