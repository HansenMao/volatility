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DIC_CONFIG" sheetId="2" r:id="rId6"/>
    <sheet name="CONFIG" sheetId="3" r:id="rId7"/>
    <sheet name="NZDUSD" sheetId="4" r:id="rId8"/>
    <sheet name="GBPUSD" sheetId="5" r:id="rId9"/>
    <sheet name="GBPNZD" sheetId="6" r:id="rId10"/>
    <sheet name="USDHKD" sheetId="7" r:id="rId11"/>
    <sheet name="GBPCNH" sheetId="8" r:id="rId12"/>
    <sheet name="AUDCNH" sheetId="9" r:id="rId13"/>
    <sheet name="NZDCNH" sheetId="10" r:id="rId14"/>
    <sheet name="CNHHKD" sheetId="11" r:id="rId15"/>
    <sheet name="EURCNH" sheetId="12" r:id="rId16"/>
    <sheet name="AUDJPY" sheetId="13" r:id="rId17"/>
    <sheet name="EURJPY" sheetId="14" r:id="rId18"/>
    <sheet name="EURUSD" sheetId="15" r:id="rId19"/>
    <sheet name="AUDUSD" sheetId="16" r:id="rId20"/>
    <sheet name="USDJPY" sheetId="17" r:id="rId21"/>
    <sheet name="USDCNH" sheetId="18" r:id="rId22"/>
    <sheet name="USDCNY" sheetId="19" r:id="rId23"/>
    <sheet name="PARAMS" sheetId="20" r:id="rId24"/>
    <sheet name="Sales Margin" sheetId="21" r:id="rId25"/>
    <sheet name="Vega Weights" sheetId="22" r:id="rId26"/>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<sst xmlns="http://schemas.openxmlformats.org/spreadsheetml/2006/main" uniqueCount="90">
  <si>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</si>
  <si>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</si>
  <si>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</si>
  <si>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</si>
  <si>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</si>
  <si>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</si>
  <si>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INDIC_CONFIG</t>
  </si>
  <si>
    <r>
      <rPr>
        <u val="single"/>
        <sz val="12"/>
        <color indexed="11"/>
        <rFont val="Arial"/>
      </rPr>
      <t>INDIC_CONFIG</t>
    </r>
  </si>
  <si>
    <t>CONFIG</t>
  </si>
  <si>
    <r>
      <rPr>
        <u val="single"/>
        <sz val="12"/>
        <color indexed="11"/>
        <rFont val="Arial"/>
      </rPr>
      <t>CONFIG</t>
    </r>
  </si>
  <si>
    <t>NZDUSD</t>
  </si>
  <si>
    <r>
      <rPr>
        <u val="single"/>
        <sz val="12"/>
        <color indexed="11"/>
        <rFont val="Arial"/>
      </rPr>
      <t>NZDUSD</t>
    </r>
  </si>
  <si>
    <t>GBPUSD</t>
  </si>
  <si>
    <r>
      <rPr>
        <u val="single"/>
        <sz val="12"/>
        <color indexed="11"/>
        <rFont val="Arial"/>
      </rPr>
      <t>GBPUSD</t>
    </r>
  </si>
  <si>
    <t>GBPNZD</t>
  </si>
  <si>
    <r>
      <rPr>
        <u val="single"/>
        <sz val="12"/>
        <color indexed="11"/>
        <rFont val="Arial"/>
      </rPr>
      <t>GBPNZD</t>
    </r>
  </si>
  <si>
    <t>USDHKD</t>
  </si>
  <si>
    <r>
      <rPr>
        <u val="single"/>
        <sz val="12"/>
        <color indexed="11"/>
        <rFont val="Arial"/>
      </rPr>
      <t>USDHKD</t>
    </r>
  </si>
  <si>
    <t>GBPCNH</t>
  </si>
  <si>
    <r>
      <rPr>
        <u val="single"/>
        <sz val="12"/>
        <color indexed="11"/>
        <rFont val="Arial"/>
      </rPr>
      <t>GBPCNH</t>
    </r>
  </si>
  <si>
    <t>AUDCNH</t>
  </si>
  <si>
    <r>
      <rPr>
        <u val="single"/>
        <sz val="12"/>
        <color indexed="11"/>
        <rFont val="Arial"/>
      </rPr>
      <t>AUDCNH</t>
    </r>
  </si>
  <si>
    <t>NZDCNH</t>
  </si>
  <si>
    <r>
      <rPr>
        <u val="single"/>
        <sz val="12"/>
        <color indexed="11"/>
        <rFont val="Arial"/>
      </rPr>
      <t>NZDCNH</t>
    </r>
  </si>
  <si>
    <t>CNHHKD</t>
  </si>
  <si>
    <r>
      <rPr>
        <u val="single"/>
        <sz val="12"/>
        <color indexed="11"/>
        <rFont val="Arial"/>
      </rPr>
      <t>CNHHKD</t>
    </r>
  </si>
  <si>
    <t>EURCNH</t>
  </si>
  <si>
    <r>
      <rPr>
        <u val="single"/>
        <sz val="12"/>
        <color indexed="11"/>
        <rFont val="Arial"/>
      </rPr>
      <t>EURCNH</t>
    </r>
  </si>
  <si>
    <t>AUDJPY</t>
  </si>
  <si>
    <r>
      <rPr>
        <u val="single"/>
        <sz val="12"/>
        <color indexed="11"/>
        <rFont val="Arial"/>
      </rPr>
      <t>AUDJPY</t>
    </r>
  </si>
  <si>
    <t>EURJPY</t>
  </si>
  <si>
    <r>
      <rPr>
        <u val="single"/>
        <sz val="12"/>
        <color indexed="11"/>
        <rFont val="Arial"/>
      </rPr>
      <t>EURJPY</t>
    </r>
  </si>
  <si>
    <t>EURUSD</t>
  </si>
  <si>
    <r>
      <rPr>
        <u val="single"/>
        <sz val="12"/>
        <color indexed="11"/>
        <rFont val="Arial"/>
      </rPr>
      <t>EURUSD</t>
    </r>
  </si>
  <si>
    <t>AUDUSD</t>
  </si>
  <si>
    <r>
      <rPr>
        <u val="single"/>
        <sz val="12"/>
        <color indexed="11"/>
        <rFont val="Arial"/>
      </rPr>
      <t>AUDUSD</t>
    </r>
  </si>
  <si>
    <t>USDJPY</t>
  </si>
  <si>
    <r>
      <rPr>
        <u val="single"/>
        <sz val="12"/>
        <color indexed="11"/>
        <rFont val="Arial"/>
      </rPr>
      <t>USDJPY</t>
    </r>
  </si>
  <si>
    <t>USDCNH</t>
  </si>
  <si>
    <r>
      <rPr>
        <u val="single"/>
        <sz val="12"/>
        <color indexed="11"/>
        <rFont val="Arial"/>
      </rPr>
      <t>USDCNH</t>
    </r>
  </si>
  <si>
    <t>USDCNY</t>
  </si>
  <si>
    <r>
      <rPr>
        <u val="single"/>
        <sz val="12"/>
        <color indexed="11"/>
        <rFont val="Arial"/>
      </rPr>
      <t>USDCNY</t>
    </r>
  </si>
  <si>
    <t>PARAMS</t>
  </si>
  <si>
    <r>
      <rPr>
        <u val="single"/>
        <sz val="12"/>
        <color indexed="11"/>
        <rFont val="Arial"/>
      </rPr>
      <t>PARAMS</t>
    </r>
  </si>
  <si>
    <t>Sales Margin</t>
  </si>
  <si>
    <r>
      <rPr>
        <u val="single"/>
        <sz val="12"/>
        <color indexed="11"/>
        <rFont val="Arial"/>
      </rPr>
      <t>Sales Margin</t>
    </r>
  </si>
  <si>
    <t>Vega Weights</t>
  </si>
  <si>
    <r>
      <rPr>
        <u val="single"/>
        <sz val="12"/>
        <color indexed="11"/>
        <rFont val="Arial"/>
      </rPr>
      <t>Vega Weights</t>
    </r>
  </si>
  <si>
    <t>indication.xlsx</t>
  </si>
  <si>
    <t>PAIRS</t>
  </si>
  <si>
    <t>TENORS</t>
  </si>
  <si>
    <t>1w</t>
  </si>
  <si>
    <t>2w</t>
  </si>
  <si>
    <t>3w</t>
  </si>
  <si>
    <t>1m</t>
  </si>
  <si>
    <t>2m</t>
  </si>
  <si>
    <t>3m</t>
  </si>
  <si>
    <t>6m</t>
  </si>
  <si>
    <t>9m</t>
  </si>
  <si>
    <t>1y</t>
  </si>
  <si>
    <t>EURGBP</t>
  </si>
  <si>
    <t>expiry</t>
  </si>
  <si>
    <t>ST 10D</t>
  </si>
  <si>
    <t>ST 25D</t>
  </si>
  <si>
    <t>RR 25D</t>
  </si>
  <si>
    <t>RR 10D</t>
  </si>
  <si>
    <t>1W</t>
  </si>
  <si>
    <t>2W</t>
  </si>
  <si>
    <t>3W</t>
  </si>
  <si>
    <t>1M</t>
  </si>
  <si>
    <t>2M</t>
  </si>
  <si>
    <t>3M</t>
  </si>
  <si>
    <t>6M</t>
  </si>
  <si>
    <t>9M</t>
  </si>
  <si>
    <t>1Y</t>
  </si>
  <si>
    <t>2Y</t>
  </si>
  <si>
    <t>initial</t>
  </si>
  <si>
    <t>long term</t>
  </si>
  <si>
    <t>ratevol</t>
  </si>
  <si>
    <t>addon</t>
  </si>
  <si>
    <t>MR</t>
  </si>
  <si>
    <t>rate corr</t>
  </si>
  <si>
    <t>short decay</t>
  </si>
  <si>
    <t>02/02/2024 00:00</t>
  </si>
  <si>
    <t>02/02/2024 10:00</t>
  </si>
  <si>
    <t>date</t>
  </si>
  <si>
    <t>daily</t>
  </si>
  <si>
    <t>total</t>
  </si>
  <si>
    <t>2y</t>
  </si>
  <si>
    <t>3y</t>
  </si>
</sst>
</file>

<file path=xl/styles.xml><?xml version="1.0" encoding="utf-8"?>
<styleSheet xmlns="http://schemas.openxmlformats.org/spreadsheetml/2006/main">
  <numFmts count="10">
    <numFmt numFmtId="0" formatCode="General"/>
    <numFmt numFmtId="59" formatCode="0.000"/>
    <numFmt numFmtId="60" formatCode="&quot; &quot;* #,##0.000&quot; &quot;;&quot; &quot;* (#,##0.000);&quot; &quot;* &quot;-&quot;??&quot; &quot;"/>
    <numFmt numFmtId="61" formatCode="0.0000"/>
    <numFmt numFmtId="62" formatCode="&quot; &quot;* #,##0&quot; &quot;;&quot; &quot;* (#,##0);&quot; &quot;* &quot;-&quot;??&quot; &quot;"/>
    <numFmt numFmtId="63" formatCode="&quot; &quot;* #,##0.0000&quot; &quot;;&quot; &quot;* (#,##0.0000);&quot; &quot;* &quot;-&quot;??&quot; &quot;"/>
    <numFmt numFmtId="64" formatCode="&quot; &quot;* #,##0.00000&quot; &quot;;&quot; &quot;* (#,##0.00000);&quot; &quot;* &quot;-&quot;??&quot; &quot;"/>
    <numFmt numFmtId="65" formatCode="0.000%"/>
    <numFmt numFmtId="66" formatCode="&quot; &quot;* #,##0.00&quot; &quot;;&quot; &quot;* (#,##0.00);&quot; &quot;* &quot;-&quot;??&quot; &quot;"/>
    <numFmt numFmtId="67" formatCode="dd/mm/yyyy"/>
  </numFmts>
  <fonts count="10">
    <font>
      <sz val="10"/>
      <color indexed="8"/>
      <name val="Arial"/>
    </font>
    <font>
      <sz val="12"/>
      <color indexed="8"/>
      <name val="Arial"/>
    </font>
    <font>
      <sz val="14"/>
      <color indexed="8"/>
      <name val="Arial"/>
    </font>
    <font>
      <sz val="12"/>
      <color indexed="8"/>
      <name val="Helvetica Neue"/>
    </font>
    <font>
      <u val="single"/>
      <sz val="12"/>
      <color indexed="11"/>
      <name val="Arial"/>
    </font>
    <font>
      <sz val="15"/>
      <color indexed="8"/>
      <name val="Calibri"/>
    </font>
    <font>
      <sz val="9"/>
      <color indexed="14"/>
      <name val="SimSun"/>
    </font>
    <font>
      <sz val="12"/>
      <color indexed="8"/>
      <name val="Times New Roman"/>
    </font>
    <font>
      <sz val="11"/>
      <color indexed="20"/>
      <name val="Calibri"/>
    </font>
    <font>
      <sz val="11"/>
      <color indexed="8"/>
      <name val="等线"/>
    </font>
  </fonts>
  <fills count="10">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s>
  <borders count="17">
    <border>
      <left/>
      <right/>
      <top/>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diagonal/>
    </border>
    <border>
      <left style="thin">
        <color indexed="12"/>
      </left>
      <right/>
      <top style="thin">
        <color indexed="12"/>
      </top>
      <bottom style="thin">
        <color indexed="12"/>
      </bottom>
      <diagonal/>
    </border>
    <border>
      <left/>
      <right style="thin">
        <color indexed="12"/>
      </right>
      <top style="thin">
        <color indexed="12"/>
      </top>
      <bottom style="thin">
        <color indexed="12"/>
      </bottom>
      <diagonal/>
    </border>
    <border>
      <left style="thin">
        <color indexed="12"/>
      </left>
      <right style="thin">
        <color indexed="12"/>
      </right>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12"/>
      </right>
      <top style="thin">
        <color indexed="12"/>
      </top>
      <bottom style="thin">
        <color indexed="12"/>
      </bottom>
      <diagonal/>
    </border>
  </borders>
  <cellStyleXfs count="1">
    <xf numFmtId="0" fontId="0" applyNumberFormat="0" applyFont="1" applyFill="0" applyBorder="0" applyAlignment="1" applyProtection="0">
      <alignment vertical="bottom"/>
    </xf>
  </cellStyleXfs>
  <cellXfs count="93">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1" fillId="4" borderId="5" applyNumberFormat="1" applyFont="1" applyFill="1" applyBorder="1" applyAlignment="1" applyProtection="0">
      <alignment horizontal="left" vertical="bottom" wrapText="1"/>
    </xf>
    <xf numFmtId="49" fontId="2" borderId="5" applyNumberFormat="1" applyFont="1" applyFill="0"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0" fontId="0" borderId="7" applyNumberFormat="0" applyFont="1" applyFill="0" applyBorder="1" applyAlignment="1" applyProtection="0">
      <alignment vertical="bottom"/>
    </xf>
    <xf numFmtId="0" fontId="1" fillId="3" borderId="8" applyNumberFormat="0" applyFont="1" applyFill="1" applyBorder="1" applyAlignment="1" applyProtection="0">
      <alignment horizontal="left" vertical="bottom"/>
    </xf>
    <xf numFmtId="49" fontId="1" fillId="3" borderId="8" applyNumberFormat="1" applyFont="1" applyFill="1" applyBorder="1" applyAlignment="1" applyProtection="0">
      <alignment horizontal="left" vertical="bottom"/>
    </xf>
    <xf numFmtId="49" fontId="4" fillId="3" borderId="8" applyNumberFormat="1" applyFont="1" applyFill="1" applyBorder="1" applyAlignment="1" applyProtection="0">
      <alignment horizontal="lef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6" fillId="4" borderId="10" applyNumberFormat="1" applyFont="1" applyFill="1" applyBorder="1" applyAlignment="1" applyProtection="0">
      <alignment vertical="center"/>
    </xf>
    <xf numFmtId="0" fontId="0" fillId="4" borderId="10" applyNumberFormat="0" applyFont="1" applyFill="1" applyBorder="1" applyAlignment="1" applyProtection="0">
      <alignment vertical="bottom"/>
    </xf>
    <xf numFmtId="0" fontId="0" applyNumberFormat="1" applyFont="1" applyFill="0" applyBorder="0" applyAlignment="1" applyProtection="0">
      <alignment vertical="bottom"/>
    </xf>
    <xf numFmtId="49" fontId="0" fillId="4" borderId="10"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4" borderId="11" applyNumberFormat="1" applyFont="1" applyFill="1" applyBorder="1" applyAlignment="1" applyProtection="0">
      <alignment vertical="bottom"/>
    </xf>
    <xf numFmtId="49" fontId="0" fillId="4" borderId="12" applyNumberFormat="1" applyFont="1" applyFill="1" applyBorder="1" applyAlignment="1" applyProtection="0">
      <alignment vertical="bottom"/>
    </xf>
    <xf numFmtId="1" fontId="0" fillId="5" borderId="5" applyNumberFormat="1" applyFont="1" applyFill="1" applyBorder="1" applyAlignment="1" applyProtection="0">
      <alignment vertical="bottom"/>
    </xf>
    <xf numFmtId="1" fontId="0" fillId="4" borderId="13" applyNumberFormat="1" applyFont="1" applyFill="1" applyBorder="1" applyAlignment="1" applyProtection="0">
      <alignment vertical="bottom"/>
    </xf>
    <xf numFmtId="1" fontId="0" fillId="4" borderId="12" applyNumberFormat="1" applyFont="1" applyFill="1" applyBorder="1" applyAlignment="1" applyProtection="0">
      <alignment vertical="bottom"/>
    </xf>
    <xf numFmtId="1" fontId="0" fillId="5" borderId="6" applyNumberFormat="1" applyFont="1" applyFill="1" applyBorder="1" applyAlignment="1" applyProtection="0">
      <alignment vertical="bottom"/>
    </xf>
    <xf numFmtId="1" fontId="0" fillId="5" borderId="8" applyNumberFormat="1" applyFont="1" applyFill="1" applyBorder="1" applyAlignment="1" applyProtection="0">
      <alignment vertical="bottom"/>
    </xf>
    <xf numFmtId="1" fontId="0" fillId="5" borderId="9" applyNumberFormat="1"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59" fontId="0" fillId="5" borderId="5" applyNumberFormat="1" applyFont="1" applyFill="1" applyBorder="1" applyAlignment="1" applyProtection="0">
      <alignment vertical="bottom"/>
    </xf>
    <xf numFmtId="59" fontId="0" fillId="4" borderId="13" applyNumberFormat="1" applyFont="1" applyFill="1" applyBorder="1" applyAlignment="1" applyProtection="0">
      <alignment vertical="bottom"/>
    </xf>
    <xf numFmtId="59" fontId="0" fillId="4" borderId="12" applyNumberFormat="1" applyFont="1" applyFill="1" applyBorder="1" applyAlignment="1" applyProtection="0">
      <alignment vertical="bottom"/>
    </xf>
    <xf numFmtId="59" fontId="0" fillId="5" borderId="6" applyNumberFormat="1" applyFont="1" applyFill="1" applyBorder="1" applyAlignment="1" applyProtection="0">
      <alignment vertical="bottom"/>
    </xf>
    <xf numFmtId="59" fontId="0" fillId="5" borderId="8" applyNumberFormat="1" applyFont="1" applyFill="1" applyBorder="1" applyAlignment="1" applyProtection="0">
      <alignment vertical="bottom"/>
    </xf>
    <xf numFmtId="59" fontId="0" fillId="5" borderId="9" applyNumberFormat="1"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1" fontId="0" fillId="6" borderId="5" applyNumberFormat="1" applyFont="1" applyFill="1" applyBorder="1" applyAlignment="1" applyProtection="0">
      <alignment vertical="bottom"/>
    </xf>
    <xf numFmtId="0" fontId="0" fillId="4" borderId="13" applyNumberFormat="0" applyFont="1" applyFill="1" applyBorder="1" applyAlignment="1" applyProtection="0">
      <alignment vertical="bottom"/>
    </xf>
    <xf numFmtId="0" fontId="0" fillId="4" borderId="14" applyNumberFormat="0" applyFont="1" applyFill="1" applyBorder="1" applyAlignment="1" applyProtection="0">
      <alignment vertical="bottom"/>
    </xf>
    <xf numFmtId="60" fontId="0" fillId="4" borderId="10" applyNumberFormat="1" applyFont="1" applyFill="1" applyBorder="1" applyAlignment="1" applyProtection="0">
      <alignment vertical="bottom"/>
    </xf>
    <xf numFmtId="0" fontId="0" applyNumberFormat="1" applyFont="1" applyFill="0" applyBorder="0" applyAlignment="1" applyProtection="0">
      <alignment vertical="bottom"/>
    </xf>
    <xf numFmtId="1" fontId="0" fillId="7" borderId="5" applyNumberFormat="1" applyFont="1" applyFill="1" applyBorder="1" applyAlignment="1" applyProtection="0">
      <alignment vertical="bottom"/>
    </xf>
    <xf numFmtId="1" fontId="0" fillId="7" borderId="6" applyNumberFormat="1" applyFont="1" applyFill="1" applyBorder="1" applyAlignment="1" applyProtection="0">
      <alignment vertical="bottom"/>
    </xf>
    <xf numFmtId="1" fontId="0" fillId="7" borderId="8" applyNumberFormat="1" applyFont="1" applyFill="1" applyBorder="1" applyAlignment="1" applyProtection="0">
      <alignment vertical="bottom"/>
    </xf>
    <xf numFmtId="1" fontId="0" fillId="7" borderId="9" applyNumberFormat="1" applyFont="1" applyFill="1" applyBorder="1" applyAlignment="1" applyProtection="0">
      <alignment vertical="bottom"/>
    </xf>
    <xf numFmtId="0" fontId="0" applyNumberFormat="1" applyFont="1" applyFill="0" applyBorder="0" applyAlignment="1" applyProtection="0">
      <alignment vertical="bottom"/>
    </xf>
    <xf numFmtId="1" fontId="0" fillId="8" borderId="9" applyNumberFormat="1"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1" fontId="0" fillId="8" borderId="6" applyNumberFormat="1" applyFont="1" applyFill="1" applyBorder="1" applyAlignment="1" applyProtection="0">
      <alignment vertical="bottom"/>
    </xf>
    <xf numFmtId="1" fontId="0" fillId="9" borderId="5" applyNumberFormat="1" applyFont="1" applyFill="1" applyBorder="1" applyAlignment="1" applyProtection="0">
      <alignment vertical="bottom"/>
    </xf>
    <xf numFmtId="1" fontId="0" fillId="9" borderId="8" applyNumberFormat="1" applyFont="1" applyFill="1" applyBorder="1" applyAlignment="1" applyProtection="0">
      <alignment vertical="bottom"/>
    </xf>
    <xf numFmtId="0" fontId="0" applyNumberFormat="1" applyFont="1" applyFill="0" applyBorder="0" applyAlignment="1" applyProtection="0">
      <alignment vertical="bottom"/>
    </xf>
    <xf numFmtId="61" fontId="0" fillId="4" borderId="10" applyNumberFormat="1" applyFont="1" applyFill="1" applyBorder="1" applyAlignment="1" applyProtection="0">
      <alignment vertical="bottom"/>
    </xf>
    <xf numFmtId="62" fontId="0" fillId="4" borderId="10" applyNumberFormat="1" applyFont="1" applyFill="1" applyBorder="1" applyAlignment="1" applyProtection="0">
      <alignment vertical="bottom"/>
    </xf>
    <xf numFmtId="63" fontId="0" fillId="4" borderId="10" applyNumberFormat="1" applyFont="1" applyFill="1" applyBorder="1" applyAlignment="1" applyProtection="0">
      <alignment vertical="bottom"/>
    </xf>
    <xf numFmtId="64" fontId="0" fillId="4" borderId="10" applyNumberFormat="1" applyFont="1" applyFill="1" applyBorder="1" applyAlignment="1" applyProtection="0">
      <alignment vertical="bottom"/>
    </xf>
    <xf numFmtId="65" fontId="0" fillId="4" borderId="10" applyNumberFormat="1" applyFont="1" applyFill="1" applyBorder="1" applyAlignment="1" applyProtection="0">
      <alignment vertical="bottom"/>
    </xf>
    <xf numFmtId="66" fontId="0" fillId="4" borderId="10" applyNumberFormat="1"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0" fillId="4" borderId="15" applyNumberFormat="1" applyFont="1" applyFill="1" applyBorder="1" applyAlignment="1" applyProtection="0">
      <alignment vertical="bottom"/>
    </xf>
    <xf numFmtId="49" fontId="0" fillId="4" borderId="16" applyNumberFormat="1" applyFont="1" applyFill="1" applyBorder="1" applyAlignment="1" applyProtection="0">
      <alignment vertical="bottom"/>
    </xf>
    <xf numFmtId="1" fontId="0" fillId="4" borderId="10" applyNumberFormat="1" applyFont="1" applyFill="1" applyBorder="1" applyAlignment="1" applyProtection="0">
      <alignment vertical="bottom"/>
    </xf>
    <xf numFmtId="1" fontId="0" fillId="4" borderId="15" applyNumberFormat="1" applyFont="1" applyFill="1" applyBorder="1" applyAlignment="1" applyProtection="0">
      <alignment vertical="bottom"/>
    </xf>
    <xf numFmtId="1" fontId="0" fillId="4" borderId="16" applyNumberFormat="1"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0" applyFont="1" applyFill="1" applyBorder="1" applyAlignment="1" applyProtection="0">
      <alignment vertical="bottom"/>
    </xf>
    <xf numFmtId="62" fontId="0" fillId="4" borderId="15" applyNumberFormat="1" applyFont="1" applyFill="1" applyBorder="1" applyAlignment="1" applyProtection="0">
      <alignment vertical="bottom"/>
    </xf>
    <xf numFmtId="1" fontId="8" fillId="4" borderId="10" applyNumberFormat="1" applyFont="1" applyFill="1" applyBorder="1" applyAlignment="1" applyProtection="0">
      <alignment vertical="bottom"/>
    </xf>
    <xf numFmtId="0" fontId="0" applyNumberFormat="1" applyFont="1" applyFill="0" applyBorder="0" applyAlignment="1" applyProtection="0">
      <alignment vertical="bottom"/>
    </xf>
    <xf numFmtId="67" fontId="0" fillId="4" borderId="10" applyNumberFormat="1" applyFont="1" applyFill="1" applyBorder="1" applyAlignment="1" applyProtection="0">
      <alignment vertical="bottom"/>
    </xf>
    <xf numFmtId="0" fontId="0" applyNumberFormat="1" applyFont="1" applyFill="0" applyBorder="0" applyAlignment="1" applyProtection="0">
      <alignment vertical="bottom"/>
    </xf>
    <xf numFmtId="1" fontId="9" fillId="4" borderId="10" applyNumberFormat="1" applyFont="1" applyFill="1" applyBorder="1" applyAlignment="1" applyProtection="0">
      <alignment vertical="bottom"/>
    </xf>
    <xf numFmtId="49" fontId="9" fillId="4" borderId="10" applyNumberFormat="1"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6a8759"/>
      <rgbColor rgb="ffd0cece"/>
      <rgbColor rgb="ffd9d9d9"/>
      <rgbColor rgb="ffbfbfbf"/>
      <rgbColor rgb="ffffff00"/>
      <rgbColor rgb="ff808080"/>
      <rgbColor rgb="ff1f497d"/>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0.xml"/><Relationship Id="rId15" Type="http://schemas.openxmlformats.org/officeDocument/2006/relationships/worksheet" Target="worksheets/sheet11.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 Id="rId24" Type="http://schemas.openxmlformats.org/officeDocument/2006/relationships/worksheet" Target="worksheets/sheet20.xml"/><Relationship Id="rId25" Type="http://schemas.openxmlformats.org/officeDocument/2006/relationships/worksheet" Target="worksheets/sheet21.xml"/><Relationship Id="rId26" Type="http://schemas.openxmlformats.org/officeDocument/2006/relationships/worksheet" Target="worksheets/sheet22.xml"/></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Pr>
    <pageSetUpPr fitToPage="1"/>
  </sheetPr>
  <dimension ref="A1:E50"/>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3.6016" customWidth="1"/>
    <col min="2" max="2" width="33.6719" style="6" customWidth="1"/>
    <col min="3" max="3" width="33.6719" style="6" customWidth="1"/>
    <col min="4" max="4" width="33.6719" style="6" customWidth="1"/>
    <col min="5" max="5" width="10" style="6" customWidth="1"/>
    <col min="6" max="16384" width="10" style="6" customWidth="1"/>
  </cols>
  <sheetData>
    <row r="1" ht="13.65" customHeight="1">
      <c r="A1" s="7"/>
      <c r="B1" s="8"/>
      <c r="C1" s="8"/>
      <c r="D1" s="8"/>
      <c r="E1" s="9"/>
    </row>
    <row r="2" ht="13.65" customHeight="1">
      <c r="A2" s="10"/>
      <c r="B2" s="11"/>
      <c r="C2" s="11"/>
      <c r="D2" s="11"/>
      <c r="E2" s="12"/>
    </row>
    <row r="3" ht="0.05" customHeight="1">
      <c r="A3" s="10"/>
      <c r="B3" t="s" s="13">
        <v>0</v>
      </c>
      <c r="C3" s="11"/>
      <c r="D3" s="11"/>
      <c r="E3" s="12"/>
    </row>
    <row r="4" ht="13.65" customHeight="1">
      <c r="A4" s="10"/>
      <c r="B4" s="11"/>
      <c r="C4" s="11"/>
      <c r="D4" s="11"/>
      <c r="E4" s="12"/>
    </row>
    <row r="5" ht="13.65" customHeight="1">
      <c r="A5" s="10"/>
      <c r="B5" s="11"/>
      <c r="C5" s="11"/>
      <c r="D5" s="11"/>
      <c r="E5" s="12"/>
    </row>
    <row r="6" ht="13.65" customHeight="1">
      <c r="A6" s="10"/>
      <c r="B6" s="11"/>
      <c r="C6" s="11"/>
      <c r="D6" s="11"/>
      <c r="E6" s="12"/>
    </row>
    <row r="7">
      <c r="A7" s="10"/>
      <c r="B7" t="s" s="14">
        <v>1</v>
      </c>
      <c r="C7" t="s" s="14">
        <v>2</v>
      </c>
      <c r="D7" t="s" s="14">
        <v>3</v>
      </c>
      <c r="E7" s="12"/>
    </row>
    <row r="8" ht="13.65" customHeight="1">
      <c r="A8" s="10"/>
      <c r="B8" s="11"/>
      <c r="C8" s="11"/>
      <c r="D8" s="11"/>
      <c r="E8" s="12"/>
    </row>
    <row r="9">
      <c r="A9" s="10"/>
      <c r="B9" t="s" s="15">
        <v>6</v>
      </c>
      <c r="C9" s="16"/>
      <c r="D9" s="16"/>
      <c r="E9" s="12"/>
    </row>
    <row r="10">
      <c r="A10" s="10"/>
      <c r="B10" s="17"/>
      <c r="C10" t="s" s="18">
        <v>5</v>
      </c>
      <c r="D10" t="s" s="19">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10"/>
      <c r="B14" s="4"/>
      <c r="C14" t="s" s="4">
        <v>5</v>
      </c>
      <c r="D14" t="s" s="5">
        <v>8</v>
      </c>
      <c r="E14" s="12"/>
    </row>
    <row r="15" ht="13" customHeight="1">
      <c r="A15" s="10"/>
      <c r="B15" t="s" s="3">
        <v>10</v>
      </c>
      <c r="C15" s="3"/>
      <c r="D15" s="3"/>
      <c r="E15" s="12"/>
    </row>
    <row r="16" ht="13" customHeight="1">
      <c r="A16" s="10"/>
      <c r="B16" s="4"/>
      <c r="C16" t="s" s="4">
        <v>5</v>
      </c>
      <c r="D16" t="s" s="5">
        <v>10</v>
      </c>
      <c r="E16" s="12"/>
    </row>
    <row r="17" ht="13" customHeight="1">
      <c r="A17" s="10"/>
      <c r="B17" t="s" s="3">
        <v>12</v>
      </c>
      <c r="C17" s="3"/>
      <c r="D17" s="3"/>
      <c r="E17" s="12"/>
    </row>
    <row r="18" ht="13" customHeight="1">
      <c r="A18" s="10"/>
      <c r="B18" s="4"/>
      <c r="C18" t="s" s="4">
        <v>5</v>
      </c>
      <c r="D18" t="s" s="5">
        <v>12</v>
      </c>
      <c r="E18" s="12"/>
    </row>
    <row r="19" ht="13" customHeight="1">
      <c r="A19" s="10"/>
      <c r="B19" t="s" s="3">
        <v>14</v>
      </c>
      <c r="C19" s="3"/>
      <c r="D19" s="3"/>
      <c r="E19" s="12"/>
    </row>
    <row r="20" ht="13" customHeight="1">
      <c r="A20" s="10"/>
      <c r="B20" s="4"/>
      <c r="C20" t="s" s="4">
        <v>5</v>
      </c>
      <c r="D20" t="s" s="5">
        <v>14</v>
      </c>
      <c r="E20" s="12"/>
    </row>
    <row r="21" ht="13" customHeight="1">
      <c r="A21" s="10"/>
      <c r="B21" t="s" s="3">
        <v>16</v>
      </c>
      <c r="C21" s="3"/>
      <c r="D21" s="3"/>
      <c r="E21" s="12"/>
    </row>
    <row r="22" ht="13" customHeight="1">
      <c r="A22" s="10"/>
      <c r="B22" s="4"/>
      <c r="C22" t="s" s="4">
        <v>5</v>
      </c>
      <c r="D22" t="s" s="5">
        <v>16</v>
      </c>
      <c r="E22" s="12"/>
    </row>
    <row r="23" ht="13" customHeight="1">
      <c r="A23" s="10"/>
      <c r="B23" t="s" s="3">
        <v>18</v>
      </c>
      <c r="C23" s="3"/>
      <c r="D23" s="3"/>
      <c r="E23" s="12"/>
    </row>
    <row r="24" ht="13" customHeight="1">
      <c r="A24" s="10"/>
      <c r="B24" s="4"/>
      <c r="C24" t="s" s="4">
        <v>5</v>
      </c>
      <c r="D24" t="s" s="5">
        <v>18</v>
      </c>
      <c r="E24" s="12"/>
    </row>
    <row r="25" ht="13" customHeight="1">
      <c r="A25" s="10"/>
      <c r="B25" t="s" s="3">
        <v>20</v>
      </c>
      <c r="C25" s="3"/>
      <c r="D25" s="3"/>
      <c r="E25" s="12"/>
    </row>
    <row r="26" ht="13" customHeight="1">
      <c r="A26" s="10"/>
      <c r="B26" s="4"/>
      <c r="C26" t="s" s="4">
        <v>5</v>
      </c>
      <c r="D26" t="s" s="5">
        <v>20</v>
      </c>
      <c r="E26" s="12"/>
    </row>
    <row r="27" ht="13" customHeight="1">
      <c r="A27" s="10"/>
      <c r="B27" t="s" s="3">
        <v>22</v>
      </c>
      <c r="C27" s="3"/>
      <c r="D27" s="3"/>
      <c r="E27" s="12"/>
    </row>
    <row r="28" ht="13" customHeight="1">
      <c r="A28" s="10"/>
      <c r="B28" s="4"/>
      <c r="C28" t="s" s="4">
        <v>5</v>
      </c>
      <c r="D28" t="s" s="5">
        <v>22</v>
      </c>
      <c r="E28" s="12"/>
    </row>
    <row r="29" ht="13" customHeight="1">
      <c r="A29" s="10"/>
      <c r="B29" t="s" s="3">
        <v>24</v>
      </c>
      <c r="C29" s="3"/>
      <c r="D29" s="3"/>
      <c r="E29" s="12"/>
    </row>
    <row r="30" ht="13" customHeight="1">
      <c r="A30" s="10"/>
      <c r="B30" s="4"/>
      <c r="C30" t="s" s="4">
        <v>5</v>
      </c>
      <c r="D30" t="s" s="5">
        <v>24</v>
      </c>
      <c r="E30" s="12"/>
    </row>
    <row r="31" ht="13" customHeight="1">
      <c r="A31" s="10"/>
      <c r="B31" t="s" s="3">
        <v>26</v>
      </c>
      <c r="C31" s="3"/>
      <c r="D31" s="3"/>
      <c r="E31" s="12"/>
    </row>
    <row r="32" ht="13" customHeight="1">
      <c r="A32" s="10"/>
      <c r="B32" s="4"/>
      <c r="C32" t="s" s="4">
        <v>5</v>
      </c>
      <c r="D32" t="s" s="5">
        <v>26</v>
      </c>
      <c r="E32" s="12"/>
    </row>
    <row r="33" ht="13" customHeight="1">
      <c r="A33" s="10"/>
      <c r="B33" t="s" s="3">
        <v>28</v>
      </c>
      <c r="C33" s="3"/>
      <c r="D33" s="3"/>
      <c r="E33" s="12"/>
    </row>
    <row r="34" ht="13" customHeight="1">
      <c r="A34" s="10"/>
      <c r="B34" s="4"/>
      <c r="C34" t="s" s="4">
        <v>5</v>
      </c>
      <c r="D34" t="s" s="5">
        <v>28</v>
      </c>
      <c r="E34" s="12"/>
    </row>
    <row r="35" ht="13" customHeight="1">
      <c r="A35" s="10"/>
      <c r="B35" t="s" s="3">
        <v>30</v>
      </c>
      <c r="C35" s="3"/>
      <c r="D35" s="3"/>
      <c r="E35" s="12"/>
    </row>
    <row r="36" ht="13" customHeight="1">
      <c r="A36" s="10"/>
      <c r="B36" s="4"/>
      <c r="C36" t="s" s="4">
        <v>5</v>
      </c>
      <c r="D36" t="s" s="5">
        <v>30</v>
      </c>
      <c r="E36" s="12"/>
    </row>
    <row r="37" ht="13" customHeight="1">
      <c r="A37" s="10"/>
      <c r="B37" t="s" s="3">
        <v>32</v>
      </c>
      <c r="C37" s="3"/>
      <c r="D37" s="3"/>
      <c r="E37" s="12"/>
    </row>
    <row r="38" ht="13" customHeight="1">
      <c r="A38" s="10"/>
      <c r="B38" s="4"/>
      <c r="C38" t="s" s="4">
        <v>5</v>
      </c>
      <c r="D38" t="s" s="5">
        <v>32</v>
      </c>
      <c r="E38" s="12"/>
    </row>
    <row r="39" ht="13" customHeight="1">
      <c r="A39" s="10"/>
      <c r="B39" t="s" s="3">
        <v>34</v>
      </c>
      <c r="C39" s="3"/>
      <c r="D39" s="3"/>
      <c r="E39" s="12"/>
    </row>
    <row r="40" ht="13" customHeight="1">
      <c r="A40" s="10"/>
      <c r="B40" s="4"/>
      <c r="C40" t="s" s="4">
        <v>5</v>
      </c>
      <c r="D40" t="s" s="5">
        <v>34</v>
      </c>
      <c r="E40" s="12"/>
    </row>
    <row r="41" ht="13" customHeight="1">
      <c r="A41" s="10"/>
      <c r="B41" t="s" s="3">
        <v>36</v>
      </c>
      <c r="C41" s="3"/>
      <c r="D41" s="3"/>
      <c r="E41" s="12"/>
    </row>
    <row r="42" ht="13" customHeight="1">
      <c r="A42" s="10"/>
      <c r="B42" s="4"/>
      <c r="C42" t="s" s="4">
        <v>5</v>
      </c>
      <c r="D42" t="s" s="5">
        <v>36</v>
      </c>
      <c r="E42" s="12"/>
    </row>
    <row r="43" ht="13" customHeight="1">
      <c r="A43" s="10"/>
      <c r="B43" t="s" s="3">
        <v>38</v>
      </c>
      <c r="C43" s="3"/>
      <c r="D43" s="3"/>
      <c r="E43" s="12"/>
    </row>
    <row r="44" ht="13" customHeight="1">
      <c r="A44" s="10"/>
      <c r="B44" s="4"/>
      <c r="C44" t="s" s="4">
        <v>5</v>
      </c>
      <c r="D44" t="s" s="5">
        <v>38</v>
      </c>
      <c r="E44" s="12"/>
    </row>
    <row r="45" ht="13" customHeight="1">
      <c r="A45" s="10"/>
      <c r="B45" t="s" s="3">
        <v>40</v>
      </c>
      <c r="C45" s="3"/>
      <c r="D45" s="3"/>
      <c r="E45" s="12"/>
    </row>
    <row r="46" ht="13" customHeight="1">
      <c r="A46" s="10"/>
      <c r="B46" s="4"/>
      <c r="C46" t="s" s="4">
        <v>5</v>
      </c>
      <c r="D46" t="s" s="5">
        <v>40</v>
      </c>
      <c r="E46" s="12"/>
    </row>
    <row r="47" ht="13" customHeight="1">
      <c r="A47" s="10"/>
      <c r="B47" t="s" s="3">
        <v>42</v>
      </c>
      <c r="C47" s="3"/>
      <c r="D47" s="3"/>
      <c r="E47" s="12"/>
    </row>
    <row r="48" ht="13" customHeight="1">
      <c r="A48" s="10"/>
      <c r="B48" s="4"/>
      <c r="C48" t="s" s="4">
        <v>5</v>
      </c>
      <c r="D48" t="s" s="5">
        <v>42</v>
      </c>
      <c r="E48" s="12"/>
    </row>
    <row r="49" ht="13" customHeight="1">
      <c r="A49" s="10"/>
      <c r="B49" t="s" s="3">
        <v>44</v>
      </c>
      <c r="C49" s="3"/>
      <c r="D49" s="3"/>
      <c r="E49" s="12"/>
    </row>
    <row r="50" ht="13" customHeight="1">
      <c r="A50" s="20"/>
      <c r="B50" s="4"/>
      <c r="C50" t="s" s="4">
        <v>5</v>
      </c>
      <c r="D50" t="s" s="5">
        <v>44</v>
      </c>
      <c r="E50" s="24"/>
    </row>
    <row r="51">
      <c r="B51" t="s" s="3">
        <v>46</v>
      </c>
      <c r="C51" s="3"/>
      <c r="D51" s="3"/>
    </row>
    <row r="52">
      <c r="B52" s="4"/>
      <c r="C52" t="s" s="4">
        <v>5</v>
      </c>
      <c r="D52" t="s" s="5">
        <v>46</v>
      </c>
    </row>
  </sheetData>
  <mergeCells count="2">
    <mergeCell ref="B3:D3"/>
    <mergeCell ref="B3:D3"/>
  </mergeCells>
  <hyperlinks>
    <hyperlink ref="D10" location="'Export Summary'!R1C1" tooltip="" display="Export Summary"/>
    <hyperlink ref="D10" location="'INDIC_CONFIG'!R1C1" tooltip="" display="INDIC_CONFIG"/>
    <hyperlink ref="D12" location="'CONFIG'!R1C1" tooltip="" display="CONFIG"/>
    <hyperlink ref="D14" location="'NZDUSD'!R1C1" tooltip="" display="NZDUSD"/>
    <hyperlink ref="D16" location="'GBPUSD'!R1C1" tooltip="" display="GBPUSD"/>
    <hyperlink ref="D18" location="'GBPNZD'!R1C1" tooltip="" display="GBPNZD"/>
    <hyperlink ref="D20" location="'USDHKD'!R1C1" tooltip="" display="USDHKD"/>
    <hyperlink ref="D22" location="'GBPCNH'!R1C1" tooltip="" display="GBPCNH"/>
    <hyperlink ref="D24" location="'AUDCNH'!R1C1" tooltip="" display="AUDCNH"/>
    <hyperlink ref="D26" location="'NZDCNH'!R1C1" tooltip="" display="NZDCNH"/>
    <hyperlink ref="D28" location="'CNHHKD'!R1C1" tooltip="" display="CNHHKD"/>
    <hyperlink ref="D30" location="'EURCNH'!R1C1" tooltip="" display="EURCNH"/>
    <hyperlink ref="D32" location="'AUDJPY'!R1C1" tooltip="" display="AUDJPY"/>
    <hyperlink ref="D34" location="'EURJPY'!R1C1" tooltip="" display="EURJPY"/>
    <hyperlink ref="D36" location="'EURUSD'!R1C1" tooltip="" display="EURUSD"/>
    <hyperlink ref="D38" location="'AUDUSD'!R1C1" tooltip="" display="AUDUSD"/>
    <hyperlink ref="D40" location="'USDJPY'!R1C1" tooltip="" display="USDJPY"/>
    <hyperlink ref="D42" location="'USDCNH'!R1C1" tooltip="" display="USDCNH"/>
    <hyperlink ref="D44" location="'USDCNY'!R1C1" tooltip="" display="USDCNY"/>
    <hyperlink ref="D46" location="'PARAMS'!R1C1" tooltip="" display="PARAMS"/>
    <hyperlink ref="D48" location="'Sales Margin'!R1C1" tooltip="" display="Sales Margin"/>
    <hyperlink ref="D50" location="'Vega Weights'!R1C1" tooltip="" display="Vega Weights"/>
    <hyperlink ref="D12" location="'INDIC_CONFIG'!R1C1" tooltip="" display="INDIC_CONFIG"/>
    <hyperlink ref="D14" location="'CONFIG'!R1C1" tooltip="" display="CONFIG"/>
    <hyperlink ref="D16" location="'NZDUSD'!R1C1" tooltip="" display="NZDUSD"/>
    <hyperlink ref="D18" location="'GBPUSD'!R1C1" tooltip="" display="GBPUSD"/>
    <hyperlink ref="D20" location="'GBPNZD'!R1C1" tooltip="" display="GBPNZD"/>
    <hyperlink ref="D22" location="'USDHKD'!R1C1" tooltip="" display="USDHKD"/>
    <hyperlink ref="D24" location="'GBPCNH'!R1C1" tooltip="" display="GBPCNH"/>
    <hyperlink ref="D26" location="'AUDCNH'!R1C1" tooltip="" display="AUDCNH"/>
    <hyperlink ref="D28" location="'NZDCNH'!R1C1" tooltip="" display="NZDCNH"/>
    <hyperlink ref="D30" location="'CNHHKD'!R1C1" tooltip="" display="CNHHKD"/>
    <hyperlink ref="D32" location="'EURCNH'!R1C1" tooltip="" display="EURCNH"/>
    <hyperlink ref="D34" location="'AUDJPY'!R1C1" tooltip="" display="AUDJPY"/>
    <hyperlink ref="D36" location="'EURJPY'!R1C1" tooltip="" display="EURJPY"/>
    <hyperlink ref="D38" location="'EURUSD'!R1C1" tooltip="" display="EURUSD"/>
    <hyperlink ref="D40" location="'AUDUSD'!R1C1" tooltip="" display="AUDUSD"/>
    <hyperlink ref="D42" location="'USDJPY'!R1C1" tooltip="" display="USDJPY"/>
    <hyperlink ref="D44" location="'USDCNH'!R1C1" tooltip="" display="USDCNH"/>
    <hyperlink ref="D46" location="'USDCNY'!R1C1" tooltip="" display="USDCNY"/>
    <hyperlink ref="D48" location="'PARAMS'!R1C1" tooltip="" display="PARAMS"/>
    <hyperlink ref="D50" location="'Sales Margin'!R1C1" tooltip="" display="Sales Margin"/>
    <hyperlink ref="D52" location="'Vega Weights'!R1C1" tooltip="" display="Vega Weights"/>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2.75" customHeight="1" outlineLevelRow="0" outlineLevelCol="0"/>
  <cols>
    <col min="1" max="5" width="8.85156" style="25" customWidth="1"/>
    <col min="6" max="16384" width="8.85156" style="25" customWidth="1"/>
  </cols>
  <sheetData>
    <row r="1" ht="13.65" customHeight="1">
      <c r="A1" t="s" s="26">
        <v>48</v>
      </c>
      <c r="B1" s="27"/>
      <c r="C1" s="27"/>
      <c r="D1" s="27"/>
      <c r="E1" s="27"/>
    </row>
    <row r="2" ht="13.65" customHeight="1">
      <c r="A2" s="27"/>
      <c r="B2" s="27"/>
      <c r="C2" s="27"/>
      <c r="D2" s="27"/>
      <c r="E2" s="27"/>
    </row>
    <row r="3" ht="13.65" customHeight="1">
      <c r="A3" s="27"/>
      <c r="B3" s="27"/>
      <c r="C3" s="27"/>
      <c r="D3" s="27"/>
      <c r="E3" s="27"/>
    </row>
    <row r="4" ht="13.65" customHeight="1">
      <c r="A4" s="27"/>
      <c r="B4" s="27"/>
      <c r="C4" s="27"/>
      <c r="D4" s="27"/>
      <c r="E4" s="27"/>
    </row>
    <row r="5" ht="13.65" customHeight="1">
      <c r="A5" s="27"/>
      <c r="B5" s="27"/>
      <c r="C5" s="27"/>
      <c r="D5" s="27"/>
      <c r="E5" s="27"/>
    </row>
    <row r="6" ht="13.65" customHeight="1">
      <c r="A6" s="27"/>
      <c r="B6" s="27"/>
      <c r="C6" s="27"/>
      <c r="D6" s="27"/>
      <c r="E6" s="27"/>
    </row>
    <row r="7" ht="13.65" customHeight="1">
      <c r="A7" s="27"/>
      <c r="B7" s="27"/>
      <c r="C7" s="27"/>
      <c r="D7" s="27"/>
      <c r="E7" s="27"/>
    </row>
    <row r="8" ht="13.65" customHeight="1">
      <c r="A8" s="27"/>
      <c r="B8" s="27"/>
      <c r="C8" s="27"/>
      <c r="D8" s="27"/>
      <c r="E8" s="27"/>
    </row>
    <row r="9" ht="13.65" customHeight="1">
      <c r="A9" s="27"/>
      <c r="B9" s="27"/>
      <c r="C9" s="27"/>
      <c r="D9" s="27"/>
      <c r="E9" s="27"/>
    </row>
    <row r="10" ht="13.65" customHeight="1">
      <c r="A10" s="27"/>
      <c r="B10" s="27"/>
      <c r="C10" s="27"/>
      <c r="D10" s="27"/>
      <c r="E10" s="27"/>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5"/>
  <sheetViews>
    <sheetView workbookViewId="0" showGridLines="0" defaultGridColor="1"/>
  </sheetViews>
  <sheetFormatPr defaultColWidth="8.83333" defaultRowHeight="12.75" customHeight="1" outlineLevelRow="0" outlineLevelCol="0"/>
  <cols>
    <col min="1" max="5" width="8.85156" style="28" customWidth="1"/>
    <col min="6" max="16384" width="8.85156" style="28" customWidth="1"/>
  </cols>
  <sheetData>
    <row r="1" ht="13.65" customHeight="1">
      <c r="A1" t="s" s="29">
        <v>49</v>
      </c>
      <c r="B1" t="s" s="29">
        <v>50</v>
      </c>
      <c r="C1" s="27"/>
      <c r="D1" s="27"/>
      <c r="E1" s="27"/>
    </row>
    <row r="2" ht="13.65" customHeight="1">
      <c r="A2" t="s" s="29">
        <v>36</v>
      </c>
      <c r="B2" t="s" s="29">
        <v>51</v>
      </c>
      <c r="C2" s="27"/>
      <c r="D2" s="27"/>
      <c r="E2" s="27"/>
    </row>
    <row r="3" ht="13.65" customHeight="1">
      <c r="A3" t="s" s="29">
        <v>38</v>
      </c>
      <c r="B3" t="s" s="29">
        <v>52</v>
      </c>
      <c r="C3" s="27"/>
      <c r="D3" s="27"/>
      <c r="E3" s="27"/>
    </row>
    <row r="4" ht="13.65" customHeight="1">
      <c r="A4" t="s" s="29">
        <v>40</v>
      </c>
      <c r="B4" t="s" s="29">
        <v>53</v>
      </c>
      <c r="C4" s="27"/>
      <c r="D4" s="27"/>
      <c r="E4" s="27"/>
    </row>
    <row r="5" ht="13.65" customHeight="1">
      <c r="A5" t="s" s="29">
        <v>32</v>
      </c>
      <c r="B5" t="s" s="29">
        <v>54</v>
      </c>
      <c r="C5" s="27"/>
      <c r="D5" s="27"/>
      <c r="E5" s="27"/>
    </row>
    <row r="6" ht="13.65" customHeight="1">
      <c r="A6" t="s" s="29">
        <v>12</v>
      </c>
      <c r="B6" t="s" s="29">
        <v>55</v>
      </c>
      <c r="C6" s="27"/>
      <c r="D6" s="27"/>
      <c r="E6" s="27"/>
    </row>
    <row r="7" ht="13.65" customHeight="1">
      <c r="A7" t="s" s="29">
        <v>34</v>
      </c>
      <c r="B7" t="s" s="29">
        <v>56</v>
      </c>
      <c r="C7" s="27"/>
      <c r="D7" s="27"/>
      <c r="E7" s="27"/>
    </row>
    <row r="8" ht="13.65" customHeight="1">
      <c r="A8" t="s" s="29">
        <v>10</v>
      </c>
      <c r="B8" t="s" s="29">
        <v>57</v>
      </c>
      <c r="C8" s="27"/>
      <c r="D8" s="27"/>
      <c r="E8" s="27"/>
    </row>
    <row r="9" ht="13.65" customHeight="1">
      <c r="A9" t="s" s="29">
        <v>30</v>
      </c>
      <c r="B9" t="s" s="29">
        <v>58</v>
      </c>
      <c r="C9" s="27"/>
      <c r="D9" s="27"/>
      <c r="E9" s="27"/>
    </row>
    <row r="10" ht="13.65" customHeight="1">
      <c r="A10" t="s" s="29">
        <v>28</v>
      </c>
      <c r="B10" t="s" s="29">
        <v>59</v>
      </c>
      <c r="C10" s="27"/>
      <c r="D10" s="27"/>
      <c r="E10" s="27"/>
    </row>
    <row r="11" ht="13.65" customHeight="1">
      <c r="A11" t="s" s="29">
        <v>60</v>
      </c>
      <c r="B11" s="27"/>
      <c r="C11" s="27"/>
      <c r="D11" s="27"/>
      <c r="E11" s="27"/>
    </row>
    <row r="12" ht="13.65" customHeight="1">
      <c r="A12" t="s" s="29">
        <v>14</v>
      </c>
      <c r="B12" s="27"/>
      <c r="C12" s="27"/>
      <c r="D12" s="27"/>
      <c r="E12" s="27"/>
    </row>
    <row r="13" ht="13.65" customHeight="1">
      <c r="A13" t="s" s="29">
        <v>26</v>
      </c>
      <c r="B13" s="27"/>
      <c r="C13" s="27"/>
      <c r="D13" s="27"/>
      <c r="E13" s="27"/>
    </row>
    <row r="14" ht="13.65" customHeight="1">
      <c r="A14" t="s" s="29">
        <v>18</v>
      </c>
      <c r="B14" s="27"/>
      <c r="C14" s="27"/>
      <c r="D14" s="27"/>
      <c r="E14" s="27"/>
    </row>
    <row r="15" ht="13.65" customHeight="1">
      <c r="A15" t="s" s="29">
        <v>16</v>
      </c>
      <c r="B15" s="27"/>
      <c r="C15" s="27"/>
      <c r="D15" s="27"/>
      <c r="E15" s="27"/>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2.75" customHeight="1" outlineLevelRow="0" outlineLevelCol="0"/>
  <cols>
    <col min="1" max="5" width="8.85156" style="30" customWidth="1"/>
    <col min="6" max="16384" width="8.85156" style="30" customWidth="1"/>
  </cols>
  <sheetData>
    <row r="1" ht="13.65" customHeight="1">
      <c r="A1" t="s" s="29">
        <v>61</v>
      </c>
      <c r="B1" t="s" s="31">
        <v>62</v>
      </c>
      <c r="C1" t="s" s="29">
        <v>63</v>
      </c>
      <c r="D1" t="s" s="29">
        <v>64</v>
      </c>
      <c r="E1" t="s" s="31">
        <v>65</v>
      </c>
    </row>
    <row r="2" ht="13.65" customHeight="1">
      <c r="A2" t="s" s="32">
        <v>66</v>
      </c>
      <c r="B2" s="33" cm="1">
        <f t="array" ref="B2">C2*2.8</f>
        <v>0.756</v>
      </c>
      <c r="C2" s="34">
        <v>0.27</v>
      </c>
      <c r="D2" s="35">
        <v>-0.955</v>
      </c>
      <c r="E2" s="36" cm="1">
        <f t="array" ref="E2">D2*1.8</f>
        <v>-1.719</v>
      </c>
    </row>
    <row r="3" ht="13.65" customHeight="1">
      <c r="A3" t="s" s="32">
        <v>67</v>
      </c>
      <c r="B3" s="33" cm="1">
        <f t="array" ref="B3">C3*2.8</f>
        <v>0.791</v>
      </c>
      <c r="C3" s="34">
        <v>0.2825</v>
      </c>
      <c r="D3" s="35">
        <v>-1.0825</v>
      </c>
      <c r="E3" s="36" cm="1">
        <f t="array" ref="E3">D3*1.8</f>
        <v>-1.9485</v>
      </c>
    </row>
    <row r="4" ht="13.65" customHeight="1">
      <c r="A4" t="s" s="32">
        <v>68</v>
      </c>
      <c r="B4" s="33" cm="1">
        <f t="array" ref="B4">C4*2.8</f>
        <v>0.847</v>
      </c>
      <c r="C4" s="34">
        <v>0.3025</v>
      </c>
      <c r="D4" s="35">
        <v>-1.24</v>
      </c>
      <c r="E4" s="36" cm="1">
        <f t="array" ref="E4">D4*1.9</f>
        <v>-2.356</v>
      </c>
    </row>
    <row r="5" ht="13.65" customHeight="1">
      <c r="A5" t="s" s="32">
        <v>69</v>
      </c>
      <c r="B5" s="33" cm="1">
        <f t="array" ref="B5">C5*2.9</f>
        <v>0.90625</v>
      </c>
      <c r="C5" s="34">
        <v>0.3125</v>
      </c>
      <c r="D5" s="35">
        <v>-1.21</v>
      </c>
      <c r="E5" s="36" cm="1">
        <f t="array" ref="E5">D5*1.9</f>
        <v>-2.299</v>
      </c>
    </row>
    <row r="6" ht="13.65" customHeight="1">
      <c r="A6" t="s" s="32">
        <v>70</v>
      </c>
      <c r="B6" s="33" cm="1">
        <f t="array" ref="B6">C6*3</f>
        <v>1.05</v>
      </c>
      <c r="C6" s="34">
        <v>0.35</v>
      </c>
      <c r="D6" s="35">
        <v>-1.34</v>
      </c>
      <c r="E6" s="36" cm="1">
        <f t="array" ref="E6">D6*1.9</f>
        <v>-2.546</v>
      </c>
    </row>
    <row r="7" ht="13.65" customHeight="1">
      <c r="A7" t="s" s="32">
        <v>71</v>
      </c>
      <c r="B7" s="33" cm="1">
        <f t="array" ref="B7">C7*3</f>
        <v>1.125</v>
      </c>
      <c r="C7" s="34">
        <v>0.375</v>
      </c>
      <c r="D7" s="35">
        <v>-1.455</v>
      </c>
      <c r="E7" s="36" cm="1">
        <f t="array" ref="E7">D7*1.9</f>
        <v>-2.7645</v>
      </c>
    </row>
    <row r="8" ht="13.65" customHeight="1">
      <c r="A8" t="s" s="32">
        <v>72</v>
      </c>
      <c r="B8" s="33" cm="1">
        <f t="array" ref="B8">C8*3.1</f>
        <v>1.26325</v>
      </c>
      <c r="C8" s="34">
        <v>0.4075</v>
      </c>
      <c r="D8" s="35">
        <v>-1.59</v>
      </c>
      <c r="E8" s="36" cm="1">
        <f t="array" ref="E8">D8*1.9</f>
        <v>-3.021</v>
      </c>
    </row>
    <row r="9" ht="13.65" customHeight="1">
      <c r="A9" t="s" s="32">
        <v>73</v>
      </c>
      <c r="B9" s="33" cm="1">
        <f t="array" ref="B9">C9*3.1</f>
        <v>1.333</v>
      </c>
      <c r="C9" s="34">
        <v>0.43</v>
      </c>
      <c r="D9" s="35">
        <v>-1.65</v>
      </c>
      <c r="E9" s="36" cm="1">
        <f t="array" ref="E9">D9*1.9</f>
        <v>-3.135</v>
      </c>
    </row>
    <row r="10" ht="13.65" customHeight="1">
      <c r="A10" t="s" s="32">
        <v>74</v>
      </c>
      <c r="B10" s="33" cm="1">
        <f t="array" ref="B10">C10*3.2</f>
        <v>1.416</v>
      </c>
      <c r="C10" s="34">
        <v>0.4425</v>
      </c>
      <c r="D10" s="35">
        <v>-1.71</v>
      </c>
      <c r="E10" s="36" cm="1">
        <f t="array" ref="E10">D10*1.9</f>
        <v>-3.249</v>
      </c>
    </row>
    <row r="11" ht="13.65" customHeight="1">
      <c r="A11" t="s" s="32">
        <v>75</v>
      </c>
      <c r="B11" s="37" cm="1">
        <f t="array" ref="B11">C11*3.5</f>
        <v>1.46125</v>
      </c>
      <c r="C11" s="34">
        <v>0.4175</v>
      </c>
      <c r="D11" s="35">
        <v>-1.8525</v>
      </c>
      <c r="E11" s="38" cm="1">
        <f t="array" ref="E11">D11*1.9</f>
        <v>-3.51975</v>
      </c>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2.75" customHeight="1" outlineLevelRow="0" outlineLevelCol="0"/>
  <cols>
    <col min="1" max="5" width="8.85156" style="39" customWidth="1"/>
    <col min="6" max="16384" width="8.85156" style="39" customWidth="1"/>
  </cols>
  <sheetData>
    <row r="1" ht="13.65" customHeight="1">
      <c r="A1" t="s" s="29">
        <v>61</v>
      </c>
      <c r="B1" t="s" s="31">
        <v>62</v>
      </c>
      <c r="C1" t="s" s="29">
        <v>63</v>
      </c>
      <c r="D1" t="s" s="29">
        <v>64</v>
      </c>
      <c r="E1" t="s" s="31">
        <v>65</v>
      </c>
    </row>
    <row r="2" ht="13.65" customHeight="1">
      <c r="A2" t="s" s="32">
        <v>66</v>
      </c>
      <c r="B2" s="33" cm="1">
        <f t="array" ref="B2">C2*3</f>
        <v>0.5775</v>
      </c>
      <c r="C2" s="34">
        <v>0.1925</v>
      </c>
      <c r="D2" s="35">
        <v>-0.445</v>
      </c>
      <c r="E2" s="36" cm="1">
        <f t="array" ref="E2">D2*1.85</f>
        <v>-0.82325</v>
      </c>
    </row>
    <row r="3" ht="13.65" customHeight="1">
      <c r="A3" t="s" s="32">
        <v>67</v>
      </c>
      <c r="B3" s="33" cm="1">
        <f t="array" ref="B3">C3*3</f>
        <v>0.6</v>
      </c>
      <c r="C3" s="34">
        <v>0.2</v>
      </c>
      <c r="D3" s="35">
        <v>-0.5</v>
      </c>
      <c r="E3" s="36" cm="1">
        <f t="array" ref="E3">D3*1.85</f>
        <v>-0.925</v>
      </c>
    </row>
    <row r="4" ht="13.65" customHeight="1">
      <c r="A4" t="s" s="32">
        <v>68</v>
      </c>
      <c r="B4" s="33" cm="1">
        <f t="array" ref="B4">C4*3</f>
        <v>0.585</v>
      </c>
      <c r="C4" s="34">
        <v>0.195</v>
      </c>
      <c r="D4" s="35">
        <v>-0.595</v>
      </c>
      <c r="E4" s="36" cm="1">
        <f t="array" ref="E4">D4*1.85</f>
        <v>-1.10075</v>
      </c>
    </row>
    <row r="5" ht="13.65" customHeight="1">
      <c r="A5" t="s" s="32">
        <v>69</v>
      </c>
      <c r="B5" s="33" cm="1">
        <f t="array" ref="B5">C5*3.15</f>
        <v>0.6929999999999999</v>
      </c>
      <c r="C5" s="34">
        <v>0.22</v>
      </c>
      <c r="D5" s="35">
        <v>-0.5825</v>
      </c>
      <c r="E5" s="36" cm="1">
        <f t="array" ref="E5">D5*1.85</f>
        <v>-1.077625</v>
      </c>
    </row>
    <row r="6" ht="13.65" customHeight="1">
      <c r="A6" t="s" s="32">
        <v>70</v>
      </c>
      <c r="B6" s="33" cm="1">
        <f t="array" ref="B6">C6*3.15</f>
        <v>0.80325</v>
      </c>
      <c r="C6" s="34">
        <v>0.255</v>
      </c>
      <c r="D6" s="35">
        <v>-0.7425</v>
      </c>
      <c r="E6" s="36" cm="1">
        <f t="array" ref="E6">D6*1.85</f>
        <v>-1.373625</v>
      </c>
    </row>
    <row r="7" ht="13.65" customHeight="1">
      <c r="A7" t="s" s="32">
        <v>71</v>
      </c>
      <c r="B7" s="33" cm="1">
        <f t="array" ref="B7">C7*3.2</f>
        <v>0.928</v>
      </c>
      <c r="C7" s="34">
        <v>0.29</v>
      </c>
      <c r="D7" s="35">
        <v>-0.8075</v>
      </c>
      <c r="E7" s="36" cm="1">
        <f t="array" ref="E7">D7*1.85</f>
        <v>-1.493875</v>
      </c>
    </row>
    <row r="8" ht="13.65" customHeight="1">
      <c r="A8" t="s" s="32">
        <v>72</v>
      </c>
      <c r="B8" s="33" cm="1">
        <f t="array" ref="B8">C8*3.25</f>
        <v>1.18625</v>
      </c>
      <c r="C8" s="34">
        <v>0.365</v>
      </c>
      <c r="D8" s="35">
        <v>-0.9399999999999999</v>
      </c>
      <c r="E8" s="36" cm="1">
        <f t="array" ref="E8">D8*1.875</f>
        <v>-1.7625</v>
      </c>
    </row>
    <row r="9" ht="13.65" customHeight="1">
      <c r="A9" t="s" s="32">
        <v>73</v>
      </c>
      <c r="B9" s="33" cm="1">
        <f t="array" ref="B9">C9*3.25</f>
        <v>1.3</v>
      </c>
      <c r="C9" s="34">
        <v>0.4</v>
      </c>
      <c r="D9" s="35">
        <v>-1.08</v>
      </c>
      <c r="E9" s="36" cm="1">
        <f t="array" ref="E9">D9*1.875</f>
        <v>-2.025</v>
      </c>
    </row>
    <row r="10" ht="13.65" customHeight="1">
      <c r="A10" t="s" s="32">
        <v>74</v>
      </c>
      <c r="B10" s="33" cm="1">
        <f t="array" ref="B10">C10*3.4</f>
        <v>1.411</v>
      </c>
      <c r="C10" s="34">
        <v>0.415</v>
      </c>
      <c r="D10" s="35">
        <v>-1.12</v>
      </c>
      <c r="E10" s="36" cm="1">
        <f t="array" ref="E10">D10*1.875</f>
        <v>-2.1</v>
      </c>
    </row>
    <row r="11" ht="13.65" customHeight="1">
      <c r="A11" t="s" s="32">
        <v>75</v>
      </c>
      <c r="B11" s="37" cm="1">
        <f t="array" ref="B11">C11*3.4</f>
        <v>1.462</v>
      </c>
      <c r="C11" s="34">
        <v>0.43</v>
      </c>
      <c r="D11" s="35">
        <v>-1.2</v>
      </c>
      <c r="E11" s="38" cm="1">
        <f t="array" ref="E11">D11*1.875</f>
        <v>-2.25</v>
      </c>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2.75" customHeight="1" outlineLevelRow="0" outlineLevelCol="0"/>
  <cols>
    <col min="1" max="5" width="8.85156" style="40" customWidth="1"/>
    <col min="6" max="16384" width="8.85156" style="40" customWidth="1"/>
  </cols>
  <sheetData>
    <row r="1" ht="13.65" customHeight="1">
      <c r="A1" t="s" s="29">
        <v>61</v>
      </c>
      <c r="B1" t="s" s="31">
        <v>62</v>
      </c>
      <c r="C1" t="s" s="29">
        <v>63</v>
      </c>
      <c r="D1" t="s" s="29">
        <v>64</v>
      </c>
      <c r="E1" t="s" s="31">
        <v>65</v>
      </c>
    </row>
    <row r="2" ht="13.65" customHeight="1">
      <c r="A2" t="s" s="32">
        <v>66</v>
      </c>
      <c r="B2" s="33" cm="1">
        <f t="array" ref="B2">C2*3.75</f>
        <v>0.825</v>
      </c>
      <c r="C2" s="34">
        <v>0.22</v>
      </c>
      <c r="D2" s="35">
        <v>0.48</v>
      </c>
      <c r="E2" s="36" cm="1">
        <f t="array" ref="E2">D2*1.3</f>
        <v>0.624</v>
      </c>
    </row>
    <row r="3" ht="13.65" customHeight="1">
      <c r="A3" t="s" s="32">
        <v>67</v>
      </c>
      <c r="B3" s="33" cm="1">
        <f t="array" ref="B3">C3*3.75</f>
        <v>0.834375</v>
      </c>
      <c r="C3" s="34">
        <v>0.2225</v>
      </c>
      <c r="D3" s="35">
        <v>0.505</v>
      </c>
      <c r="E3" s="36" cm="1">
        <f t="array" ref="E3">D3*1.8</f>
        <v>0.909</v>
      </c>
    </row>
    <row r="4" ht="13.65" customHeight="1">
      <c r="A4" t="s" s="32">
        <v>68</v>
      </c>
      <c r="B4" s="33" cm="1">
        <f t="array" ref="B4">C4*3.75</f>
        <v>0.84375</v>
      </c>
      <c r="C4" s="34">
        <v>0.225</v>
      </c>
      <c r="D4" s="35">
        <v>0.52</v>
      </c>
      <c r="E4" s="36" cm="1">
        <f t="array" ref="E4">D4*1.8</f>
        <v>0.9360000000000001</v>
      </c>
    </row>
    <row r="5" ht="13.65" customHeight="1">
      <c r="A5" t="s" s="32">
        <v>69</v>
      </c>
      <c r="B5" s="33" cm="1">
        <f t="array" ref="B5">C5*3.75</f>
        <v>0.871875</v>
      </c>
      <c r="C5" s="34">
        <v>0.2325</v>
      </c>
      <c r="D5" s="35">
        <v>0.555</v>
      </c>
      <c r="E5" s="36" cm="1">
        <f t="array" ref="E5">D5*1.8</f>
        <v>0.999</v>
      </c>
    </row>
    <row r="6" ht="13.65" customHeight="1">
      <c r="A6" t="s" s="32">
        <v>70</v>
      </c>
      <c r="B6" s="33" cm="1">
        <f t="array" ref="B6">C6*3.75</f>
        <v>0.95625</v>
      </c>
      <c r="C6" s="34">
        <v>0.255</v>
      </c>
      <c r="D6" s="35">
        <v>0.5625</v>
      </c>
      <c r="E6" s="36" cm="1">
        <f t="array" ref="E6">D6*1.8</f>
        <v>1.0125</v>
      </c>
    </row>
    <row r="7" ht="13.65" customHeight="1">
      <c r="A7" t="s" s="32">
        <v>71</v>
      </c>
      <c r="B7" s="33" cm="1">
        <f t="array" ref="B7">C7*3.85</f>
        <v>1.126125</v>
      </c>
      <c r="C7" s="34">
        <v>0.2925</v>
      </c>
      <c r="D7" s="35">
        <v>0.5775</v>
      </c>
      <c r="E7" s="36" cm="1">
        <f t="array" ref="E7">D7*1.8</f>
        <v>1.0395</v>
      </c>
    </row>
    <row r="8" ht="13.65" customHeight="1">
      <c r="A8" t="s" s="32">
        <v>72</v>
      </c>
      <c r="B8" s="33" cm="1">
        <f t="array" ref="B8">C8*3.85</f>
        <v>1.318625</v>
      </c>
      <c r="C8" s="34">
        <v>0.3425</v>
      </c>
      <c r="D8" s="35">
        <v>0.5575</v>
      </c>
      <c r="E8" s="36" cm="1">
        <f t="array" ref="E8">D8*1.8</f>
        <v>1.0035</v>
      </c>
    </row>
    <row r="9" ht="13.65" customHeight="1">
      <c r="A9" t="s" s="32">
        <v>73</v>
      </c>
      <c r="B9" s="33" cm="1">
        <f t="array" ref="B9">C9*3.85</f>
        <v>1.52075</v>
      </c>
      <c r="C9" s="34">
        <v>0.395</v>
      </c>
      <c r="D9" s="35">
        <v>0.5875</v>
      </c>
      <c r="E9" s="36" cm="1">
        <f t="array" ref="E9">D9*1.8</f>
        <v>1.0575</v>
      </c>
    </row>
    <row r="10" ht="13.65" customHeight="1">
      <c r="A10" t="s" s="32">
        <v>74</v>
      </c>
      <c r="B10" s="33" cm="1">
        <f t="array" ref="B10">C10*4</f>
        <v>1.6</v>
      </c>
      <c r="C10" s="34">
        <v>0.4</v>
      </c>
      <c r="D10" s="35">
        <v>0.58</v>
      </c>
      <c r="E10" s="36" cm="1">
        <f t="array" ref="E10">D10*1.8</f>
        <v>1.044</v>
      </c>
    </row>
    <row r="11" ht="13.65" customHeight="1">
      <c r="A11" t="s" s="32">
        <v>75</v>
      </c>
      <c r="B11" s="37" cm="1">
        <f t="array" ref="B11">C11*4.1</f>
        <v>1.71175</v>
      </c>
      <c r="C11" s="34">
        <v>0.4175</v>
      </c>
      <c r="D11" s="35">
        <v>0.6625</v>
      </c>
      <c r="E11" s="38" cm="1">
        <f t="array" ref="E11">D11*1.8</f>
        <v>1.1925</v>
      </c>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2.75" customHeight="1" outlineLevelRow="0" outlineLevelCol="0"/>
  <cols>
    <col min="1" max="5" width="8.85156" style="41" customWidth="1"/>
    <col min="6" max="16384" width="8.85156" style="41" customWidth="1"/>
  </cols>
  <sheetData>
    <row r="1" ht="13.65" customHeight="1">
      <c r="A1" t="s" s="29">
        <v>61</v>
      </c>
      <c r="B1" t="s" s="31">
        <v>62</v>
      </c>
      <c r="C1" t="s" s="29">
        <v>63</v>
      </c>
      <c r="D1" t="s" s="29">
        <v>64</v>
      </c>
      <c r="E1" t="s" s="31">
        <v>65</v>
      </c>
    </row>
    <row r="2" ht="13.65" customHeight="1">
      <c r="A2" t="s" s="32">
        <v>66</v>
      </c>
      <c r="B2" s="42" cm="1">
        <f t="array" ref="B2">C2*3.4</f>
        <v>0.6205000000000001</v>
      </c>
      <c r="C2" s="43">
        <v>0.1825</v>
      </c>
      <c r="D2" s="44">
        <v>0.385</v>
      </c>
      <c r="E2" s="45" cm="1">
        <f t="array" ref="E2">D2*2.05</f>
        <v>0.78925</v>
      </c>
    </row>
    <row r="3" ht="13.65" customHeight="1">
      <c r="A3" t="s" s="32">
        <v>67</v>
      </c>
      <c r="B3" s="42" cm="1">
        <f t="array" ref="B3">C3*3.4</f>
        <v>0.6375</v>
      </c>
      <c r="C3" s="43">
        <v>0.1875</v>
      </c>
      <c r="D3" s="44">
        <v>0.45</v>
      </c>
      <c r="E3" s="45" cm="1">
        <f t="array" ref="E3">D3*2.15</f>
        <v>0.9675</v>
      </c>
    </row>
    <row r="4" ht="13.65" customHeight="1">
      <c r="A4" t="s" s="32">
        <v>69</v>
      </c>
      <c r="B4" s="42" cm="1">
        <f t="array" ref="B4">C4*3.4</f>
        <v>0.731</v>
      </c>
      <c r="C4" s="43">
        <v>0.215</v>
      </c>
      <c r="D4" s="44">
        <v>0.525</v>
      </c>
      <c r="E4" s="45" cm="1">
        <f t="array" ref="E4">D4*2.3</f>
        <v>1.2075</v>
      </c>
    </row>
    <row r="5" ht="13.65" customHeight="1">
      <c r="A5" t="s" s="32">
        <v>70</v>
      </c>
      <c r="B5" s="42" cm="1">
        <f t="array" ref="B5">C5*3.4</f>
        <v>0.8159999999999999</v>
      </c>
      <c r="C5" s="43">
        <v>0.24</v>
      </c>
      <c r="D5" s="44">
        <v>0.66</v>
      </c>
      <c r="E5" s="45" cm="1">
        <f t="array" ref="E5">D5*2.3</f>
        <v>1.518</v>
      </c>
    </row>
    <row r="6" ht="13.65" customHeight="1">
      <c r="A6" t="s" s="32">
        <v>71</v>
      </c>
      <c r="B6" s="42" cm="1">
        <f t="array" ref="B6">C6*3.4</f>
        <v>0.867</v>
      </c>
      <c r="C6" s="43">
        <v>0.255</v>
      </c>
      <c r="D6" s="44">
        <v>0.74</v>
      </c>
      <c r="E6" s="45" cm="1">
        <f t="array" ref="E6">D6*2.3</f>
        <v>1.702</v>
      </c>
    </row>
    <row r="7" ht="13.65" customHeight="1">
      <c r="A7" t="s" s="32">
        <v>72</v>
      </c>
      <c r="B7" s="42" cm="1">
        <f t="array" ref="B7">C7*3.4</f>
        <v>0.986</v>
      </c>
      <c r="C7" s="43">
        <v>0.29</v>
      </c>
      <c r="D7" s="44">
        <v>0.95</v>
      </c>
      <c r="E7" s="45" cm="1">
        <f t="array" ref="E7">D7*2.3</f>
        <v>2.185</v>
      </c>
    </row>
    <row r="8" ht="13.65" customHeight="1">
      <c r="A8" t="s" s="32">
        <v>73</v>
      </c>
      <c r="B8" s="42" cm="1">
        <f t="array" ref="B8">C8*3.4</f>
        <v>1.122</v>
      </c>
      <c r="C8" s="43">
        <v>0.33</v>
      </c>
      <c r="D8" s="44">
        <v>1.07</v>
      </c>
      <c r="E8" s="45" cm="1">
        <f t="array" ref="E8">D8*2.3</f>
        <v>2.461</v>
      </c>
    </row>
    <row r="9" ht="13.65" customHeight="1">
      <c r="A9" t="s" s="32">
        <v>74</v>
      </c>
      <c r="B9" s="42" cm="1">
        <f t="array" ref="B9">C9*3.4</f>
        <v>1.207</v>
      </c>
      <c r="C9" s="43">
        <v>0.355</v>
      </c>
      <c r="D9" s="44">
        <v>1.15</v>
      </c>
      <c r="E9" s="45" cm="1">
        <f t="array" ref="E9">D9*2.3</f>
        <v>2.645</v>
      </c>
    </row>
    <row r="10" ht="13.65" customHeight="1">
      <c r="A10" t="s" s="32">
        <v>75</v>
      </c>
      <c r="B10" s="46" cm="1">
        <f t="array" ref="B10">C10*3.4</f>
        <v>1.292</v>
      </c>
      <c r="C10" s="43">
        <v>0.38</v>
      </c>
      <c r="D10" s="44">
        <v>1.25</v>
      </c>
      <c r="E10" s="47" cm="1">
        <f t="array" ref="E10">D10*2.3</f>
        <v>2.875</v>
      </c>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2.75" customHeight="1" outlineLevelRow="0" outlineLevelCol="0"/>
  <cols>
    <col min="1" max="5" width="8.85156" style="48" customWidth="1"/>
    <col min="6" max="16384" width="8.85156" style="48" customWidth="1"/>
  </cols>
  <sheetData>
    <row r="1" ht="13.65" customHeight="1">
      <c r="A1" t="s" s="29">
        <v>61</v>
      </c>
      <c r="B1" t="s" s="31">
        <v>62</v>
      </c>
      <c r="C1" t="s" s="29">
        <v>63</v>
      </c>
      <c r="D1" t="s" s="29">
        <v>64</v>
      </c>
      <c r="E1" t="s" s="31">
        <v>65</v>
      </c>
    </row>
    <row r="2" ht="13.65" customHeight="1">
      <c r="A2" t="s" s="32">
        <v>66</v>
      </c>
      <c r="B2" s="33" cm="1">
        <f t="array" ref="B2">C2*3.75</f>
        <v>0.703125</v>
      </c>
      <c r="C2" s="34">
        <v>0.1875</v>
      </c>
      <c r="D2" s="35">
        <v>0.095</v>
      </c>
      <c r="E2" s="36" cm="1">
        <f t="array" ref="E2">D2*1.3</f>
        <v>0.1235</v>
      </c>
    </row>
    <row r="3" ht="13.65" customHeight="1">
      <c r="A3" t="s" s="32">
        <v>67</v>
      </c>
      <c r="B3" s="33" cm="1">
        <f t="array" ref="B3">C3*3.75</f>
        <v>0.73125</v>
      </c>
      <c r="C3" s="34">
        <v>0.195</v>
      </c>
      <c r="D3" s="35">
        <v>0.14</v>
      </c>
      <c r="E3" s="36" cm="1">
        <f t="array" ref="E3">D3*1.8</f>
        <v>0.252</v>
      </c>
    </row>
    <row r="4" ht="13.65" customHeight="1">
      <c r="A4" t="s" s="32">
        <v>68</v>
      </c>
      <c r="B4" s="33" cm="1">
        <f t="array" ref="B4">C4*3.75</f>
        <v>0.75</v>
      </c>
      <c r="C4" s="34">
        <v>0.2</v>
      </c>
      <c r="D4" s="35">
        <v>0.145</v>
      </c>
      <c r="E4" s="36" cm="1">
        <f t="array" ref="E4">D4*1.8</f>
        <v>0.261</v>
      </c>
    </row>
    <row r="5" ht="13.65" customHeight="1">
      <c r="A5" t="s" s="32">
        <v>69</v>
      </c>
      <c r="B5" s="33" cm="1">
        <f t="array" ref="B5">C5*3.75</f>
        <v>0.75</v>
      </c>
      <c r="C5" s="34">
        <v>0.2</v>
      </c>
      <c r="D5" s="35">
        <v>0.1575</v>
      </c>
      <c r="E5" s="36" cm="1">
        <f t="array" ref="E5">D5*1.8</f>
        <v>0.2835</v>
      </c>
    </row>
    <row r="6" ht="13.65" customHeight="1">
      <c r="A6" t="s" s="32">
        <v>70</v>
      </c>
      <c r="B6" s="33" cm="1">
        <f t="array" ref="B6">C6*3.75</f>
        <v>0.834375</v>
      </c>
      <c r="C6" s="34">
        <v>0.2225</v>
      </c>
      <c r="D6" s="35">
        <v>0.185</v>
      </c>
      <c r="E6" s="36" cm="1">
        <f t="array" ref="E6">D6*1.8</f>
        <v>0.333</v>
      </c>
    </row>
    <row r="7" ht="13.65" customHeight="1">
      <c r="A7" t="s" s="32">
        <v>71</v>
      </c>
      <c r="B7" s="33" cm="1">
        <f t="array" ref="B7">C7*3.85</f>
        <v>1.001</v>
      </c>
      <c r="C7" s="34">
        <v>0.26</v>
      </c>
      <c r="D7" s="35">
        <v>0.23</v>
      </c>
      <c r="E7" s="36" cm="1">
        <f t="array" ref="E7">D7*1.8</f>
        <v>0.414</v>
      </c>
    </row>
    <row r="8" ht="13.65" customHeight="1">
      <c r="A8" t="s" s="32">
        <v>72</v>
      </c>
      <c r="B8" s="33" cm="1">
        <f t="array" ref="B8">C8*3.85</f>
        <v>1.155</v>
      </c>
      <c r="C8" s="34">
        <v>0.3</v>
      </c>
      <c r="D8" s="35">
        <v>0.355</v>
      </c>
      <c r="E8" s="36" cm="1">
        <f t="array" ref="E8">D8*1.8</f>
        <v>0.639</v>
      </c>
    </row>
    <row r="9" ht="13.65" customHeight="1">
      <c r="A9" t="s" s="32">
        <v>73</v>
      </c>
      <c r="B9" s="33" cm="1">
        <f t="array" ref="B9">C9*3.85</f>
        <v>1.36675</v>
      </c>
      <c r="C9" s="34">
        <v>0.355</v>
      </c>
      <c r="D9" s="35">
        <v>0.375</v>
      </c>
      <c r="E9" s="36" cm="1">
        <f t="array" ref="E9">D9*1.8</f>
        <v>0.675</v>
      </c>
    </row>
    <row r="10" ht="13.65" customHeight="1">
      <c r="A10" t="s" s="32">
        <v>74</v>
      </c>
      <c r="B10" s="33" cm="1">
        <f t="array" ref="B10">C10*4</f>
        <v>1.45</v>
      </c>
      <c r="C10" s="34">
        <v>0.3625</v>
      </c>
      <c r="D10" s="35">
        <v>0.46</v>
      </c>
      <c r="E10" s="36" cm="1">
        <f t="array" ref="E10">D10*1.8</f>
        <v>0.828</v>
      </c>
    </row>
    <row r="11" ht="13.65" customHeight="1">
      <c r="A11" t="s" s="32">
        <v>75</v>
      </c>
      <c r="B11" s="37" cm="1">
        <f t="array" ref="B11">C11*4.1</f>
        <v>1.64</v>
      </c>
      <c r="C11" s="34">
        <v>0.4</v>
      </c>
      <c r="D11" s="35">
        <v>0.435</v>
      </c>
      <c r="E11" s="38" cm="1">
        <f t="array" ref="E11">D11*1.8</f>
        <v>0.783</v>
      </c>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2.75" customHeight="1" outlineLevelRow="0" outlineLevelCol="0"/>
  <cols>
    <col min="1" max="5" width="8.85156" style="49" customWidth="1"/>
    <col min="6" max="16384" width="8.85156" style="49" customWidth="1"/>
  </cols>
  <sheetData>
    <row r="1" ht="13.65" customHeight="1">
      <c r="A1" s="27"/>
      <c r="B1" s="27"/>
      <c r="C1" s="27"/>
      <c r="D1" s="27"/>
      <c r="E1" s="27"/>
    </row>
    <row r="2" ht="13.65" customHeight="1">
      <c r="A2" s="27"/>
      <c r="B2" s="27"/>
      <c r="C2" s="27"/>
      <c r="D2" s="27"/>
      <c r="E2" s="27"/>
    </row>
    <row r="3" ht="13.65" customHeight="1">
      <c r="A3" s="27"/>
      <c r="B3" s="27"/>
      <c r="C3" s="27"/>
      <c r="D3" s="27"/>
      <c r="E3" s="27"/>
    </row>
    <row r="4" ht="13.65" customHeight="1">
      <c r="A4" s="27"/>
      <c r="B4" s="27"/>
      <c r="C4" s="27"/>
      <c r="D4" s="27"/>
      <c r="E4" s="27"/>
    </row>
    <row r="5" ht="13.65" customHeight="1">
      <c r="A5" s="27"/>
      <c r="B5" s="27"/>
      <c r="C5" s="27"/>
      <c r="D5" s="27"/>
      <c r="E5" s="27"/>
    </row>
    <row r="6" ht="13.65" customHeight="1">
      <c r="A6" s="27"/>
      <c r="B6" s="27"/>
      <c r="C6" s="27"/>
      <c r="D6" s="27"/>
      <c r="E6" s="27"/>
    </row>
    <row r="7" ht="13.65" customHeight="1">
      <c r="A7" s="27"/>
      <c r="B7" s="27"/>
      <c r="C7" s="27"/>
      <c r="D7" s="27"/>
      <c r="E7" s="27"/>
    </row>
    <row r="8" ht="13.65" customHeight="1">
      <c r="A8" s="27"/>
      <c r="B8" s="27"/>
      <c r="C8" s="27"/>
      <c r="D8" s="27"/>
      <c r="E8" s="27"/>
    </row>
    <row r="9" ht="13.65" customHeight="1">
      <c r="A9" s="27"/>
      <c r="B9" s="27"/>
      <c r="C9" s="27"/>
      <c r="D9" s="27"/>
      <c r="E9" s="27"/>
    </row>
    <row r="10" ht="13.65" customHeight="1">
      <c r="A10" s="27"/>
      <c r="B10" s="27"/>
      <c r="C10" s="27"/>
      <c r="D10" s="27"/>
      <c r="E10" s="27"/>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10.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2.75" customHeight="1" outlineLevelRow="0" outlineLevelCol="0"/>
  <cols>
    <col min="1" max="5" width="8.85156" style="50" customWidth="1"/>
    <col min="6" max="16384" width="8.85156" style="50" customWidth="1"/>
  </cols>
  <sheetData>
    <row r="1" ht="13.65" customHeight="1">
      <c r="A1" s="27"/>
      <c r="B1" s="27"/>
      <c r="C1" s="27"/>
      <c r="D1" s="27"/>
      <c r="E1" s="27"/>
    </row>
    <row r="2" ht="13.65" customHeight="1">
      <c r="A2" s="27"/>
      <c r="B2" s="27"/>
      <c r="C2" s="27"/>
      <c r="D2" s="27"/>
      <c r="E2" s="27"/>
    </row>
    <row r="3" ht="13.65" customHeight="1">
      <c r="A3" s="27"/>
      <c r="B3" s="27"/>
      <c r="C3" s="27"/>
      <c r="D3" s="27"/>
      <c r="E3" s="27"/>
    </row>
    <row r="4" ht="13.65" customHeight="1">
      <c r="A4" s="27"/>
      <c r="B4" s="27"/>
      <c r="C4" s="27"/>
      <c r="D4" s="27"/>
      <c r="E4" s="27"/>
    </row>
    <row r="5" ht="13.65" customHeight="1">
      <c r="A5" s="27"/>
      <c r="B5" s="27"/>
      <c r="C5" s="27"/>
      <c r="D5" s="27"/>
      <c r="E5" s="27"/>
    </row>
    <row r="6" ht="13.65" customHeight="1">
      <c r="A6" s="27"/>
      <c r="B6" s="27"/>
      <c r="C6" s="27"/>
      <c r="D6" s="27"/>
      <c r="E6" s="27"/>
    </row>
    <row r="7" ht="13.65" customHeight="1">
      <c r="A7" s="27"/>
      <c r="B7" s="27"/>
      <c r="C7" s="27"/>
      <c r="D7" s="27"/>
      <c r="E7" s="27"/>
    </row>
    <row r="8" ht="13.65" customHeight="1">
      <c r="A8" s="27"/>
      <c r="B8" s="27"/>
      <c r="C8" s="27"/>
      <c r="D8" s="27"/>
      <c r="E8" s="27"/>
    </row>
    <row r="9" ht="13.65" customHeight="1">
      <c r="A9" s="27"/>
      <c r="B9" s="27"/>
      <c r="C9" s="27"/>
      <c r="D9" s="27"/>
      <c r="E9" s="27"/>
    </row>
    <row r="10" ht="13.65" customHeight="1">
      <c r="A10" s="27"/>
      <c r="B10" s="27"/>
      <c r="C10" s="27"/>
      <c r="D10" s="27"/>
      <c r="E10" s="27"/>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11.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2.75" customHeight="1" outlineLevelRow="0" outlineLevelCol="0"/>
  <cols>
    <col min="1" max="5" width="8.85156" style="51" customWidth="1"/>
    <col min="6" max="16384" width="8.85156" style="51" customWidth="1"/>
  </cols>
  <sheetData>
    <row r="1" ht="13.65" customHeight="1">
      <c r="A1" s="27"/>
      <c r="B1" s="27"/>
      <c r="C1" s="27"/>
      <c r="D1" s="27"/>
      <c r="E1" s="27"/>
    </row>
    <row r="2" ht="13.65" customHeight="1">
      <c r="A2" s="27"/>
      <c r="B2" s="27"/>
      <c r="C2" s="27"/>
      <c r="D2" s="27"/>
      <c r="E2" s="27"/>
    </row>
    <row r="3" ht="13.65" customHeight="1">
      <c r="A3" s="27"/>
      <c r="B3" s="27"/>
      <c r="C3" s="27"/>
      <c r="D3" s="27"/>
      <c r="E3" s="27"/>
    </row>
    <row r="4" ht="13.65" customHeight="1">
      <c r="A4" s="27"/>
      <c r="B4" s="27"/>
      <c r="C4" s="27"/>
      <c r="D4" s="27"/>
      <c r="E4" s="27"/>
    </row>
    <row r="5" ht="13.65" customHeight="1">
      <c r="A5" s="27"/>
      <c r="B5" s="27"/>
      <c r="C5" s="27"/>
      <c r="D5" s="27"/>
      <c r="E5" s="27"/>
    </row>
    <row r="6" ht="13.65" customHeight="1">
      <c r="A6" s="27"/>
      <c r="B6" s="27"/>
      <c r="C6" s="27"/>
      <c r="D6" s="27"/>
      <c r="E6" s="27"/>
    </row>
    <row r="7" ht="13.65" customHeight="1">
      <c r="A7" s="27"/>
      <c r="B7" s="27"/>
      <c r="C7" s="27"/>
      <c r="D7" s="27"/>
      <c r="E7" s="27"/>
    </row>
    <row r="8" ht="13.65" customHeight="1">
      <c r="A8" s="27"/>
      <c r="B8" s="27"/>
      <c r="C8" s="27"/>
      <c r="D8" s="27"/>
      <c r="E8" s="27"/>
    </row>
    <row r="9" ht="13.65" customHeight="1">
      <c r="A9" s="27"/>
      <c r="B9" s="27"/>
      <c r="C9" s="27"/>
      <c r="D9" s="27"/>
      <c r="E9" s="27"/>
    </row>
    <row r="10" ht="13.65" customHeight="1">
      <c r="A10" s="27"/>
      <c r="B10" s="27"/>
      <c r="C10" s="27"/>
      <c r="D10" s="27"/>
      <c r="E10" s="27"/>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12.xml><?xml version="1.0" encoding="utf-8"?>
<worksheet xmlns:r="http://schemas.openxmlformats.org/officeDocument/2006/relationships" xmlns="http://schemas.openxmlformats.org/spreadsheetml/2006/main">
  <dimension ref="A1:K22"/>
  <sheetViews>
    <sheetView workbookViewId="0" showGridLines="0" defaultGridColor="1"/>
  </sheetViews>
  <sheetFormatPr defaultColWidth="8.83333" defaultRowHeight="12.75" customHeight="1" outlineLevelRow="0" outlineLevelCol="0"/>
  <cols>
    <col min="1" max="1" width="8.85156" style="52" customWidth="1"/>
    <col min="2" max="2" width="8.35156" style="52" customWidth="1"/>
    <col min="3" max="10" width="8.85156" style="52" customWidth="1"/>
    <col min="11" max="11" width="13.5" style="52" customWidth="1"/>
    <col min="12" max="16384" width="8.85156" style="52" customWidth="1"/>
  </cols>
  <sheetData>
    <row r="1" ht="13.65" customHeight="1">
      <c r="A1" t="s" s="29">
        <v>61</v>
      </c>
      <c r="B1" t="s" s="31">
        <v>62</v>
      </c>
      <c r="C1" t="s" s="29">
        <v>63</v>
      </c>
      <c r="D1" t="s" s="29">
        <v>64</v>
      </c>
      <c r="E1" t="s" s="31">
        <v>65</v>
      </c>
      <c r="F1" s="27"/>
      <c r="G1" s="27"/>
      <c r="H1" s="27"/>
      <c r="I1" s="27"/>
      <c r="J1" s="27"/>
      <c r="K1" s="27"/>
    </row>
    <row r="2" ht="13.65" customHeight="1">
      <c r="A2" t="s" s="32">
        <v>66</v>
      </c>
      <c r="B2" s="53" cm="1">
        <f t="array" ref="B2">C2*3.4</f>
        <v>0.476</v>
      </c>
      <c r="C2" s="34">
        <v>0.14</v>
      </c>
      <c r="D2" s="35">
        <v>0.0475</v>
      </c>
      <c r="E2" s="53" cm="1">
        <f t="array" ref="E2">D2*2.6</f>
        <v>0.1235</v>
      </c>
      <c r="F2" s="54"/>
      <c r="G2" s="27"/>
      <c r="H2" s="27"/>
      <c r="I2" s="27"/>
      <c r="J2" s="27"/>
      <c r="K2" s="27"/>
    </row>
    <row r="3" ht="13.65" customHeight="1">
      <c r="A3" t="s" s="32">
        <v>67</v>
      </c>
      <c r="B3" s="53" cm="1">
        <f t="array" ref="B3">C3*3.4</f>
        <v>0.4675</v>
      </c>
      <c r="C3" s="34">
        <v>0.1375</v>
      </c>
      <c r="D3" s="35">
        <v>0.1225</v>
      </c>
      <c r="E3" s="53" cm="1">
        <f t="array" ref="E3">D3*1.8</f>
        <v>0.2205</v>
      </c>
      <c r="F3" s="54"/>
      <c r="G3" s="27"/>
      <c r="H3" s="27"/>
      <c r="I3" s="27"/>
      <c r="J3" s="27"/>
      <c r="K3" s="27"/>
    </row>
    <row r="4" ht="13.65" customHeight="1">
      <c r="A4" t="s" s="32">
        <v>69</v>
      </c>
      <c r="B4" s="53" cm="1">
        <f t="array" ref="B4">C4*3.4</f>
        <v>0.5695</v>
      </c>
      <c r="C4" s="34">
        <v>0.1675</v>
      </c>
      <c r="D4" s="35">
        <v>0.26</v>
      </c>
      <c r="E4" s="53" cm="1">
        <f t="array" ref="E4">D4*1.8</f>
        <v>0.468</v>
      </c>
      <c r="F4" s="54"/>
      <c r="G4" s="27"/>
      <c r="H4" s="27"/>
      <c r="I4" s="27"/>
      <c r="J4" s="27"/>
      <c r="K4" s="27"/>
    </row>
    <row r="5" ht="13.65" customHeight="1">
      <c r="A5" t="s" s="32">
        <v>70</v>
      </c>
      <c r="B5" s="53" cm="1">
        <f t="array" ref="B5">C5*3.4</f>
        <v>0.663</v>
      </c>
      <c r="C5" s="34">
        <v>0.195</v>
      </c>
      <c r="D5" s="35">
        <v>0.36</v>
      </c>
      <c r="E5" s="53" cm="1">
        <f t="array" ref="E5">D5*1.8</f>
        <v>0.648</v>
      </c>
      <c r="F5" s="54"/>
      <c r="G5" s="27"/>
      <c r="H5" s="27"/>
      <c r="I5" s="27"/>
      <c r="J5" s="27"/>
      <c r="K5" s="27"/>
    </row>
    <row r="6" ht="13.65" customHeight="1">
      <c r="A6" t="s" s="32">
        <v>71</v>
      </c>
      <c r="B6" s="53" cm="1">
        <f t="array" ref="B6">C6*3.4</f>
        <v>0.765</v>
      </c>
      <c r="C6" s="34">
        <v>0.225</v>
      </c>
      <c r="D6" s="35">
        <v>0.4625</v>
      </c>
      <c r="E6" s="53" cm="1">
        <f t="array" ref="E6">D6*1.8</f>
        <v>0.8325</v>
      </c>
      <c r="F6" s="54"/>
      <c r="G6" s="27"/>
      <c r="H6" s="27"/>
      <c r="I6" s="27"/>
      <c r="J6" s="27"/>
      <c r="K6" s="27"/>
    </row>
    <row r="7" ht="13.65" customHeight="1">
      <c r="A7" t="s" s="32">
        <v>72</v>
      </c>
      <c r="B7" s="53" cm="1">
        <f t="array" ref="B7">C7*3.4</f>
        <v>0.867</v>
      </c>
      <c r="C7" s="34">
        <v>0.255</v>
      </c>
      <c r="D7" s="35">
        <v>0.6775</v>
      </c>
      <c r="E7" s="53" cm="1">
        <f t="array" ref="E7">D7*1.8</f>
        <v>1.2195</v>
      </c>
      <c r="F7" s="54"/>
      <c r="G7" s="27"/>
      <c r="H7" s="27"/>
      <c r="I7" s="27"/>
      <c r="J7" s="27"/>
      <c r="K7" s="27"/>
    </row>
    <row r="8" ht="13.65" customHeight="1">
      <c r="A8" t="s" s="32">
        <v>73</v>
      </c>
      <c r="B8" s="53" cm="1">
        <f t="array" ref="B8">C8*3.4</f>
        <v>1.02</v>
      </c>
      <c r="C8" s="34">
        <v>0.3</v>
      </c>
      <c r="D8" s="35">
        <v>0.57</v>
      </c>
      <c r="E8" s="53" cm="1">
        <f t="array" ref="E8">D8*1.8</f>
        <v>1.026</v>
      </c>
      <c r="F8" s="54"/>
      <c r="G8" s="27"/>
      <c r="H8" s="27"/>
      <c r="I8" s="27"/>
      <c r="J8" s="27"/>
      <c r="K8" s="27"/>
    </row>
    <row r="9" ht="13.65" customHeight="1">
      <c r="A9" t="s" s="32">
        <v>74</v>
      </c>
      <c r="B9" s="53" cm="1">
        <f t="array" ref="B9">C9*3.4</f>
        <v>1.122</v>
      </c>
      <c r="C9" s="34">
        <v>0.33</v>
      </c>
      <c r="D9" s="35">
        <v>0.925</v>
      </c>
      <c r="E9" s="53" cm="1">
        <f t="array" ref="E9">D9*1.8</f>
        <v>1.665</v>
      </c>
      <c r="F9" s="54"/>
      <c r="G9" s="27"/>
      <c r="H9" s="27"/>
      <c r="I9" s="27"/>
      <c r="J9" s="27"/>
      <c r="K9" s="27"/>
    </row>
    <row r="10" ht="13.65" customHeight="1">
      <c r="A10" t="s" s="32">
        <v>75</v>
      </c>
      <c r="B10" s="53" cm="1">
        <f t="array" ref="B10">C10*3.4</f>
        <v>1.207</v>
      </c>
      <c r="C10" s="34">
        <v>0.355</v>
      </c>
      <c r="D10" s="35">
        <v>1.1225</v>
      </c>
      <c r="E10" s="53" cm="1">
        <f t="array" ref="E10">D10*1.8</f>
        <v>2.0205</v>
      </c>
      <c r="F10" s="54"/>
      <c r="G10" s="27"/>
      <c r="H10" s="27"/>
      <c r="I10" s="27"/>
      <c r="J10" s="27"/>
      <c r="K10" s="27"/>
    </row>
    <row r="11" ht="13.65" customHeight="1">
      <c r="A11" s="27"/>
      <c r="B11" s="55"/>
      <c r="C11" s="27"/>
      <c r="D11" s="27"/>
      <c r="E11" s="55"/>
      <c r="F11" s="27"/>
      <c r="G11" s="27"/>
      <c r="H11" s="27"/>
      <c r="I11" s="27"/>
      <c r="J11" s="27"/>
      <c r="K11" s="27"/>
    </row>
    <row r="12" ht="13.65" customHeight="1">
      <c r="A12" s="27"/>
      <c r="B12" s="27"/>
      <c r="C12" s="27"/>
      <c r="D12" s="27"/>
      <c r="E12" s="27"/>
      <c r="F12" s="27"/>
      <c r="G12" s="27"/>
      <c r="H12" s="27"/>
      <c r="I12" s="27"/>
      <c r="J12" s="27"/>
      <c r="K12" s="27"/>
    </row>
    <row r="13" ht="13.65" customHeight="1">
      <c r="A13" s="27"/>
      <c r="B13" s="27"/>
      <c r="C13" s="27"/>
      <c r="D13" s="27"/>
      <c r="E13" s="27"/>
      <c r="F13" s="27"/>
      <c r="G13" s="27"/>
      <c r="H13" s="27"/>
      <c r="I13" s="27"/>
      <c r="J13" s="27"/>
      <c r="K13" s="27"/>
    </row>
    <row r="14" ht="13.65" customHeight="1">
      <c r="A14" s="27"/>
      <c r="B14" s="27"/>
      <c r="C14" s="27"/>
      <c r="D14" s="27"/>
      <c r="E14" s="27"/>
      <c r="F14" s="27"/>
      <c r="G14" s="27"/>
      <c r="H14" s="27"/>
      <c r="I14" s="27"/>
      <c r="J14" s="27"/>
      <c r="K14" s="27"/>
    </row>
    <row r="15" ht="13.65" customHeight="1">
      <c r="A15" s="27"/>
      <c r="B15" s="27"/>
      <c r="C15" s="27"/>
      <c r="D15" s="27"/>
      <c r="E15" s="27"/>
      <c r="F15" s="27"/>
      <c r="G15" s="27"/>
      <c r="H15" s="27"/>
      <c r="I15" s="27"/>
      <c r="J15" s="27"/>
      <c r="K15" s="27"/>
    </row>
    <row r="16" ht="13.65" customHeight="1">
      <c r="A16" s="27"/>
      <c r="B16" s="27"/>
      <c r="C16" s="27"/>
      <c r="D16" s="27"/>
      <c r="E16" s="27"/>
      <c r="F16" s="27"/>
      <c r="G16" s="27"/>
      <c r="H16" s="27"/>
      <c r="I16" s="27"/>
      <c r="J16" s="27"/>
      <c r="K16" s="27"/>
    </row>
    <row r="17" ht="13.65" customHeight="1">
      <c r="A17" s="27"/>
      <c r="B17" s="27"/>
      <c r="C17" s="27"/>
      <c r="D17" s="27"/>
      <c r="E17" s="27"/>
      <c r="F17" s="27"/>
      <c r="G17" s="27"/>
      <c r="H17" s="27"/>
      <c r="I17" s="27"/>
      <c r="J17" s="27"/>
      <c r="K17" s="27"/>
    </row>
    <row r="18" ht="13.65" customHeight="1">
      <c r="A18" s="27"/>
      <c r="B18" s="27"/>
      <c r="C18" s="27"/>
      <c r="D18" s="27"/>
      <c r="E18" s="27"/>
      <c r="F18" s="27"/>
      <c r="G18" s="27"/>
      <c r="H18" s="27"/>
      <c r="I18" s="27"/>
      <c r="J18" s="27"/>
      <c r="K18" s="27"/>
    </row>
    <row r="19" ht="13.65" customHeight="1">
      <c r="A19" s="27"/>
      <c r="B19" s="27"/>
      <c r="C19" s="27"/>
      <c r="D19" s="27"/>
      <c r="E19" s="27"/>
      <c r="F19" s="27"/>
      <c r="G19" s="27"/>
      <c r="H19" s="27"/>
      <c r="I19" s="27"/>
      <c r="J19" s="27"/>
      <c r="K19" s="27"/>
    </row>
    <row r="20" ht="13.65" customHeight="1">
      <c r="A20" s="27"/>
      <c r="B20" s="27"/>
      <c r="C20" s="27"/>
      <c r="D20" s="27"/>
      <c r="E20" s="27"/>
      <c r="F20" s="27"/>
      <c r="G20" s="27"/>
      <c r="H20" s="27"/>
      <c r="I20" s="27"/>
      <c r="J20" s="27"/>
      <c r="K20" s="56"/>
    </row>
    <row r="21" ht="13.65" customHeight="1">
      <c r="A21" s="27"/>
      <c r="B21" s="27"/>
      <c r="C21" s="27"/>
      <c r="D21" s="27"/>
      <c r="E21" s="27"/>
      <c r="F21" s="27"/>
      <c r="G21" s="27"/>
      <c r="H21" s="27"/>
      <c r="I21" s="27"/>
      <c r="J21" s="27"/>
      <c r="K21" s="56"/>
    </row>
    <row r="22" ht="13.65" customHeight="1">
      <c r="A22" s="27"/>
      <c r="B22" s="27"/>
      <c r="C22" s="27"/>
      <c r="D22" s="27"/>
      <c r="E22" s="27"/>
      <c r="F22" s="27"/>
      <c r="G22" s="27"/>
      <c r="H22" s="27"/>
      <c r="I22" s="27"/>
      <c r="J22" s="27"/>
      <c r="K22" s="56"/>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13.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2.75" customHeight="1" outlineLevelRow="0" outlineLevelCol="0"/>
  <cols>
    <col min="1" max="5" width="8.85156" style="57" customWidth="1"/>
    <col min="6" max="16384" width="8.85156" style="57" customWidth="1"/>
  </cols>
  <sheetData>
    <row r="1" ht="13.65" customHeight="1">
      <c r="A1" t="s" s="29">
        <v>61</v>
      </c>
      <c r="B1" t="s" s="31">
        <v>62</v>
      </c>
      <c r="C1" t="s" s="29">
        <v>63</v>
      </c>
      <c r="D1" t="s" s="29">
        <v>64</v>
      </c>
      <c r="E1" t="s" s="31">
        <v>65</v>
      </c>
    </row>
    <row r="2" ht="13.65" customHeight="1">
      <c r="A2" t="s" s="32">
        <v>66</v>
      </c>
      <c r="B2" s="58" cm="1">
        <f t="array" ref="B2">C2*3.25</f>
        <v>0.706875</v>
      </c>
      <c r="C2" s="34">
        <v>0.2175</v>
      </c>
      <c r="D2" s="35">
        <v>-1.25</v>
      </c>
      <c r="E2" s="59" cm="1">
        <f t="array" ref="E2">D2*1.825</f>
        <v>-2.28125</v>
      </c>
    </row>
    <row r="3" ht="13.65" customHeight="1">
      <c r="A3" t="s" s="32">
        <v>67</v>
      </c>
      <c r="B3" s="58" cm="1">
        <f t="array" ref="B3">C3*3.25</f>
        <v>0.755625</v>
      </c>
      <c r="C3" s="34">
        <v>0.2325</v>
      </c>
      <c r="D3" s="35">
        <v>-1.2925</v>
      </c>
      <c r="E3" s="59" cm="1">
        <f t="array" ref="E3">D3*1.825</f>
        <v>-2.3588125</v>
      </c>
    </row>
    <row r="4" ht="13.65" customHeight="1">
      <c r="A4" t="s" s="32">
        <v>68</v>
      </c>
      <c r="B4" s="58" cm="1">
        <f t="array" ref="B4">C4*3.25</f>
        <v>1.105</v>
      </c>
      <c r="C4" s="34">
        <v>0.34</v>
      </c>
      <c r="D4" s="35">
        <v>-1.2975</v>
      </c>
      <c r="E4" s="59" cm="1">
        <f t="array" ref="E4">D4*1.825</f>
        <v>-2.3679375</v>
      </c>
    </row>
    <row r="5" ht="13.65" customHeight="1">
      <c r="A5" t="s" s="32">
        <v>69</v>
      </c>
      <c r="B5" s="58" cm="1">
        <f t="array" ref="B5">C5*3.75</f>
        <v>0.965625</v>
      </c>
      <c r="C5" s="34">
        <v>0.2575</v>
      </c>
      <c r="D5" s="35">
        <v>-1.47</v>
      </c>
      <c r="E5" s="59" cm="1">
        <f t="array" ref="E5">D5*1.825</f>
        <v>-2.68275</v>
      </c>
    </row>
    <row r="6" ht="13.65" customHeight="1">
      <c r="A6" t="s" s="32">
        <v>70</v>
      </c>
      <c r="B6" s="58" cm="1">
        <f t="array" ref="B6">4*C6</f>
        <v>1.26</v>
      </c>
      <c r="C6" s="34">
        <v>0.315</v>
      </c>
      <c r="D6" s="35">
        <v>-1.84</v>
      </c>
      <c r="E6" s="59" cm="1">
        <f t="array" ref="E6">D6*1.825</f>
        <v>-3.358</v>
      </c>
    </row>
    <row r="7" ht="13.65" customHeight="1">
      <c r="A7" t="s" s="32">
        <v>71</v>
      </c>
      <c r="B7" s="58" cm="1">
        <f t="array" ref="B7">4*C7</f>
        <v>1.41</v>
      </c>
      <c r="C7" s="34">
        <v>0.3525</v>
      </c>
      <c r="D7" s="35">
        <v>-2.1575</v>
      </c>
      <c r="E7" s="59" cm="1">
        <f t="array" ref="E7">D7*1.825</f>
        <v>-3.9374375</v>
      </c>
    </row>
    <row r="8" ht="13.65" customHeight="1">
      <c r="A8" t="s" s="32">
        <v>72</v>
      </c>
      <c r="B8" s="58" cm="1">
        <f t="array" ref="B8">4*C8</f>
        <v>1.68</v>
      </c>
      <c r="C8" s="34">
        <v>0.42</v>
      </c>
      <c r="D8" s="35">
        <v>-2.5675</v>
      </c>
      <c r="E8" s="59" cm="1">
        <f t="array" ref="E8">D8*1.825</f>
        <v>-4.6856875</v>
      </c>
    </row>
    <row r="9" ht="13.65" customHeight="1">
      <c r="A9" t="s" s="32">
        <v>73</v>
      </c>
      <c r="B9" s="58" cm="1">
        <f t="array" ref="B9">4*C9</f>
        <v>1.87</v>
      </c>
      <c r="C9" s="34">
        <v>0.4675</v>
      </c>
      <c r="D9" s="35">
        <v>-2.735</v>
      </c>
      <c r="E9" s="59" cm="1">
        <f t="array" ref="E9">D9*1.825</f>
        <v>-4.991375</v>
      </c>
    </row>
    <row r="10" ht="13.65" customHeight="1">
      <c r="A10" t="s" s="32">
        <v>74</v>
      </c>
      <c r="B10" s="58" cm="1">
        <f t="array" ref="B10">4.25*C10</f>
        <v>2.135625</v>
      </c>
      <c r="C10" s="34">
        <v>0.5024999999999999</v>
      </c>
      <c r="D10" s="35">
        <v>-2.875</v>
      </c>
      <c r="E10" s="59" cm="1">
        <f t="array" ref="E10">D10*1.825</f>
        <v>-5.246875</v>
      </c>
    </row>
    <row r="11" ht="13.65" customHeight="1">
      <c r="A11" t="s" s="32">
        <v>75</v>
      </c>
      <c r="B11" s="60" cm="1">
        <f t="array" ref="B11">4.25*C11</f>
        <v>2.295</v>
      </c>
      <c r="C11" s="34">
        <v>0.54</v>
      </c>
      <c r="D11" s="35">
        <v>-3.34</v>
      </c>
      <c r="E11" s="61" cm="1">
        <f t="array" ref="E11">D11*1.825</f>
        <v>-6.0955</v>
      </c>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14.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2.75" customHeight="1" outlineLevelRow="0" outlineLevelCol="0"/>
  <cols>
    <col min="1" max="5" width="8.85156" style="62" customWidth="1"/>
    <col min="6" max="16384" width="8.85156" style="62" customWidth="1"/>
  </cols>
  <sheetData>
    <row r="1" ht="13.65" customHeight="1">
      <c r="A1" t="s" s="29">
        <v>61</v>
      </c>
      <c r="B1" t="s" s="31">
        <v>62</v>
      </c>
      <c r="C1" t="s" s="29">
        <v>63</v>
      </c>
      <c r="D1" t="s" s="29">
        <v>64</v>
      </c>
      <c r="E1" t="s" s="31">
        <v>65</v>
      </c>
    </row>
    <row r="2" ht="13.65" customHeight="1">
      <c r="A2" t="s" s="32">
        <v>66</v>
      </c>
      <c r="B2" s="58" cm="1">
        <f t="array" ref="B2">3.25*C2</f>
        <v>0.6175</v>
      </c>
      <c r="C2" s="34">
        <v>0.19</v>
      </c>
      <c r="D2" s="35">
        <v>-0.43</v>
      </c>
      <c r="E2" s="59" cm="1">
        <f t="array" ref="E2">D2*1.8</f>
        <v>-0.774</v>
      </c>
    </row>
    <row r="3" ht="13.65" customHeight="1">
      <c r="A3" t="s" s="32">
        <v>67</v>
      </c>
      <c r="B3" s="58" cm="1">
        <f t="array" ref="B3">3.25*C3</f>
        <v>0.65</v>
      </c>
      <c r="C3" s="34">
        <v>0.2</v>
      </c>
      <c r="D3" s="35">
        <v>-0.415</v>
      </c>
      <c r="E3" s="59" cm="1">
        <f t="array" ref="E3">D3*1.8</f>
        <v>-0.747</v>
      </c>
    </row>
    <row r="4" ht="13.65" customHeight="1">
      <c r="A4" t="s" s="32">
        <v>68</v>
      </c>
      <c r="B4" s="58" cm="1">
        <f t="array" ref="B4">3.25*C4</f>
        <v>0.6175</v>
      </c>
      <c r="C4" s="34">
        <v>0.19</v>
      </c>
      <c r="D4" s="35">
        <v>-0.37</v>
      </c>
      <c r="E4" s="59" cm="1">
        <f t="array" ref="E4">D4*1.8</f>
        <v>-0.666</v>
      </c>
    </row>
    <row r="5" ht="13.65" customHeight="1">
      <c r="A5" t="s" s="32">
        <v>69</v>
      </c>
      <c r="B5" s="58" cm="1">
        <f t="array" ref="B5">3.25*C5</f>
        <v>0.76375</v>
      </c>
      <c r="C5" s="34">
        <v>0.235</v>
      </c>
      <c r="D5" s="35">
        <v>-0.475</v>
      </c>
      <c r="E5" s="59" cm="1">
        <f t="array" ref="E5">D5*1.8</f>
        <v>-0.855</v>
      </c>
    </row>
    <row r="6" ht="13.65" customHeight="1">
      <c r="A6" t="s" s="32">
        <v>70</v>
      </c>
      <c r="B6" s="58" cm="1">
        <f t="array" ref="B6">3.25*C6</f>
        <v>0.869375</v>
      </c>
      <c r="C6" s="34">
        <v>0.2675</v>
      </c>
      <c r="D6" s="35">
        <v>-0.6625</v>
      </c>
      <c r="E6" s="59" cm="1">
        <f t="array" ref="E6">D6*1.8</f>
        <v>-1.1925</v>
      </c>
    </row>
    <row r="7" ht="13.65" customHeight="1">
      <c r="A7" t="s" s="32">
        <v>71</v>
      </c>
      <c r="B7" s="58" cm="1">
        <f t="array" ref="B7">3.25*C7</f>
        <v>0.9506250000000001</v>
      </c>
      <c r="C7" s="34">
        <v>0.2925</v>
      </c>
      <c r="D7" s="35">
        <v>-0.8275</v>
      </c>
      <c r="E7" s="59" cm="1">
        <f t="array" ref="E7">D7*1.825</f>
        <v>-1.5101875</v>
      </c>
    </row>
    <row r="8" ht="13.65" customHeight="1">
      <c r="A8" t="s" s="32">
        <v>72</v>
      </c>
      <c r="B8" s="58" cm="1">
        <f t="array" ref="B8">3.25*C8</f>
        <v>1.129375</v>
      </c>
      <c r="C8" s="34">
        <v>0.3475</v>
      </c>
      <c r="D8" s="35">
        <v>-1.0925</v>
      </c>
      <c r="E8" s="59" cm="1">
        <f t="array" ref="E8">D8*1.825</f>
        <v>-1.9938125</v>
      </c>
    </row>
    <row r="9" ht="13.65" customHeight="1">
      <c r="A9" t="s" s="32">
        <v>73</v>
      </c>
      <c r="B9" s="58" cm="1">
        <f t="array" ref="B9">3.25*C9</f>
        <v>1.259375</v>
      </c>
      <c r="C9" s="34">
        <v>0.3875</v>
      </c>
      <c r="D9" s="35">
        <v>-1.2925</v>
      </c>
      <c r="E9" s="59" cm="1">
        <f t="array" ref="E9">D9*1.825</f>
        <v>-2.3588125</v>
      </c>
    </row>
    <row r="10" ht="13.65" customHeight="1">
      <c r="A10" t="s" s="32">
        <v>74</v>
      </c>
      <c r="B10" s="58" cm="1">
        <f t="array" ref="B10">3.25*C10</f>
        <v>1.291875</v>
      </c>
      <c r="C10" s="34">
        <v>0.3975</v>
      </c>
      <c r="D10" s="35">
        <v>-1.3775</v>
      </c>
      <c r="E10" s="59" cm="1">
        <f t="array" ref="E10">D10*1.825</f>
        <v>-2.5139375</v>
      </c>
    </row>
    <row r="11" ht="13.65" customHeight="1">
      <c r="A11" t="s" s="32">
        <v>75</v>
      </c>
      <c r="B11" s="60" cm="1">
        <f t="array" ref="B11">3.25*C11</f>
        <v>1.3975</v>
      </c>
      <c r="C11" s="34">
        <v>0.43</v>
      </c>
      <c r="D11" s="35">
        <v>-1.685</v>
      </c>
      <c r="E11" s="63" cm="1">
        <f t="array" ref="E11">D11*1.75</f>
        <v>-2.94875</v>
      </c>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15.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2.75" customHeight="1" outlineLevelRow="0" outlineLevelCol="0"/>
  <cols>
    <col min="1" max="1" width="6.5" style="64" customWidth="1"/>
    <col min="2" max="3" width="7.67188" style="64" customWidth="1"/>
    <col min="4" max="5" width="7.85156" style="64" customWidth="1"/>
    <col min="6" max="16384" width="8.85156" style="64" customWidth="1"/>
  </cols>
  <sheetData>
    <row r="1" ht="13.65" customHeight="1">
      <c r="A1" t="s" s="29">
        <v>61</v>
      </c>
      <c r="B1" t="s" s="31">
        <v>62</v>
      </c>
      <c r="C1" t="s" s="29">
        <v>63</v>
      </c>
      <c r="D1" t="s" s="29">
        <v>64</v>
      </c>
      <c r="E1" t="s" s="31">
        <v>65</v>
      </c>
    </row>
    <row r="2" ht="13.65" customHeight="1">
      <c r="A2" t="s" s="32">
        <v>66</v>
      </c>
      <c r="B2" s="33" cm="1">
        <f t="array" ref="B2">C2*3</f>
        <v>0.4425</v>
      </c>
      <c r="C2" s="34">
        <v>0.1475</v>
      </c>
      <c r="D2" s="35">
        <v>-0.18</v>
      </c>
      <c r="E2" s="36" cm="1">
        <f t="array" ref="E2">D2*1.75</f>
        <v>-0.315</v>
      </c>
    </row>
    <row r="3" ht="13.65" customHeight="1">
      <c r="A3" t="s" s="32">
        <v>67</v>
      </c>
      <c r="B3" s="33" cm="1">
        <f t="array" ref="B3">C3*3</f>
        <v>0.4575</v>
      </c>
      <c r="C3" s="34">
        <v>0.1525</v>
      </c>
      <c r="D3" s="35">
        <v>-0.165</v>
      </c>
      <c r="E3" s="36" cm="1">
        <f t="array" ref="E3">D3*1.75</f>
        <v>-0.28875</v>
      </c>
    </row>
    <row r="4" ht="13.65" customHeight="1">
      <c r="A4" t="s" s="32">
        <v>68</v>
      </c>
      <c r="B4" s="33" cm="1">
        <f t="array" ref="B4">C4*3</f>
        <v>0.4875</v>
      </c>
      <c r="C4" s="34">
        <v>0.1625</v>
      </c>
      <c r="D4" s="35">
        <v>-0.1775</v>
      </c>
      <c r="E4" s="36" cm="1">
        <f t="array" ref="E4">D4*1.75</f>
        <v>-0.310625</v>
      </c>
    </row>
    <row r="5" ht="13.65" customHeight="1">
      <c r="A5" t="s" s="32">
        <v>69</v>
      </c>
      <c r="B5" s="33" cm="1">
        <f t="array" ref="B5">C5*3</f>
        <v>0.5175</v>
      </c>
      <c r="C5" s="34">
        <v>0.1725</v>
      </c>
      <c r="D5" s="35">
        <v>-0.1225</v>
      </c>
      <c r="E5" s="36" cm="1">
        <f t="array" ref="E5">D5*1.75</f>
        <v>-0.214375</v>
      </c>
    </row>
    <row r="6" ht="13.65" customHeight="1">
      <c r="A6" t="s" s="32">
        <v>70</v>
      </c>
      <c r="B6" s="33" cm="1">
        <f t="array" ref="B6">C6*3</f>
        <v>0.585</v>
      </c>
      <c r="C6" s="34">
        <v>0.195</v>
      </c>
      <c r="D6" s="35">
        <v>-0.1025</v>
      </c>
      <c r="E6" s="36" cm="1">
        <f t="array" ref="E6">D6*1.75</f>
        <v>-0.179375</v>
      </c>
    </row>
    <row r="7" ht="13.65" customHeight="1">
      <c r="A7" t="s" s="32">
        <v>71</v>
      </c>
      <c r="B7" s="33" cm="1">
        <f t="array" ref="B7">C7*3</f>
        <v>0.6375</v>
      </c>
      <c r="C7" s="34">
        <v>0.2125</v>
      </c>
      <c r="D7" s="35">
        <v>-0.0925</v>
      </c>
      <c r="E7" s="36" cm="1">
        <f t="array" ref="E7">D7*1.8</f>
        <v>-0.1665</v>
      </c>
    </row>
    <row r="8" ht="13.65" customHeight="1">
      <c r="A8" t="s" s="32">
        <v>72</v>
      </c>
      <c r="B8" s="33" cm="1">
        <f t="array" ref="B8">C8*3.25</f>
        <v>0.8774999999999999</v>
      </c>
      <c r="C8" s="34">
        <v>0.27</v>
      </c>
      <c r="D8" s="35">
        <v>-0.04</v>
      </c>
      <c r="E8" s="36" cm="1">
        <f t="array" ref="E8">D8*1.8</f>
        <v>-0.07199999999999999</v>
      </c>
    </row>
    <row r="9" ht="13.65" customHeight="1">
      <c r="A9" t="s" s="32">
        <v>73</v>
      </c>
      <c r="B9" s="33" cm="1">
        <f t="array" ref="B9">C9*3.5</f>
        <v>1.04125</v>
      </c>
      <c r="C9" s="34">
        <v>0.2975</v>
      </c>
      <c r="D9" s="35">
        <v>0.0025</v>
      </c>
      <c r="E9" s="36" cm="1">
        <f t="array" ref="E9">D9*1.825</f>
        <v>0.0045625</v>
      </c>
    </row>
    <row r="10" ht="13.65" customHeight="1">
      <c r="A10" t="s" s="32">
        <v>74</v>
      </c>
      <c r="B10" s="33" cm="1">
        <f t="array" ref="B10">C10*3.55</f>
        <v>1.144875</v>
      </c>
      <c r="C10" s="34">
        <v>0.3225</v>
      </c>
      <c r="D10" s="35">
        <v>0.025</v>
      </c>
      <c r="E10" s="36" cm="1">
        <f t="array" ref="E10">D10*1.85</f>
        <v>0.04625</v>
      </c>
    </row>
    <row r="11" ht="13.65" customHeight="1">
      <c r="A11" t="s" s="32">
        <v>75</v>
      </c>
      <c r="B11" s="37" cm="1">
        <f t="array" ref="B11">C11*3.55</f>
        <v>1.207</v>
      </c>
      <c r="C11" s="34">
        <v>0.34</v>
      </c>
      <c r="D11" s="35">
        <v>-0.055</v>
      </c>
      <c r="E11" s="38" cm="1">
        <f t="array" ref="E11">D11*2.15</f>
        <v>-0.11825</v>
      </c>
    </row>
  </sheetData>
  <pageMargins left="0.7875" right="0.7875" top="1.025" bottom="1.025" header="0.7875" footer="0.7875"/>
  <pageSetup firstPageNumber="1" fitToHeight="1" fitToWidth="1" scale="100" useFirstPageNumber="0" orientation="portrait" pageOrder="downThenOver"/>
  <headerFooter>
    <oddHeader>&amp;C&amp;"Arial,Regular"&amp;10&amp;K000000EURUSD</oddHeader>
    <oddFooter>&amp;C&amp;"Arial,Regular"&amp;10&amp;K000000Page &amp;P</oddFooter>
  </headerFooter>
</worksheet>
</file>

<file path=xl/worksheets/sheet16.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2.75" customHeight="1" outlineLevelRow="0" outlineLevelCol="0"/>
  <cols>
    <col min="1" max="1" width="6.5" style="65" customWidth="1"/>
    <col min="2" max="3" width="7.67188" style="65" customWidth="1"/>
    <col min="4" max="5" width="7.85156" style="65" customWidth="1"/>
    <col min="6" max="16384" width="8.85156" style="65" customWidth="1"/>
  </cols>
  <sheetData>
    <row r="1" ht="13.65" customHeight="1">
      <c r="A1" t="s" s="29">
        <v>61</v>
      </c>
      <c r="B1" t="s" s="31">
        <v>62</v>
      </c>
      <c r="C1" t="s" s="29">
        <v>63</v>
      </c>
      <c r="D1" t="s" s="29">
        <v>64</v>
      </c>
      <c r="E1" t="s" s="31">
        <v>65</v>
      </c>
    </row>
    <row r="2" ht="13.65" customHeight="1">
      <c r="A2" t="s" s="32">
        <v>66</v>
      </c>
      <c r="B2" s="58" cm="1">
        <f t="array" ref="B2">C2*3</f>
        <v>0.8175</v>
      </c>
      <c r="C2" s="34">
        <v>0.2725</v>
      </c>
      <c r="D2" s="35">
        <v>-0.9175</v>
      </c>
      <c r="E2" s="59" cm="1">
        <f t="array" ref="E2">D2*1.8</f>
        <v>-1.6515</v>
      </c>
    </row>
    <row r="3" ht="13.65" customHeight="1">
      <c r="A3" t="s" s="32">
        <v>67</v>
      </c>
      <c r="B3" s="58" cm="1">
        <f t="array" ref="B3">C3*3</f>
        <v>0.8774999999999999</v>
      </c>
      <c r="C3" s="34">
        <v>0.2925</v>
      </c>
      <c r="D3" s="35">
        <v>-1.0425</v>
      </c>
      <c r="E3" s="59" cm="1">
        <f t="array" ref="E3">D3*1.8</f>
        <v>-1.8765</v>
      </c>
    </row>
    <row r="4" ht="13.65" customHeight="1">
      <c r="A4" t="s" s="32">
        <v>68</v>
      </c>
      <c r="B4" s="58" cm="1">
        <f t="array" ref="B4">C4*3</f>
        <v>0.93</v>
      </c>
      <c r="C4" s="34">
        <v>0.31</v>
      </c>
      <c r="D4" s="35">
        <v>-1.205</v>
      </c>
      <c r="E4" s="59" cm="1">
        <f t="array" ref="E4">D4*1.8</f>
        <v>-2.169</v>
      </c>
    </row>
    <row r="5" ht="13.65" customHeight="1">
      <c r="A5" t="s" s="32">
        <v>69</v>
      </c>
      <c r="B5" s="58" cm="1">
        <f t="array" ref="B5">C5*3</f>
        <v>1.02</v>
      </c>
      <c r="C5" s="34">
        <v>0.34</v>
      </c>
      <c r="D5" s="35">
        <v>-1.295</v>
      </c>
      <c r="E5" s="59" cm="1">
        <f t="array" ref="E5">D5*1.825</f>
        <v>-2.363375</v>
      </c>
    </row>
    <row r="6" ht="13.65" customHeight="1">
      <c r="A6" t="s" s="32">
        <v>70</v>
      </c>
      <c r="B6" s="58" cm="1">
        <f t="array" ref="B6">C6*3</f>
        <v>1.11</v>
      </c>
      <c r="C6" s="34">
        <v>0.37</v>
      </c>
      <c r="D6" s="35">
        <v>-1.425</v>
      </c>
      <c r="E6" s="59" cm="1">
        <f t="array" ref="E6">D6*1.825</f>
        <v>-2.600625</v>
      </c>
    </row>
    <row r="7" ht="13.65" customHeight="1">
      <c r="A7" t="s" s="32">
        <v>71</v>
      </c>
      <c r="B7" s="58" cm="1">
        <f t="array" ref="B7">C7*3</f>
        <v>1.1925</v>
      </c>
      <c r="C7" s="34">
        <v>0.3975</v>
      </c>
      <c r="D7" s="35">
        <v>-1.4875</v>
      </c>
      <c r="E7" s="59" cm="1">
        <f t="array" ref="E7">D7*1.825</f>
        <v>-2.7146875</v>
      </c>
    </row>
    <row r="8" ht="13.65" customHeight="1">
      <c r="A8" t="s" s="32">
        <v>72</v>
      </c>
      <c r="B8" s="58" cm="1">
        <f t="array" ref="B8">C8*3</f>
        <v>1.3125</v>
      </c>
      <c r="C8" s="34">
        <v>0.4375</v>
      </c>
      <c r="D8" s="35">
        <v>-1.6475</v>
      </c>
      <c r="E8" s="59" cm="1">
        <f t="array" ref="E8">D8*1.825</f>
        <v>-3.0066875</v>
      </c>
    </row>
    <row r="9" ht="13.65" customHeight="1">
      <c r="A9" t="s" s="32">
        <v>73</v>
      </c>
      <c r="B9" s="58" cm="1">
        <f t="array" ref="B9">C9*3</f>
        <v>1.3575</v>
      </c>
      <c r="C9" s="34">
        <v>0.4525</v>
      </c>
      <c r="D9" s="35">
        <v>-1.7175</v>
      </c>
      <c r="E9" s="59" cm="1">
        <f t="array" ref="E9">D9*1.85</f>
        <v>-3.177375</v>
      </c>
    </row>
    <row r="10" ht="13.65" customHeight="1">
      <c r="A10" t="s" s="32">
        <v>74</v>
      </c>
      <c r="B10" s="58" cm="1">
        <f t="array" ref="B10">C10*3</f>
        <v>1.4025</v>
      </c>
      <c r="C10" s="34">
        <v>0.4675</v>
      </c>
      <c r="D10" s="35">
        <v>-1.7675</v>
      </c>
      <c r="E10" s="59" cm="1">
        <f t="array" ref="E10">D10*1.85</f>
        <v>-3.269875</v>
      </c>
    </row>
    <row r="11" ht="13.65" customHeight="1">
      <c r="A11" t="s" s="32">
        <v>75</v>
      </c>
      <c r="B11" s="60" cm="1">
        <f t="array" ref="B11">C11*3</f>
        <v>1.47</v>
      </c>
      <c r="C11" s="34">
        <v>0.49</v>
      </c>
      <c r="D11" s="35">
        <v>-1.75</v>
      </c>
      <c r="E11" s="61" cm="1">
        <f t="array" ref="E11">D11*1.85</f>
        <v>-3.2375</v>
      </c>
    </row>
  </sheetData>
  <pageMargins left="0.7875" right="0.7875" top="1.025" bottom="1.025" header="0.7875" footer="0.7875"/>
  <pageSetup firstPageNumber="1" fitToHeight="1" fitToWidth="1" scale="100" useFirstPageNumber="0" orientation="portrait" pageOrder="downThenOver"/>
  <headerFooter>
    <oddHeader>&amp;C&amp;"Arial,Regular"&amp;10&amp;K000000AUDUSD</oddHeader>
    <oddFooter>&amp;C&amp;"Arial,Regular"&amp;10&amp;K000000Page &amp;P</oddFooter>
  </headerFooter>
</worksheet>
</file>

<file path=xl/worksheets/sheet17.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2.75" customHeight="1" outlineLevelRow="0" outlineLevelCol="0"/>
  <cols>
    <col min="1" max="1" width="6.5" style="66" customWidth="1"/>
    <col min="2" max="3" width="7.67188" style="66" customWidth="1"/>
    <col min="4" max="5" width="7.85156" style="66" customWidth="1"/>
    <col min="6" max="16384" width="8.85156" style="66" customWidth="1"/>
  </cols>
  <sheetData>
    <row r="1" ht="13.65" customHeight="1">
      <c r="A1" t="s" s="29">
        <v>61</v>
      </c>
      <c r="B1" t="s" s="31">
        <v>62</v>
      </c>
      <c r="C1" t="s" s="29">
        <v>63</v>
      </c>
      <c r="D1" t="s" s="29">
        <v>64</v>
      </c>
      <c r="E1" t="s" s="31">
        <v>65</v>
      </c>
    </row>
    <row r="2" ht="13.65" customHeight="1">
      <c r="A2" t="s" s="32">
        <v>66</v>
      </c>
      <c r="B2" s="53" cm="1">
        <f t="array" ref="B2">C2*3</f>
        <v>0.6525</v>
      </c>
      <c r="C2" s="34">
        <v>0.2175</v>
      </c>
      <c r="D2" s="35">
        <v>-0.0275</v>
      </c>
      <c r="E2" s="36" cm="1">
        <f t="array" ref="E2">1.85*D2</f>
        <v>-0.050875</v>
      </c>
    </row>
    <row r="3" ht="13.65" customHeight="1">
      <c r="A3" t="s" s="32">
        <v>67</v>
      </c>
      <c r="B3" s="53" cm="1">
        <f t="array" ref="B3">C3*3</f>
        <v>0.675</v>
      </c>
      <c r="C3" s="34">
        <v>0.225</v>
      </c>
      <c r="D3" s="35">
        <v>-0.11</v>
      </c>
      <c r="E3" s="36" cm="1">
        <f t="array" ref="E3">1.85*D3</f>
        <v>-0.2035</v>
      </c>
    </row>
    <row r="4" ht="13.65" customHeight="1">
      <c r="A4" t="s" s="32">
        <v>68</v>
      </c>
      <c r="B4" s="53" cm="1">
        <f t="array" ref="B4">C4*3</f>
        <v>0.735</v>
      </c>
      <c r="C4" s="34">
        <v>0.245</v>
      </c>
      <c r="D4" s="35">
        <v>-0.1475</v>
      </c>
      <c r="E4" s="36" cm="1">
        <f t="array" ref="E4">1.85*D4</f>
        <v>-0.272875</v>
      </c>
    </row>
    <row r="5" ht="13.65" customHeight="1">
      <c r="A5" t="s" s="32">
        <v>69</v>
      </c>
      <c r="B5" s="53" cm="1">
        <f t="array" ref="B5">C5*3</f>
        <v>0.72</v>
      </c>
      <c r="C5" s="34">
        <v>0.24</v>
      </c>
      <c r="D5" s="35">
        <v>-0.24</v>
      </c>
      <c r="E5" s="36" cm="1">
        <f t="array" ref="E5">1.85*D5</f>
        <v>-0.444</v>
      </c>
    </row>
    <row r="6" ht="13.65" customHeight="1">
      <c r="A6" t="s" s="32">
        <v>70</v>
      </c>
      <c r="B6" s="53" cm="1">
        <f t="array" ref="B6">C6*3</f>
        <v>0.8025</v>
      </c>
      <c r="C6" s="34">
        <v>0.2675</v>
      </c>
      <c r="D6" s="35">
        <v>-0.4575</v>
      </c>
      <c r="E6" s="36" cm="1">
        <f t="array" ref="E6">1.85*D6</f>
        <v>-0.846375</v>
      </c>
    </row>
    <row r="7" ht="13.65" customHeight="1">
      <c r="A7" t="s" s="32">
        <v>71</v>
      </c>
      <c r="B7" s="53" cm="1">
        <f t="array" ref="B7">C7*3</f>
        <v>0.87</v>
      </c>
      <c r="C7" s="34">
        <v>0.29</v>
      </c>
      <c r="D7" s="35">
        <v>-0.645</v>
      </c>
      <c r="E7" s="36" cm="1">
        <f t="array" ref="E7">1.85*D7</f>
        <v>-1.19325</v>
      </c>
    </row>
    <row r="8" ht="13.65" customHeight="1">
      <c r="A8" t="s" s="32">
        <v>72</v>
      </c>
      <c r="B8" s="53" cm="1">
        <f t="array" ref="B8">C8*3</f>
        <v>0.99</v>
      </c>
      <c r="C8" s="34">
        <v>0.33</v>
      </c>
      <c r="D8" s="35">
        <v>-0.9575</v>
      </c>
      <c r="E8" s="67" cm="1">
        <f t="array" ref="E8">D8*2</f>
        <v>-1.915</v>
      </c>
    </row>
    <row r="9" ht="13.65" customHeight="1">
      <c r="A9" t="s" s="32">
        <v>73</v>
      </c>
      <c r="B9" s="53" cm="1">
        <f t="array" ref="B9">C9*3</f>
        <v>1.065</v>
      </c>
      <c r="C9" s="34">
        <v>0.355</v>
      </c>
      <c r="D9" s="35">
        <v>-1.0925</v>
      </c>
      <c r="E9" s="36" cm="1">
        <f t="array" ref="E9">1.875*D9</f>
        <v>-2.0484375</v>
      </c>
    </row>
    <row r="10" ht="13.65" customHeight="1">
      <c r="A10" t="s" s="32">
        <v>74</v>
      </c>
      <c r="B10" s="68" cm="1">
        <f t="array" ref="B10">3.25*C10</f>
        <v>1.2025</v>
      </c>
      <c r="C10" s="34">
        <v>0.37</v>
      </c>
      <c r="D10" s="35">
        <v>-1.19</v>
      </c>
      <c r="E10" s="36" cm="1">
        <f t="array" ref="E10">1.875*D10</f>
        <v>-2.23125</v>
      </c>
    </row>
    <row r="11" ht="13.65" customHeight="1">
      <c r="A11" t="s" s="32">
        <v>75</v>
      </c>
      <c r="B11" s="69" cm="1">
        <f t="array" ref="B11">3.5*C11</f>
        <v>1.4525</v>
      </c>
      <c r="C11" s="34">
        <v>0.415</v>
      </c>
      <c r="D11" s="35">
        <v>-1.42</v>
      </c>
      <c r="E11" s="38" cm="1">
        <f t="array" ref="E11">1.875*D11</f>
        <v>-2.6625</v>
      </c>
    </row>
  </sheetData>
  <pageMargins left="0.7875" right="0.7875" top="1.025" bottom="1.025" header="0.7875" footer="0.7875"/>
  <pageSetup firstPageNumber="1" fitToHeight="1" fitToWidth="1" scale="100" useFirstPageNumber="0" orientation="portrait" pageOrder="downThenOver"/>
  <headerFooter>
    <oddHeader>&amp;C&amp;"Arial,Regular"&amp;10&amp;K000000USDJPY</oddHeader>
    <oddFooter>&amp;C&amp;"Arial,Regular"&amp;10&amp;K000000Page &amp;P</oddFooter>
  </headerFooter>
</worksheet>
</file>

<file path=xl/worksheets/sheet18.xml><?xml version="1.0" encoding="utf-8"?>
<worksheet xmlns:r="http://schemas.openxmlformats.org/officeDocument/2006/relationships" xmlns="http://schemas.openxmlformats.org/spreadsheetml/2006/main">
  <dimension ref="A1:U30"/>
  <sheetViews>
    <sheetView workbookViewId="0" showGridLines="0" defaultGridColor="1"/>
  </sheetViews>
  <sheetFormatPr defaultColWidth="8.83333" defaultRowHeight="12.75" customHeight="1" outlineLevelRow="0" outlineLevelCol="0"/>
  <cols>
    <col min="1" max="1" width="6.5" style="70" customWidth="1"/>
    <col min="2" max="3" width="7.67188" style="70" customWidth="1"/>
    <col min="4" max="5" width="7.85156" style="70" customWidth="1"/>
    <col min="6" max="7" width="8.85156" style="70" customWidth="1"/>
    <col min="8" max="8" width="10.3516" style="70" customWidth="1"/>
    <col min="9" max="11" width="8.85156" style="70" customWidth="1"/>
    <col min="12" max="12" width="12.8516" style="70" customWidth="1"/>
    <col min="13" max="13" width="15" style="70" customWidth="1"/>
    <col min="14" max="14" width="8.85156" style="70" customWidth="1"/>
    <col min="15" max="15" width="12.8516" style="70" customWidth="1"/>
    <col min="16" max="21" width="8.85156" style="70" customWidth="1"/>
    <col min="22" max="16384" width="8.85156" style="70" customWidth="1"/>
  </cols>
  <sheetData>
    <row r="1" ht="13.65" customHeight="1">
      <c r="A1" t="s" s="29">
        <v>61</v>
      </c>
      <c r="B1" t="s" s="31">
        <v>62</v>
      </c>
      <c r="C1" t="s" s="29">
        <v>63</v>
      </c>
      <c r="D1" t="s" s="29">
        <v>64</v>
      </c>
      <c r="E1" t="s" s="31">
        <v>65</v>
      </c>
      <c r="F1" s="27"/>
      <c r="G1" s="27"/>
      <c r="H1" s="27"/>
      <c r="I1" s="27"/>
      <c r="J1" s="27"/>
      <c r="K1" s="27"/>
      <c r="L1" s="27"/>
      <c r="M1" s="27"/>
      <c r="N1" s="27"/>
      <c r="O1" s="27"/>
      <c r="P1" s="27"/>
      <c r="Q1" s="27"/>
      <c r="R1" s="27"/>
      <c r="S1" s="27"/>
      <c r="T1" s="27"/>
      <c r="U1" s="27"/>
    </row>
    <row r="2" ht="13.65" customHeight="1">
      <c r="A2" t="s" s="32">
        <v>66</v>
      </c>
      <c r="B2" s="42" cm="1">
        <f t="array" ref="B2">C2*3.4</f>
        <v>0.6205000000000001</v>
      </c>
      <c r="C2" s="43">
        <v>0.1825</v>
      </c>
      <c r="D2" s="44">
        <v>0.385</v>
      </c>
      <c r="E2" s="42" cm="1">
        <f t="array" ref="E2">D2*2.05</f>
        <v>0.78925</v>
      </c>
      <c r="F2" s="54"/>
      <c r="G2" s="27"/>
      <c r="H2" s="27"/>
      <c r="I2" s="27"/>
      <c r="J2" s="27"/>
      <c r="K2" s="27"/>
      <c r="L2" s="27"/>
      <c r="M2" s="27"/>
      <c r="N2" s="27"/>
      <c r="O2" s="27"/>
      <c r="P2" s="27"/>
      <c r="Q2" s="27"/>
      <c r="R2" s="27"/>
      <c r="S2" s="27"/>
      <c r="T2" s="27"/>
      <c r="U2" s="27"/>
    </row>
    <row r="3" ht="13.65" customHeight="1">
      <c r="A3" t="s" s="32">
        <v>67</v>
      </c>
      <c r="B3" s="42" cm="1">
        <f t="array" ref="B3">C3*3.4</f>
        <v>0.6375</v>
      </c>
      <c r="C3" s="43">
        <v>0.1875</v>
      </c>
      <c r="D3" s="44">
        <v>0.45</v>
      </c>
      <c r="E3" s="42" cm="1">
        <f t="array" ref="E3">D3*2.15</f>
        <v>0.9675</v>
      </c>
      <c r="F3" s="54"/>
      <c r="G3" s="27"/>
      <c r="H3" s="27"/>
      <c r="I3" s="27"/>
      <c r="J3" s="27"/>
      <c r="K3" s="27"/>
      <c r="L3" s="27"/>
      <c r="M3" s="27"/>
      <c r="N3" s="27"/>
      <c r="O3" s="27"/>
      <c r="P3" s="27"/>
      <c r="Q3" s="27"/>
      <c r="R3" s="27"/>
      <c r="S3" s="27"/>
      <c r="T3" s="27"/>
      <c r="U3" s="27"/>
    </row>
    <row r="4" ht="13.65" customHeight="1">
      <c r="A4" t="s" s="32">
        <v>69</v>
      </c>
      <c r="B4" s="42" cm="1">
        <f t="array" ref="B4">C4*3.4</f>
        <v>0.731</v>
      </c>
      <c r="C4" s="43">
        <v>0.215</v>
      </c>
      <c r="D4" s="44">
        <v>0.525</v>
      </c>
      <c r="E4" s="42" cm="1">
        <f t="array" ref="E4">D4*2.3</f>
        <v>1.2075</v>
      </c>
      <c r="F4" s="54"/>
      <c r="G4" s="27"/>
      <c r="H4" s="27"/>
      <c r="I4" s="27"/>
      <c r="J4" s="27"/>
      <c r="K4" s="27"/>
      <c r="L4" s="27"/>
      <c r="M4" s="27"/>
      <c r="N4" s="27"/>
      <c r="O4" s="27"/>
      <c r="P4" s="27"/>
      <c r="Q4" s="27"/>
      <c r="R4" s="27"/>
      <c r="S4" s="27"/>
      <c r="T4" s="27"/>
      <c r="U4" s="27"/>
    </row>
    <row r="5" ht="13.65" customHeight="1">
      <c r="A5" t="s" s="32">
        <v>70</v>
      </c>
      <c r="B5" s="42" cm="1">
        <f t="array" ref="B5">C5*3.4</f>
        <v>0.8159999999999999</v>
      </c>
      <c r="C5" s="43">
        <v>0.24</v>
      </c>
      <c r="D5" s="44">
        <v>0.66</v>
      </c>
      <c r="E5" s="42" cm="1">
        <f t="array" ref="E5">D5*2.3</f>
        <v>1.518</v>
      </c>
      <c r="F5" s="54"/>
      <c r="G5" s="27"/>
      <c r="H5" s="27"/>
      <c r="I5" s="27"/>
      <c r="J5" s="27"/>
      <c r="K5" s="27"/>
      <c r="L5" s="27"/>
      <c r="M5" s="27"/>
      <c r="N5" s="27"/>
      <c r="O5" s="27"/>
      <c r="P5" s="27"/>
      <c r="Q5" s="27"/>
      <c r="R5" s="27"/>
      <c r="S5" s="27"/>
      <c r="T5" s="27"/>
      <c r="U5" s="27"/>
    </row>
    <row r="6" ht="13.65" customHeight="1">
      <c r="A6" t="s" s="32">
        <v>71</v>
      </c>
      <c r="B6" s="42" cm="1">
        <f t="array" ref="B6">C6*3.4</f>
        <v>0.867</v>
      </c>
      <c r="C6" s="43">
        <v>0.255</v>
      </c>
      <c r="D6" s="44">
        <v>0.74</v>
      </c>
      <c r="E6" s="42" cm="1">
        <f t="array" ref="E6">D6*2.3</f>
        <v>1.702</v>
      </c>
      <c r="F6" s="54"/>
      <c r="G6" s="27"/>
      <c r="H6" s="27"/>
      <c r="I6" s="27"/>
      <c r="J6" s="27"/>
      <c r="K6" s="27"/>
      <c r="L6" s="71"/>
      <c r="M6" s="27"/>
      <c r="N6" s="27"/>
      <c r="O6" s="27"/>
      <c r="P6" s="27"/>
      <c r="Q6" s="27"/>
      <c r="R6" s="27"/>
      <c r="S6" s="27"/>
      <c r="T6" s="27"/>
      <c r="U6" s="27"/>
    </row>
    <row r="7" ht="13.65" customHeight="1">
      <c r="A7" t="s" s="32">
        <v>72</v>
      </c>
      <c r="B7" s="42" cm="1">
        <f t="array" ref="B7">C7*3.4</f>
        <v>0.986</v>
      </c>
      <c r="C7" s="43">
        <v>0.29</v>
      </c>
      <c r="D7" s="44">
        <v>0.95</v>
      </c>
      <c r="E7" s="42" cm="1">
        <f t="array" ref="E7">D7*2.3</f>
        <v>2.185</v>
      </c>
      <c r="F7" s="54"/>
      <c r="G7" s="27"/>
      <c r="H7" s="27"/>
      <c r="I7" s="27"/>
      <c r="J7" s="27"/>
      <c r="K7" s="27"/>
      <c r="L7" s="27"/>
      <c r="M7" s="27"/>
      <c r="N7" s="27"/>
      <c r="O7" s="27"/>
      <c r="P7" s="27"/>
      <c r="Q7" s="27"/>
      <c r="R7" s="27"/>
      <c r="S7" s="27"/>
      <c r="T7" s="27"/>
      <c r="U7" s="27"/>
    </row>
    <row r="8" ht="13.65" customHeight="1">
      <c r="A8" t="s" s="32">
        <v>73</v>
      </c>
      <c r="B8" s="42" cm="1">
        <f t="array" ref="B8">C8*3.4</f>
        <v>1.122</v>
      </c>
      <c r="C8" s="43">
        <v>0.33</v>
      </c>
      <c r="D8" s="44">
        <v>1.07</v>
      </c>
      <c r="E8" s="42" cm="1">
        <f t="array" ref="E8">D8*2.3</f>
        <v>2.461</v>
      </c>
      <c r="F8" s="54"/>
      <c r="G8" s="27"/>
      <c r="H8" s="27"/>
      <c r="I8" s="27"/>
      <c r="J8" s="27"/>
      <c r="K8" s="27"/>
      <c r="L8" s="72"/>
      <c r="M8" s="27"/>
      <c r="N8" s="27"/>
      <c r="O8" s="27"/>
      <c r="P8" s="27"/>
      <c r="Q8" s="27"/>
      <c r="R8" s="27"/>
      <c r="S8" s="27"/>
      <c r="T8" s="27"/>
      <c r="U8" s="27"/>
    </row>
    <row r="9" ht="13.65" customHeight="1">
      <c r="A9" t="s" s="32">
        <v>74</v>
      </c>
      <c r="B9" s="42" cm="1">
        <f t="array" ref="B9">C9*3.4</f>
        <v>1.207</v>
      </c>
      <c r="C9" s="43">
        <v>0.355</v>
      </c>
      <c r="D9" s="44">
        <v>1.15</v>
      </c>
      <c r="E9" s="42" cm="1">
        <f t="array" ref="E9">D9*2.3</f>
        <v>2.645</v>
      </c>
      <c r="F9" s="54"/>
      <c r="G9" s="27"/>
      <c r="H9" s="27"/>
      <c r="I9" s="27"/>
      <c r="J9" s="27"/>
      <c r="K9" s="27"/>
      <c r="L9" s="27"/>
      <c r="M9" s="27"/>
      <c r="N9" s="27"/>
      <c r="O9" s="73"/>
      <c r="P9" s="27"/>
      <c r="Q9" s="27"/>
      <c r="R9" s="27"/>
      <c r="S9" s="27"/>
      <c r="T9" s="27"/>
      <c r="U9" s="27"/>
    </row>
    <row r="10" ht="13.65" customHeight="1">
      <c r="A10" t="s" s="32">
        <v>75</v>
      </c>
      <c r="B10" s="42" cm="1">
        <f t="array" ref="B10">C10*3.4</f>
        <v>1.292</v>
      </c>
      <c r="C10" s="43">
        <v>0.38</v>
      </c>
      <c r="D10" s="44">
        <v>1.25</v>
      </c>
      <c r="E10" s="42" cm="1">
        <f t="array" ref="E10">D10*2.3</f>
        <v>2.875</v>
      </c>
      <c r="F10" s="54"/>
      <c r="G10" s="27"/>
      <c r="H10" s="27"/>
      <c r="I10" s="27"/>
      <c r="J10" s="27"/>
      <c r="K10" s="27"/>
      <c r="L10" s="27"/>
      <c r="M10" s="27"/>
      <c r="N10" s="27"/>
      <c r="O10" s="74"/>
      <c r="P10" s="27"/>
      <c r="Q10" s="27"/>
      <c r="R10" s="27"/>
      <c r="S10" s="27"/>
      <c r="T10" s="27"/>
      <c r="U10" s="27"/>
    </row>
    <row r="11" ht="13.65" customHeight="1">
      <c r="A11" s="27"/>
      <c r="B11" s="55"/>
      <c r="C11" s="27"/>
      <c r="D11" s="27"/>
      <c r="E11" s="55"/>
      <c r="F11" s="27"/>
      <c r="G11" s="27"/>
      <c r="H11" s="27"/>
      <c r="I11" s="27"/>
      <c r="J11" s="27"/>
      <c r="K11" s="27"/>
      <c r="L11" s="27"/>
      <c r="M11" s="27"/>
      <c r="N11" s="27"/>
      <c r="O11" s="27"/>
      <c r="P11" s="27"/>
      <c r="Q11" s="27"/>
      <c r="R11" s="27"/>
      <c r="S11" s="27"/>
      <c r="T11" s="27"/>
      <c r="U11" s="27"/>
    </row>
    <row r="12" ht="13.65" customHeight="1">
      <c r="A12" s="27"/>
      <c r="B12" s="27"/>
      <c r="C12" s="27"/>
      <c r="D12" s="27"/>
      <c r="E12" s="27"/>
      <c r="F12" s="27"/>
      <c r="G12" s="27"/>
      <c r="H12" s="27"/>
      <c r="I12" s="27"/>
      <c r="J12" s="27"/>
      <c r="K12" s="27"/>
      <c r="L12" s="27"/>
      <c r="M12" s="27"/>
      <c r="N12" s="27"/>
      <c r="O12" s="27"/>
      <c r="P12" s="27"/>
      <c r="Q12" s="27"/>
      <c r="R12" s="27"/>
      <c r="S12" s="27"/>
      <c r="T12" s="72"/>
      <c r="U12" s="73"/>
    </row>
    <row r="13" ht="13.65" customHeight="1">
      <c r="A13" s="27"/>
      <c r="B13" s="27"/>
      <c r="C13" s="27"/>
      <c r="D13" s="27"/>
      <c r="E13" s="27"/>
      <c r="F13" s="27"/>
      <c r="G13" s="27"/>
      <c r="H13" s="27"/>
      <c r="I13" s="27"/>
      <c r="J13" s="27"/>
      <c r="K13" s="27"/>
      <c r="L13" s="27"/>
      <c r="M13" s="27"/>
      <c r="N13" s="27"/>
      <c r="O13" s="27"/>
      <c r="P13" s="27"/>
      <c r="Q13" s="27"/>
      <c r="R13" s="27"/>
      <c r="S13" s="27"/>
      <c r="T13" s="72"/>
      <c r="U13" s="27"/>
    </row>
    <row r="14" ht="13.65" customHeight="1">
      <c r="A14" s="27"/>
      <c r="B14" s="27"/>
      <c r="C14" s="27"/>
      <c r="D14" s="27"/>
      <c r="E14" s="27"/>
      <c r="F14" s="27"/>
      <c r="G14" s="27"/>
      <c r="H14" s="27"/>
      <c r="I14" s="27"/>
      <c r="J14" s="27"/>
      <c r="K14" s="27"/>
      <c r="L14" s="27"/>
      <c r="M14" s="27"/>
      <c r="N14" s="27"/>
      <c r="O14" s="27"/>
      <c r="P14" s="27"/>
      <c r="Q14" s="27"/>
      <c r="R14" s="27"/>
      <c r="S14" s="27"/>
      <c r="T14" s="27"/>
      <c r="U14" s="27"/>
    </row>
    <row r="15" ht="13.65" customHeight="1">
      <c r="A15" s="27"/>
      <c r="B15" s="27"/>
      <c r="C15" s="27"/>
      <c r="D15" s="27"/>
      <c r="E15" s="27"/>
      <c r="F15" s="27"/>
      <c r="G15" s="27"/>
      <c r="H15" s="27"/>
      <c r="I15" s="27"/>
      <c r="J15" s="27"/>
      <c r="K15" s="27"/>
      <c r="L15" s="27"/>
      <c r="M15" s="27"/>
      <c r="N15" s="27"/>
      <c r="O15" s="27"/>
      <c r="P15" s="27"/>
      <c r="Q15" s="27"/>
      <c r="R15" s="27"/>
      <c r="S15" s="27"/>
      <c r="T15" s="27"/>
      <c r="U15" s="27"/>
    </row>
    <row r="16" ht="13.65" customHeight="1">
      <c r="A16" s="27"/>
      <c r="B16" s="27"/>
      <c r="C16" s="27"/>
      <c r="D16" s="27"/>
      <c r="E16" s="27"/>
      <c r="F16" s="27"/>
      <c r="G16" s="27"/>
      <c r="H16" s="27"/>
      <c r="I16" s="27"/>
      <c r="J16" s="27"/>
      <c r="K16" s="27"/>
      <c r="L16" s="27"/>
      <c r="M16" s="27"/>
      <c r="N16" s="27"/>
      <c r="O16" s="27"/>
      <c r="P16" s="27"/>
      <c r="Q16" s="27"/>
      <c r="R16" s="27"/>
      <c r="S16" s="27"/>
      <c r="T16" s="27"/>
      <c r="U16" s="27"/>
    </row>
    <row r="17" ht="13.65" customHeight="1">
      <c r="A17" s="27"/>
      <c r="B17" s="27"/>
      <c r="C17" s="27"/>
      <c r="D17" s="27"/>
      <c r="E17" s="27"/>
      <c r="F17" s="27"/>
      <c r="G17" s="27"/>
      <c r="H17" s="27"/>
      <c r="I17" s="27"/>
      <c r="J17" s="27"/>
      <c r="K17" s="27"/>
      <c r="L17" s="27"/>
      <c r="M17" s="27"/>
      <c r="N17" s="27"/>
      <c r="O17" s="27"/>
      <c r="P17" s="27"/>
      <c r="Q17" s="27"/>
      <c r="R17" s="27"/>
      <c r="S17" s="27"/>
      <c r="T17" s="27"/>
      <c r="U17" s="27"/>
    </row>
    <row r="18" ht="13.65" customHeight="1">
      <c r="A18" s="27"/>
      <c r="B18" s="27"/>
      <c r="C18" s="27"/>
      <c r="D18" s="27"/>
      <c r="E18" s="27"/>
      <c r="F18" s="27"/>
      <c r="G18" s="27"/>
      <c r="H18" s="27"/>
      <c r="I18" s="27"/>
      <c r="J18" s="27"/>
      <c r="K18" s="27"/>
      <c r="L18" s="27"/>
      <c r="M18" s="27"/>
      <c r="N18" s="27"/>
      <c r="O18" s="27"/>
      <c r="P18" s="27"/>
      <c r="Q18" s="27"/>
      <c r="R18" s="27"/>
      <c r="S18" s="27"/>
      <c r="T18" s="27"/>
      <c r="U18" s="27"/>
    </row>
    <row r="19" ht="13.65" customHeight="1">
      <c r="A19" s="27"/>
      <c r="B19" s="27"/>
      <c r="C19" s="27"/>
      <c r="D19" s="27"/>
      <c r="E19" s="27"/>
      <c r="F19" s="27"/>
      <c r="G19" s="27"/>
      <c r="H19" s="27"/>
      <c r="I19" s="27"/>
      <c r="J19" s="75"/>
      <c r="K19" s="27"/>
      <c r="L19" s="27"/>
      <c r="M19" s="27"/>
      <c r="N19" s="27"/>
      <c r="O19" s="27"/>
      <c r="P19" s="27"/>
      <c r="Q19" s="27"/>
      <c r="R19" s="27"/>
      <c r="S19" s="27"/>
      <c r="T19" s="27"/>
      <c r="U19" s="27"/>
    </row>
    <row r="20" ht="13.65" customHeight="1">
      <c r="A20" s="27"/>
      <c r="B20" s="27"/>
      <c r="C20" s="27"/>
      <c r="D20" s="27"/>
      <c r="E20" s="27"/>
      <c r="F20" s="27"/>
      <c r="G20" s="27"/>
      <c r="H20" s="27"/>
      <c r="I20" s="27"/>
      <c r="J20" s="27"/>
      <c r="K20" s="27"/>
      <c r="L20" s="72"/>
      <c r="M20" s="27"/>
      <c r="N20" s="27"/>
      <c r="O20" s="27"/>
      <c r="P20" s="27"/>
      <c r="Q20" s="27"/>
      <c r="R20" s="27"/>
      <c r="S20" s="27"/>
      <c r="T20" s="27"/>
      <c r="U20" s="27"/>
    </row>
    <row r="21" ht="13.65" customHeight="1">
      <c r="A21" s="27"/>
      <c r="B21" s="27"/>
      <c r="C21" s="27"/>
      <c r="D21" s="27"/>
      <c r="E21" s="27"/>
      <c r="F21" s="27"/>
      <c r="G21" s="27"/>
      <c r="H21" s="27"/>
      <c r="I21" s="27"/>
      <c r="J21" s="27"/>
      <c r="K21" s="27"/>
      <c r="L21" s="76"/>
      <c r="M21" s="27"/>
      <c r="N21" s="27"/>
      <c r="O21" s="27"/>
      <c r="P21" s="27"/>
      <c r="Q21" s="27"/>
      <c r="R21" s="27"/>
      <c r="S21" s="27"/>
      <c r="T21" s="27"/>
      <c r="U21" s="27"/>
    </row>
    <row r="22" ht="13.65" customHeight="1">
      <c r="A22" s="27"/>
      <c r="B22" s="27"/>
      <c r="C22" s="27"/>
      <c r="D22" s="27"/>
      <c r="E22" s="27"/>
      <c r="F22" s="27"/>
      <c r="G22" s="27"/>
      <c r="H22" s="27"/>
      <c r="I22" s="27"/>
      <c r="J22" s="27"/>
      <c r="K22" s="27"/>
      <c r="L22" s="27"/>
      <c r="M22" s="27"/>
      <c r="N22" s="27"/>
      <c r="O22" s="27"/>
      <c r="P22" s="27"/>
      <c r="Q22" s="27"/>
      <c r="R22" s="27"/>
      <c r="S22" s="27"/>
      <c r="T22" s="27"/>
      <c r="U22" s="27"/>
    </row>
    <row r="23" ht="13.65" customHeight="1">
      <c r="A23" s="27"/>
      <c r="B23" s="27"/>
      <c r="C23" s="27"/>
      <c r="D23" s="27"/>
      <c r="E23" s="27"/>
      <c r="F23" s="27"/>
      <c r="G23" s="27"/>
      <c r="H23" s="27"/>
      <c r="I23" s="27"/>
      <c r="J23" s="27"/>
      <c r="K23" s="27"/>
      <c r="L23" s="27"/>
      <c r="M23" s="27"/>
      <c r="N23" s="27"/>
      <c r="O23" s="27"/>
      <c r="P23" s="27"/>
      <c r="Q23" s="27"/>
      <c r="R23" s="27"/>
      <c r="S23" s="27"/>
      <c r="T23" s="27"/>
      <c r="U23" s="27"/>
    </row>
    <row r="24" ht="13.65" customHeight="1">
      <c r="A24" s="27"/>
      <c r="B24" s="27"/>
      <c r="C24" s="27"/>
      <c r="D24" s="27"/>
      <c r="E24" s="27"/>
      <c r="F24" s="27"/>
      <c r="G24" s="27"/>
      <c r="H24" s="27"/>
      <c r="I24" s="27"/>
      <c r="J24" s="27"/>
      <c r="K24" s="27"/>
      <c r="L24" s="27"/>
      <c r="M24" s="27"/>
      <c r="N24" s="27"/>
      <c r="O24" s="27"/>
      <c r="P24" s="27"/>
      <c r="Q24" s="27"/>
      <c r="R24" s="27"/>
      <c r="S24" s="27"/>
      <c r="T24" s="27"/>
      <c r="U24" s="27"/>
    </row>
    <row r="25" ht="13.65" customHeight="1">
      <c r="A25" s="27"/>
      <c r="B25" s="27"/>
      <c r="C25" s="27"/>
      <c r="D25" s="27"/>
      <c r="E25" s="27"/>
      <c r="F25" s="27"/>
      <c r="G25" s="27"/>
      <c r="H25" s="27"/>
      <c r="I25" s="27"/>
      <c r="J25" s="27"/>
      <c r="K25" s="27"/>
      <c r="L25" s="27"/>
      <c r="M25" s="27"/>
      <c r="N25" s="27"/>
      <c r="O25" s="27"/>
      <c r="P25" s="27"/>
      <c r="Q25" s="27"/>
      <c r="R25" s="27"/>
      <c r="S25" s="27"/>
      <c r="T25" s="27"/>
      <c r="U25" s="27"/>
    </row>
    <row r="26" ht="13.65" customHeight="1">
      <c r="A26" s="27"/>
      <c r="B26" s="27"/>
      <c r="C26" s="27"/>
      <c r="D26" s="27"/>
      <c r="E26" s="27"/>
      <c r="F26" s="27"/>
      <c r="G26" s="27"/>
      <c r="H26" s="27"/>
      <c r="I26" s="27"/>
      <c r="J26" s="27"/>
      <c r="K26" s="27"/>
      <c r="L26" s="27"/>
      <c r="M26" s="27"/>
      <c r="N26" s="27"/>
      <c r="O26" s="27"/>
      <c r="P26" s="27"/>
      <c r="Q26" s="27"/>
      <c r="R26" s="27"/>
      <c r="S26" s="27"/>
      <c r="T26" s="27"/>
      <c r="U26" s="27"/>
    </row>
    <row r="27" ht="13.65" customHeight="1">
      <c r="A27" s="27"/>
      <c r="B27" s="27"/>
      <c r="C27" s="27"/>
      <c r="D27" s="27"/>
      <c r="E27" s="27"/>
      <c r="F27" s="27"/>
      <c r="G27" s="27"/>
      <c r="H27" s="27"/>
      <c r="I27" s="27"/>
      <c r="J27" s="27"/>
      <c r="K27" s="27"/>
      <c r="L27" s="27"/>
      <c r="M27" s="27"/>
      <c r="N27" s="27"/>
      <c r="O27" s="27"/>
      <c r="P27" s="27"/>
      <c r="Q27" s="27"/>
      <c r="R27" s="27"/>
      <c r="S27" s="27"/>
      <c r="T27" s="27"/>
      <c r="U27" s="27"/>
    </row>
    <row r="28" ht="13.65" customHeight="1">
      <c r="A28" s="27"/>
      <c r="B28" s="27"/>
      <c r="C28" s="27"/>
      <c r="D28" s="27"/>
      <c r="E28" s="27"/>
      <c r="F28" s="27"/>
      <c r="G28" s="27"/>
      <c r="H28" s="27"/>
      <c r="I28" s="27"/>
      <c r="J28" s="27"/>
      <c r="K28" s="27"/>
      <c r="L28" s="27"/>
      <c r="M28" s="27"/>
      <c r="N28" s="27"/>
      <c r="O28" s="27"/>
      <c r="P28" s="27"/>
      <c r="Q28" s="27"/>
      <c r="R28" s="27"/>
      <c r="S28" s="27"/>
      <c r="T28" s="27"/>
      <c r="U28" s="27"/>
    </row>
    <row r="29" ht="13.65" customHeight="1">
      <c r="A29" s="27"/>
      <c r="B29" s="27"/>
      <c r="C29" s="27"/>
      <c r="D29" s="27"/>
      <c r="E29" s="27"/>
      <c r="F29" s="27"/>
      <c r="G29" s="27"/>
      <c r="H29" s="27"/>
      <c r="I29" s="27"/>
      <c r="J29" s="27"/>
      <c r="K29" s="27"/>
      <c r="L29" s="27"/>
      <c r="M29" s="27"/>
      <c r="N29" s="27"/>
      <c r="O29" s="27"/>
      <c r="P29" s="27"/>
      <c r="Q29" s="27"/>
      <c r="R29" s="27"/>
      <c r="S29" s="27"/>
      <c r="T29" s="27"/>
      <c r="U29" s="27"/>
    </row>
    <row r="30" ht="13.65" customHeight="1">
      <c r="A30" s="27"/>
      <c r="B30" s="27"/>
      <c r="C30" s="27"/>
      <c r="D30" s="27"/>
      <c r="E30" s="27"/>
      <c r="F30" s="27"/>
      <c r="G30" s="27"/>
      <c r="H30" s="27"/>
      <c r="I30" s="27"/>
      <c r="J30" s="27"/>
      <c r="K30" s="27"/>
      <c r="L30" s="72"/>
      <c r="M30" s="27"/>
      <c r="N30" s="27"/>
      <c r="O30" s="27"/>
      <c r="P30" s="27"/>
      <c r="Q30" s="27"/>
      <c r="R30" s="27"/>
      <c r="S30" s="27"/>
      <c r="T30" s="27"/>
      <c r="U30" s="27"/>
    </row>
  </sheetData>
  <pageMargins left="0.7875" right="0.7875" top="1.025" bottom="1.025" header="0.7875" footer="0.7875"/>
  <pageSetup firstPageNumber="1" fitToHeight="1" fitToWidth="1" scale="100" useFirstPageNumber="0" orientation="portrait" pageOrder="downThenOver"/>
  <headerFooter>
    <oddHeader>&amp;C&amp;"Arial,Regular"&amp;10&amp;K000000USDCNH</oddHeader>
    <oddFooter>&amp;C&amp;"Arial,Regular"&amp;10&amp;K000000Page &amp;P</oddFooter>
  </headerFooter>
</worksheet>
</file>

<file path=xl/worksheets/sheet19.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2.75" customHeight="1" outlineLevelRow="0" outlineLevelCol="0"/>
  <cols>
    <col min="1" max="5" width="8.85156" style="77" customWidth="1"/>
    <col min="6" max="16384" width="8.85156" style="77" customWidth="1"/>
  </cols>
  <sheetData>
    <row r="1" ht="13.65" customHeight="1">
      <c r="A1" t="s" s="29">
        <v>61</v>
      </c>
      <c r="B1" t="s" s="31">
        <v>62</v>
      </c>
      <c r="C1" t="s" s="29">
        <v>63</v>
      </c>
      <c r="D1" t="s" s="29">
        <v>64</v>
      </c>
      <c r="E1" t="s" s="31">
        <v>65</v>
      </c>
    </row>
    <row r="2" ht="13.65" customHeight="1">
      <c r="A2" t="s" s="32">
        <v>66</v>
      </c>
      <c r="B2" s="42" cm="1">
        <f t="array" ref="B2">C2*1.4</f>
        <v>0.546</v>
      </c>
      <c r="C2" s="43">
        <v>0.39</v>
      </c>
      <c r="D2" s="44">
        <v>0.5</v>
      </c>
      <c r="E2" s="45" cm="1">
        <f t="array" ref="E2">D2*1.2</f>
        <v>0.6</v>
      </c>
    </row>
    <row r="3" ht="13.65" customHeight="1">
      <c r="A3" t="s" s="32">
        <v>67</v>
      </c>
      <c r="B3" s="42" cm="1">
        <f t="array" ref="B3">C3*1.4</f>
        <v>0.546</v>
      </c>
      <c r="C3" s="43">
        <v>0.39</v>
      </c>
      <c r="D3" s="44">
        <v>0.515</v>
      </c>
      <c r="E3" s="45" cm="1">
        <f t="array" ref="E3">D3*1.2</f>
        <v>0.618</v>
      </c>
    </row>
    <row r="4" ht="13.65" customHeight="1">
      <c r="A4" t="s" s="32">
        <v>69</v>
      </c>
      <c r="B4" s="42" cm="1">
        <f t="array" ref="B4">C4*1.4</f>
        <v>0.546</v>
      </c>
      <c r="C4" s="43">
        <v>0.39</v>
      </c>
      <c r="D4" s="44">
        <v>0.55</v>
      </c>
      <c r="E4" s="45" cm="1">
        <f t="array" ref="E4">D4*1.2</f>
        <v>0.66</v>
      </c>
    </row>
    <row r="5" ht="13.65" customHeight="1">
      <c r="A5" t="s" s="32">
        <v>70</v>
      </c>
      <c r="B5" s="42" cm="1">
        <f t="array" ref="B5">C5*1.4</f>
        <v>0.546</v>
      </c>
      <c r="C5" s="43">
        <v>0.39</v>
      </c>
      <c r="D5" s="44">
        <v>0.525</v>
      </c>
      <c r="E5" s="45" cm="1">
        <f t="array" ref="E5">D5*1.2</f>
        <v>0.63</v>
      </c>
    </row>
    <row r="6" ht="13.65" customHeight="1">
      <c r="A6" t="s" s="32">
        <v>71</v>
      </c>
      <c r="B6" s="42" cm="1">
        <f t="array" ref="B6">C6*1.55</f>
        <v>0.6045</v>
      </c>
      <c r="C6" s="43">
        <v>0.39</v>
      </c>
      <c r="D6" s="44">
        <v>0.525</v>
      </c>
      <c r="E6" s="45" cm="1">
        <f t="array" ref="E6">D6*1.3</f>
        <v>0.6825</v>
      </c>
    </row>
    <row r="7" ht="13.65" customHeight="1">
      <c r="A7" t="s" s="32">
        <v>72</v>
      </c>
      <c r="B7" s="42" cm="1">
        <f t="array" ref="B7">C7*1.65</f>
        <v>0.6435</v>
      </c>
      <c r="C7" s="43">
        <v>0.39</v>
      </c>
      <c r="D7" s="44">
        <v>0.6</v>
      </c>
      <c r="E7" s="45" cm="1">
        <f t="array" ref="E7">D7*1.4</f>
        <v>0.84</v>
      </c>
    </row>
    <row r="8" ht="13.65" customHeight="1">
      <c r="A8" t="s" s="32">
        <v>73</v>
      </c>
      <c r="B8" s="42" cm="1">
        <f t="array" ref="B8">C8*1.75</f>
        <v>0.6825</v>
      </c>
      <c r="C8" s="43">
        <v>0.39</v>
      </c>
      <c r="D8" s="44">
        <v>0.625</v>
      </c>
      <c r="E8" s="45" cm="1">
        <f t="array" ref="E8">D8*1.5</f>
        <v>0.9375</v>
      </c>
    </row>
    <row r="9" ht="13.65" customHeight="1">
      <c r="A9" t="s" s="32">
        <v>74</v>
      </c>
      <c r="B9" s="42" cm="1">
        <f t="array" ref="B9">C9*1.75</f>
        <v>0.6825</v>
      </c>
      <c r="C9" s="43">
        <v>0.39</v>
      </c>
      <c r="D9" s="44">
        <v>0.65</v>
      </c>
      <c r="E9" s="45" cm="1">
        <f t="array" ref="E9">D9*1.5</f>
        <v>0.975</v>
      </c>
    </row>
    <row r="10" ht="13.65" customHeight="1">
      <c r="A10" t="s" s="32">
        <v>75</v>
      </c>
      <c r="B10" s="46" cm="1">
        <f t="array" ref="B10">C10*1.75</f>
        <v>0.6825</v>
      </c>
      <c r="C10" s="43">
        <v>0.39</v>
      </c>
      <c r="D10" s="44">
        <v>0.65</v>
      </c>
      <c r="E10" s="47" cm="1">
        <f t="array" ref="E10">D10*1.5</f>
        <v>0.975</v>
      </c>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20.xml><?xml version="1.0" encoding="utf-8"?>
<worksheet xmlns:r="http://schemas.openxmlformats.org/officeDocument/2006/relationships" xmlns="http://schemas.openxmlformats.org/spreadsheetml/2006/main">
  <dimension ref="A1:S26"/>
  <sheetViews>
    <sheetView workbookViewId="0" showGridLines="0" defaultGridColor="1"/>
  </sheetViews>
  <sheetFormatPr defaultColWidth="11.8333" defaultRowHeight="12.75" customHeight="1" outlineLevelRow="0" outlineLevelCol="0"/>
  <cols>
    <col min="1" max="1" width="15.1719" style="78" customWidth="1"/>
    <col min="2" max="14" width="10.8516" style="78" customWidth="1"/>
    <col min="15" max="19" width="11.8516" style="78" customWidth="1"/>
    <col min="20" max="16384" width="11.8516" style="78" customWidth="1"/>
  </cols>
  <sheetData>
    <row r="1" ht="13.65" customHeight="1">
      <c r="A1" s="27"/>
      <c r="B1" t="s" s="29">
        <v>38</v>
      </c>
      <c r="C1" t="s" s="29">
        <v>40</v>
      </c>
      <c r="D1" t="s" s="29">
        <v>26</v>
      </c>
      <c r="E1" t="s" s="79">
        <v>18</v>
      </c>
      <c r="F1" t="s" s="80">
        <v>36</v>
      </c>
      <c r="G1" t="s" s="29">
        <v>32</v>
      </c>
      <c r="H1" t="s" s="29">
        <v>34</v>
      </c>
      <c r="I1" t="s" s="29">
        <v>12</v>
      </c>
      <c r="J1" t="s" s="29">
        <v>10</v>
      </c>
      <c r="K1" t="s" s="29">
        <v>28</v>
      </c>
      <c r="L1" t="s" s="29">
        <v>30</v>
      </c>
      <c r="M1" t="s" s="29">
        <v>14</v>
      </c>
      <c r="N1" t="s" s="29">
        <v>60</v>
      </c>
      <c r="O1" t="s" s="29">
        <v>16</v>
      </c>
      <c r="P1" s="27"/>
      <c r="Q1" s="27"/>
      <c r="R1" s="27"/>
      <c r="S1" s="27"/>
    </row>
    <row r="2" ht="13.65" customHeight="1">
      <c r="A2" t="s" s="29">
        <v>76</v>
      </c>
      <c r="B2" s="81">
        <v>4.9</v>
      </c>
      <c r="C2" s="81">
        <v>5</v>
      </c>
      <c r="D2" s="81">
        <v>0.42</v>
      </c>
      <c r="E2" s="82">
        <v>0.5</v>
      </c>
      <c r="F2" s="83">
        <v>6.05</v>
      </c>
      <c r="G2" s="81">
        <v>6.25</v>
      </c>
      <c r="H2" s="81">
        <v>10.9</v>
      </c>
      <c r="I2" s="81">
        <v>7.75</v>
      </c>
      <c r="J2" s="81">
        <v>10.9</v>
      </c>
      <c r="K2" s="81">
        <v>0.37</v>
      </c>
      <c r="L2" s="81">
        <v>0.405</v>
      </c>
      <c r="M2" s="81">
        <v>0.705</v>
      </c>
      <c r="N2" s="81">
        <v>0.57</v>
      </c>
      <c r="O2" s="81">
        <v>0.57</v>
      </c>
      <c r="P2" s="27"/>
      <c r="Q2" s="27"/>
      <c r="R2" s="27"/>
      <c r="S2" s="27"/>
    </row>
    <row r="3" ht="13.65" customHeight="1">
      <c r="A3" t="s" s="29">
        <v>77</v>
      </c>
      <c r="B3" s="81">
        <v>6.8</v>
      </c>
      <c r="C3" s="81">
        <v>4.95</v>
      </c>
      <c r="D3" s="81">
        <v>0.39</v>
      </c>
      <c r="E3" s="82">
        <v>0.375</v>
      </c>
      <c r="F3" s="83">
        <v>7.65</v>
      </c>
      <c r="G3" s="81">
        <v>6.95</v>
      </c>
      <c r="H3" s="81">
        <v>10.65</v>
      </c>
      <c r="I3" s="81">
        <v>9.029999999999999</v>
      </c>
      <c r="J3" s="81">
        <v>10.77</v>
      </c>
      <c r="K3" s="81">
        <v>0.19</v>
      </c>
      <c r="L3" s="81">
        <v>0.395</v>
      </c>
      <c r="M3" s="81">
        <v>0.54</v>
      </c>
      <c r="N3" s="81">
        <v>0.54</v>
      </c>
      <c r="O3" s="81">
        <v>0.54</v>
      </c>
      <c r="P3" s="27"/>
      <c r="Q3" s="27"/>
      <c r="R3" s="27"/>
      <c r="S3" s="27"/>
    </row>
    <row r="4" ht="13.65" customHeight="1">
      <c r="A4" t="s" s="29">
        <v>78</v>
      </c>
      <c r="B4" s="81">
        <v>0</v>
      </c>
      <c r="C4" s="81">
        <v>0</v>
      </c>
      <c r="D4" s="81">
        <v>0</v>
      </c>
      <c r="E4" s="82">
        <v>0</v>
      </c>
      <c r="F4" s="83">
        <v>0</v>
      </c>
      <c r="G4" s="81">
        <v>0</v>
      </c>
      <c r="H4" s="81">
        <v>0</v>
      </c>
      <c r="I4" s="81">
        <v>0</v>
      </c>
      <c r="J4" s="81">
        <v>0</v>
      </c>
      <c r="K4" s="81">
        <v>0</v>
      </c>
      <c r="L4" s="81">
        <v>0</v>
      </c>
      <c r="M4" s="81">
        <v>0</v>
      </c>
      <c r="N4" s="81">
        <v>0</v>
      </c>
      <c r="O4" s="81">
        <v>0</v>
      </c>
      <c r="P4" s="27"/>
      <c r="Q4" s="27"/>
      <c r="R4" s="27"/>
      <c r="S4" s="27"/>
    </row>
    <row r="5" ht="13.65" customHeight="1">
      <c r="A5" t="s" s="29">
        <v>79</v>
      </c>
      <c r="B5" s="81">
        <v>0</v>
      </c>
      <c r="C5" s="81">
        <v>-0.25</v>
      </c>
      <c r="D5" s="81">
        <v>0</v>
      </c>
      <c r="E5" s="82">
        <v>0.6</v>
      </c>
      <c r="F5" s="83">
        <v>0.7</v>
      </c>
      <c r="G5" s="81">
        <v>0.6</v>
      </c>
      <c r="H5" s="81">
        <v>1.1</v>
      </c>
      <c r="I5" s="81">
        <v>0.8</v>
      </c>
      <c r="J5" s="81">
        <v>1.2</v>
      </c>
      <c r="K5" s="81">
        <v>1.5</v>
      </c>
      <c r="L5" s="81">
        <v>-0.2</v>
      </c>
      <c r="M5" s="81">
        <v>0</v>
      </c>
      <c r="N5" s="81">
        <v>0</v>
      </c>
      <c r="O5" s="81">
        <v>0</v>
      </c>
      <c r="P5" s="27"/>
      <c r="Q5" s="27"/>
      <c r="R5" s="27"/>
      <c r="S5" s="27"/>
    </row>
    <row r="6" ht="13.65" customHeight="1">
      <c r="A6" t="s" s="29">
        <v>80</v>
      </c>
      <c r="B6" s="81">
        <v>4.5</v>
      </c>
      <c r="C6" s="81">
        <v>3.5</v>
      </c>
      <c r="D6" s="81">
        <v>3</v>
      </c>
      <c r="E6" s="82">
        <v>3</v>
      </c>
      <c r="F6" s="83">
        <v>5</v>
      </c>
      <c r="G6" s="81">
        <v>6</v>
      </c>
      <c r="H6" s="81">
        <v>6.5</v>
      </c>
      <c r="I6" s="81">
        <v>6</v>
      </c>
      <c r="J6" s="81">
        <v>6.5</v>
      </c>
      <c r="K6" s="81">
        <v>5.5</v>
      </c>
      <c r="L6" s="81">
        <v>5</v>
      </c>
      <c r="M6" s="81">
        <v>4</v>
      </c>
      <c r="N6" s="81">
        <v>4</v>
      </c>
      <c r="O6" s="81">
        <v>4</v>
      </c>
      <c r="P6" s="27"/>
      <c r="Q6" s="27"/>
      <c r="R6" s="27"/>
      <c r="S6" s="27"/>
    </row>
    <row r="7" ht="13.65" customHeight="1">
      <c r="A7" t="s" s="29">
        <v>81</v>
      </c>
      <c r="B7" s="81">
        <v>0</v>
      </c>
      <c r="C7" s="81">
        <v>0</v>
      </c>
      <c r="D7" s="81">
        <v>0</v>
      </c>
      <c r="E7" s="82">
        <v>0</v>
      </c>
      <c r="F7" s="83">
        <v>0</v>
      </c>
      <c r="G7" s="81">
        <v>0</v>
      </c>
      <c r="H7" s="81">
        <v>0</v>
      </c>
      <c r="I7" s="81">
        <v>0</v>
      </c>
      <c r="J7" s="81">
        <v>0</v>
      </c>
      <c r="K7" s="81">
        <v>0</v>
      </c>
      <c r="L7" s="81">
        <v>0</v>
      </c>
      <c r="M7" s="81">
        <v>0</v>
      </c>
      <c r="N7" s="81">
        <v>0</v>
      </c>
      <c r="O7" s="81">
        <v>0</v>
      </c>
      <c r="P7" s="27"/>
      <c r="Q7" s="27"/>
      <c r="R7" s="27"/>
      <c r="S7" s="27"/>
    </row>
    <row r="8" ht="13.65" customHeight="1">
      <c r="A8" t="s" s="29">
        <v>82</v>
      </c>
      <c r="B8" s="81">
        <v>50</v>
      </c>
      <c r="C8" s="81">
        <v>50</v>
      </c>
      <c r="D8" s="81">
        <v>50</v>
      </c>
      <c r="E8" s="82">
        <v>50</v>
      </c>
      <c r="F8" s="83">
        <v>50</v>
      </c>
      <c r="G8" s="81">
        <v>50</v>
      </c>
      <c r="H8" s="81">
        <v>50</v>
      </c>
      <c r="I8" s="81">
        <v>50</v>
      </c>
      <c r="J8" s="81">
        <v>50</v>
      </c>
      <c r="K8" s="81">
        <v>50</v>
      </c>
      <c r="L8" s="81">
        <v>50</v>
      </c>
      <c r="M8" s="81">
        <v>50</v>
      </c>
      <c r="N8" s="81">
        <v>50</v>
      </c>
      <c r="O8" s="81">
        <v>50</v>
      </c>
      <c r="P8" s="27"/>
      <c r="Q8" s="27"/>
      <c r="R8" s="27"/>
      <c r="S8" s="27"/>
    </row>
    <row r="9" ht="13.65" customHeight="1">
      <c r="A9" t="s" s="29">
        <v>83</v>
      </c>
      <c r="B9" s="81">
        <v>2</v>
      </c>
      <c r="C9" s="81">
        <v>0</v>
      </c>
      <c r="D9" s="81">
        <v>0</v>
      </c>
      <c r="E9" s="35">
        <v>0</v>
      </c>
      <c r="F9" s="34">
        <v>5.5</v>
      </c>
      <c r="G9" s="81">
        <v>5.5</v>
      </c>
      <c r="H9" s="81">
        <v>6.5</v>
      </c>
      <c r="I9" s="81">
        <v>6</v>
      </c>
      <c r="J9" s="81">
        <v>6.5</v>
      </c>
      <c r="K9" s="81">
        <v>0</v>
      </c>
      <c r="L9" s="81">
        <v>0</v>
      </c>
      <c r="M9" s="81">
        <v>0</v>
      </c>
      <c r="N9" s="81">
        <v>0</v>
      </c>
      <c r="O9" s="81">
        <v>0</v>
      </c>
      <c r="P9" s="27"/>
      <c r="Q9" s="27"/>
      <c r="R9" s="27"/>
      <c r="S9" s="27"/>
    </row>
    <row r="10" ht="13.65" customHeight="1">
      <c r="A10" t="s" s="29">
        <v>84</v>
      </c>
      <c r="B10" s="81">
        <v>5</v>
      </c>
      <c r="C10" s="81">
        <v>0</v>
      </c>
      <c r="D10" s="81">
        <v>0</v>
      </c>
      <c r="E10" s="35">
        <v>0</v>
      </c>
      <c r="F10" s="34">
        <v>5.5</v>
      </c>
      <c r="G10" s="81">
        <v>5.5</v>
      </c>
      <c r="H10" s="81">
        <v>6.5</v>
      </c>
      <c r="I10" s="81">
        <v>6</v>
      </c>
      <c r="J10" s="81">
        <v>6.5</v>
      </c>
      <c r="K10" s="81">
        <v>0</v>
      </c>
      <c r="L10" s="81">
        <v>0</v>
      </c>
      <c r="M10" s="81">
        <v>0</v>
      </c>
      <c r="N10" s="81">
        <v>0</v>
      </c>
      <c r="O10" s="81">
        <v>0</v>
      </c>
      <c r="P10" s="27"/>
      <c r="Q10" s="27"/>
      <c r="R10" s="27"/>
      <c r="S10" s="27"/>
    </row>
    <row r="11" ht="13.65" customHeight="1">
      <c r="A11" s="27"/>
      <c r="B11" s="27"/>
      <c r="C11" s="27"/>
      <c r="D11" s="27"/>
      <c r="E11" s="84"/>
      <c r="F11" s="85"/>
      <c r="G11" s="27"/>
      <c r="H11" s="27"/>
      <c r="I11" s="27"/>
      <c r="J11" s="27"/>
      <c r="K11" s="27"/>
      <c r="L11" s="27"/>
      <c r="M11" s="27"/>
      <c r="N11" s="27"/>
      <c r="O11" s="27"/>
      <c r="P11" s="27"/>
      <c r="Q11" s="27"/>
      <c r="R11" s="27"/>
      <c r="S11" s="27"/>
    </row>
    <row r="12" ht="13.65" customHeight="1">
      <c r="A12" s="27"/>
      <c r="B12" s="27"/>
      <c r="C12" s="27"/>
      <c r="D12" s="27"/>
      <c r="E12" s="84"/>
      <c r="F12" s="85"/>
      <c r="G12" s="27"/>
      <c r="H12" s="27"/>
      <c r="I12" s="27"/>
      <c r="J12" s="27"/>
      <c r="K12" s="27"/>
      <c r="L12" s="27"/>
      <c r="M12" s="27"/>
      <c r="N12" s="27"/>
      <c r="O12" s="27"/>
      <c r="P12" s="27"/>
      <c r="Q12" s="27"/>
      <c r="R12" s="27"/>
      <c r="S12" s="27"/>
    </row>
    <row r="13" ht="13.65" customHeight="1">
      <c r="A13" s="27"/>
      <c r="B13" s="27"/>
      <c r="C13" s="27"/>
      <c r="D13" s="27"/>
      <c r="E13" s="86"/>
      <c r="F13" s="85"/>
      <c r="G13" s="27"/>
      <c r="H13" s="27"/>
      <c r="I13" s="27"/>
      <c r="J13" s="27"/>
      <c r="K13" s="27"/>
      <c r="L13" s="27"/>
      <c r="M13" s="27"/>
      <c r="N13" s="27"/>
      <c r="O13" s="27"/>
      <c r="P13" s="27"/>
      <c r="Q13" s="27"/>
      <c r="R13" s="27"/>
      <c r="S13" s="27"/>
    </row>
    <row r="14" ht="13.65" customHeight="1">
      <c r="A14" s="27"/>
      <c r="B14" s="27"/>
      <c r="C14" s="27"/>
      <c r="D14" s="27"/>
      <c r="E14" s="84"/>
      <c r="F14" s="85"/>
      <c r="G14" s="27"/>
      <c r="H14" s="27"/>
      <c r="I14" s="27"/>
      <c r="J14" s="27"/>
      <c r="K14" s="27"/>
      <c r="L14" s="27"/>
      <c r="M14" s="27"/>
      <c r="N14" s="27"/>
      <c r="O14" s="27"/>
      <c r="P14" s="27"/>
      <c r="Q14" s="27"/>
      <c r="R14" s="27"/>
      <c r="S14" s="27"/>
    </row>
    <row r="15" ht="13.65" customHeight="1">
      <c r="A15" s="27"/>
      <c r="B15" s="27"/>
      <c r="C15" s="27"/>
      <c r="D15" s="27"/>
      <c r="E15" s="84"/>
      <c r="F15" s="85"/>
      <c r="G15" s="27"/>
      <c r="H15" s="27"/>
      <c r="I15" s="27"/>
      <c r="J15" s="27"/>
      <c r="K15" s="27"/>
      <c r="L15" s="27"/>
      <c r="M15" s="27"/>
      <c r="N15" s="27"/>
      <c r="O15" s="27"/>
      <c r="P15" s="27"/>
      <c r="Q15" s="27"/>
      <c r="R15" s="27"/>
      <c r="S15" s="27"/>
    </row>
    <row r="16" ht="13.65" customHeight="1">
      <c r="A16" s="27"/>
      <c r="B16" s="27"/>
      <c r="C16" s="27"/>
      <c r="D16" s="27"/>
      <c r="E16" s="84"/>
      <c r="F16" s="85"/>
      <c r="G16" s="27"/>
      <c r="H16" s="27"/>
      <c r="I16" s="27"/>
      <c r="J16" s="27"/>
      <c r="K16" s="27"/>
      <c r="L16" s="27"/>
      <c r="M16" s="27"/>
      <c r="N16" s="27"/>
      <c r="O16" s="27"/>
      <c r="P16" s="27"/>
      <c r="Q16" s="27"/>
      <c r="R16" s="27"/>
      <c r="S16" s="87"/>
    </row>
    <row r="17" ht="13.65" customHeight="1">
      <c r="A17" s="27"/>
      <c r="B17" s="27"/>
      <c r="C17" s="27"/>
      <c r="D17" s="27"/>
      <c r="E17" s="84"/>
      <c r="F17" s="85"/>
      <c r="G17" s="27"/>
      <c r="H17" s="27"/>
      <c r="I17" s="27"/>
      <c r="J17" s="27"/>
      <c r="K17" s="27"/>
      <c r="L17" s="27"/>
      <c r="M17" s="27"/>
      <c r="N17" s="27"/>
      <c r="O17" s="27"/>
      <c r="P17" s="72"/>
      <c r="Q17" s="27"/>
      <c r="R17" s="27"/>
      <c r="S17" s="27"/>
    </row>
    <row r="18" ht="13.65" customHeight="1">
      <c r="A18" s="27"/>
      <c r="B18" s="27"/>
      <c r="C18" s="27"/>
      <c r="D18" s="27"/>
      <c r="E18" s="84"/>
      <c r="F18" s="85"/>
      <c r="G18" s="27"/>
      <c r="H18" s="27"/>
      <c r="I18" s="27"/>
      <c r="J18" s="27"/>
      <c r="K18" s="27"/>
      <c r="L18" s="27"/>
      <c r="M18" s="27"/>
      <c r="N18" s="27"/>
      <c r="O18" s="27"/>
      <c r="P18" s="72"/>
      <c r="Q18" s="27"/>
      <c r="R18" s="27"/>
      <c r="S18" s="27"/>
    </row>
    <row r="19" ht="13.65" customHeight="1">
      <c r="A19" s="27"/>
      <c r="B19" s="27"/>
      <c r="C19" s="27"/>
      <c r="D19" s="27"/>
      <c r="E19" s="84"/>
      <c r="F19" s="85"/>
      <c r="G19" s="27"/>
      <c r="H19" s="27"/>
      <c r="I19" s="27"/>
      <c r="J19" s="27"/>
      <c r="K19" s="27"/>
      <c r="L19" s="27"/>
      <c r="M19" s="27"/>
      <c r="N19" s="27"/>
      <c r="O19" s="27"/>
      <c r="P19" s="72"/>
      <c r="Q19" s="27"/>
      <c r="R19" s="27"/>
      <c r="S19" s="27"/>
    </row>
    <row r="20" ht="13.65" customHeight="1">
      <c r="A20" s="27"/>
      <c r="B20" s="27"/>
      <c r="C20" s="27"/>
      <c r="D20" s="27"/>
      <c r="E20" s="86"/>
      <c r="F20" s="85"/>
      <c r="G20" s="27"/>
      <c r="H20" s="27"/>
      <c r="I20" s="27"/>
      <c r="J20" s="27"/>
      <c r="K20" s="27"/>
      <c r="L20" s="27"/>
      <c r="M20" s="27"/>
      <c r="N20" s="27"/>
      <c r="O20" s="27"/>
      <c r="P20" s="27"/>
      <c r="Q20" s="27"/>
      <c r="R20" s="27"/>
      <c r="S20" s="27"/>
    </row>
    <row r="21" ht="13.65" customHeight="1">
      <c r="A21" s="27"/>
      <c r="B21" s="27"/>
      <c r="C21" s="27"/>
      <c r="D21" s="27"/>
      <c r="E21" s="86"/>
      <c r="F21" s="85"/>
      <c r="G21" s="27"/>
      <c r="H21" s="27"/>
      <c r="I21" s="27"/>
      <c r="J21" s="27"/>
      <c r="K21" s="27"/>
      <c r="L21" s="27"/>
      <c r="M21" s="27"/>
      <c r="N21" s="27"/>
      <c r="O21" s="27"/>
      <c r="P21" s="27"/>
      <c r="Q21" s="27"/>
      <c r="R21" s="27"/>
      <c r="S21" s="27"/>
    </row>
    <row r="22" ht="13.65" customHeight="1">
      <c r="A22" s="27"/>
      <c r="B22" s="27"/>
      <c r="C22" s="27"/>
      <c r="D22" s="27"/>
      <c r="E22" s="86"/>
      <c r="F22" s="85"/>
      <c r="G22" s="27"/>
      <c r="H22" s="27"/>
      <c r="I22" s="27"/>
      <c r="J22" s="27"/>
      <c r="K22" s="27"/>
      <c r="L22" s="27"/>
      <c r="M22" s="27"/>
      <c r="N22" s="27"/>
      <c r="O22" s="27"/>
      <c r="P22" s="27"/>
      <c r="Q22" s="27"/>
      <c r="R22" s="27"/>
      <c r="S22" s="27"/>
    </row>
    <row r="23" ht="13.65" customHeight="1">
      <c r="A23" s="27"/>
      <c r="B23" s="27"/>
      <c r="C23" s="27"/>
      <c r="D23" s="27"/>
      <c r="E23" s="86"/>
      <c r="F23" s="85"/>
      <c r="G23" s="27"/>
      <c r="H23" s="27"/>
      <c r="I23" s="72"/>
      <c r="J23" s="27"/>
      <c r="K23" s="27"/>
      <c r="L23" s="27"/>
      <c r="M23" s="27"/>
      <c r="N23" s="27"/>
      <c r="O23" s="27"/>
      <c r="P23" s="27"/>
      <c r="Q23" s="27"/>
      <c r="R23" s="27"/>
      <c r="S23" s="27"/>
    </row>
    <row r="24" ht="13.65" customHeight="1">
      <c r="A24" s="27"/>
      <c r="B24" s="27"/>
      <c r="C24" s="27"/>
      <c r="D24" s="27"/>
      <c r="E24" s="84"/>
      <c r="F24" s="85"/>
      <c r="G24" s="27"/>
      <c r="H24" s="27"/>
      <c r="I24" s="27"/>
      <c r="J24" s="27"/>
      <c r="K24" s="27"/>
      <c r="L24" s="27"/>
      <c r="M24" s="27"/>
      <c r="N24" s="27"/>
      <c r="O24" s="27"/>
      <c r="P24" s="27"/>
      <c r="Q24" s="27"/>
      <c r="R24" s="27"/>
      <c r="S24" s="27"/>
    </row>
    <row r="25" ht="13.65" customHeight="1">
      <c r="A25" s="27"/>
      <c r="B25" s="27"/>
      <c r="C25" s="27"/>
      <c r="D25" s="27"/>
      <c r="E25" s="84"/>
      <c r="F25" s="85"/>
      <c r="G25" s="27"/>
      <c r="H25" s="27"/>
      <c r="I25" s="27"/>
      <c r="J25" s="27"/>
      <c r="K25" s="27"/>
      <c r="L25" s="27"/>
      <c r="M25" s="72"/>
      <c r="N25" s="27"/>
      <c r="O25" s="27"/>
      <c r="P25" s="27"/>
      <c r="Q25" s="27"/>
      <c r="R25" s="27"/>
      <c r="S25" s="27"/>
    </row>
    <row r="26" ht="13.65" customHeight="1">
      <c r="A26" s="27"/>
      <c r="B26" s="27"/>
      <c r="C26" s="27"/>
      <c r="D26" s="27"/>
      <c r="E26" s="84"/>
      <c r="F26" s="85"/>
      <c r="G26" s="27"/>
      <c r="H26" s="27"/>
      <c r="I26" s="27"/>
      <c r="J26" s="27"/>
      <c r="K26" s="27"/>
      <c r="L26" s="27"/>
      <c r="M26" s="72"/>
      <c r="N26" s="27"/>
      <c r="O26" s="27"/>
      <c r="P26" s="27"/>
      <c r="Q26" s="27"/>
      <c r="R26" s="27"/>
      <c r="S26" s="27"/>
    </row>
  </sheetData>
  <pageMargins left="0.7875" right="0.7875" top="1.05278" bottom="1.05278" header="0.7875" footer="0.7875"/>
  <pageSetup firstPageNumber="1" fitToHeight="1" fitToWidth="1" scale="100" useFirstPageNumber="0" orientation="portrait" pageOrder="downThenOver"/>
  <headerFooter>
    <oddHeader>&amp;C&amp;"Times New Roman,Regular"&amp;12&amp;K000000PARAMS</oddHeader>
    <oddFooter>&amp;C&amp;"Helvetica Neue,Regular"&amp;12&amp;K000000&amp;P</oddFooter>
  </headerFooter>
</worksheet>
</file>

<file path=xl/worksheets/sheet21.xml><?xml version="1.0" encoding="utf-8"?>
<worksheet xmlns:r="http://schemas.openxmlformats.org/officeDocument/2006/relationships" xmlns="http://schemas.openxmlformats.org/spreadsheetml/2006/main">
  <sheetPr>
    <pageSetUpPr fitToPage="1"/>
  </sheetPr>
  <dimension ref="A1:P40"/>
  <sheetViews>
    <sheetView workbookViewId="0" showGridLines="0" defaultGridColor="1"/>
  </sheetViews>
  <sheetFormatPr defaultColWidth="8.83333" defaultRowHeight="12.75" customHeight="1" outlineLevelRow="0" outlineLevelCol="0"/>
  <cols>
    <col min="1" max="1" width="15.1719" style="88" customWidth="1"/>
    <col min="2" max="2" width="11.3516" style="88" customWidth="1"/>
    <col min="3" max="3" width="12.8516" style="88" customWidth="1"/>
    <col min="4" max="5" width="8.85156" style="88" customWidth="1"/>
    <col min="6" max="6" width="11.5" style="88" customWidth="1"/>
    <col min="7" max="12" width="8.85156" style="88" customWidth="1"/>
    <col min="13" max="13" width="12.8516" style="88" customWidth="1"/>
    <col min="14" max="16" width="8.85156" style="88" customWidth="1"/>
    <col min="17" max="16384" width="8.85156" style="88" customWidth="1"/>
  </cols>
  <sheetData>
    <row r="1" ht="13.65" customHeight="1">
      <c r="A1" t="s" s="29">
        <v>85</v>
      </c>
      <c r="B1" t="s" s="29">
        <v>86</v>
      </c>
      <c r="C1" t="s" s="29">
        <v>87</v>
      </c>
      <c r="D1" s="27"/>
      <c r="E1" s="27"/>
      <c r="F1" s="27"/>
      <c r="G1" s="27"/>
      <c r="H1" s="27"/>
      <c r="I1" s="27"/>
      <c r="J1" s="27"/>
      <c r="K1" s="27"/>
      <c r="L1" s="27"/>
      <c r="M1" s="27"/>
      <c r="N1" s="27"/>
      <c r="O1" s="27"/>
      <c r="P1" s="27"/>
    </row>
    <row r="2" ht="13.65" customHeight="1">
      <c r="A2" s="89">
        <v>44209</v>
      </c>
      <c r="B2" s="72">
        <v>0</v>
      </c>
      <c r="C2" s="72">
        <v>1500000</v>
      </c>
      <c r="D2" s="27"/>
      <c r="E2" s="27"/>
      <c r="F2" s="27"/>
      <c r="G2" s="27"/>
      <c r="H2" s="27"/>
      <c r="I2" s="27"/>
      <c r="J2" s="27"/>
      <c r="K2" s="27"/>
      <c r="L2" s="27"/>
      <c r="M2" s="27"/>
      <c r="N2" s="27"/>
      <c r="O2" s="27"/>
      <c r="P2" s="27"/>
    </row>
    <row r="3" ht="13.65" customHeight="1">
      <c r="A3" s="89">
        <v>44210</v>
      </c>
      <c r="B3" s="72">
        <v>1788</v>
      </c>
      <c r="C3" s="72" cm="1">
        <f t="array" ref="C3">C2+B3</f>
        <v>1501788</v>
      </c>
      <c r="D3" s="27"/>
      <c r="E3" s="27"/>
      <c r="F3" s="27"/>
      <c r="G3" s="27"/>
      <c r="H3" s="27"/>
      <c r="I3" s="27"/>
      <c r="J3" s="27"/>
      <c r="K3" s="27"/>
      <c r="L3" s="27"/>
      <c r="M3" s="27"/>
      <c r="N3" s="27"/>
      <c r="O3" s="27"/>
      <c r="P3" s="27"/>
    </row>
    <row r="4" ht="13.65" customHeight="1">
      <c r="A4" s="89">
        <v>44211</v>
      </c>
      <c r="B4" s="72">
        <v>88251</v>
      </c>
      <c r="C4" s="72" cm="1">
        <f t="array" ref="C4">C3+B4</f>
        <v>1590039</v>
      </c>
      <c r="D4" s="27"/>
      <c r="E4" s="27"/>
      <c r="F4" s="27"/>
      <c r="G4" s="27"/>
      <c r="H4" s="27"/>
      <c r="I4" s="27"/>
      <c r="J4" s="27"/>
      <c r="K4" s="27"/>
      <c r="L4" s="27"/>
      <c r="M4" s="27"/>
      <c r="N4" s="27"/>
      <c r="O4" s="27"/>
      <c r="P4" s="27"/>
    </row>
    <row r="5" ht="13.65" customHeight="1">
      <c r="A5" s="89">
        <v>44214</v>
      </c>
      <c r="B5" s="72" cm="1">
        <f t="array" ref="B5">332875</f>
        <v>332875</v>
      </c>
      <c r="C5" s="72" cm="1">
        <f t="array" ref="C5">C4+B5</f>
        <v>1922914</v>
      </c>
      <c r="D5" s="27"/>
      <c r="E5" s="81"/>
      <c r="F5" s="27"/>
      <c r="G5" s="27"/>
      <c r="H5" s="27"/>
      <c r="I5" s="27"/>
      <c r="J5" s="27"/>
      <c r="K5" s="27"/>
      <c r="L5" s="27"/>
      <c r="M5" s="27"/>
      <c r="N5" s="27"/>
      <c r="O5" s="27"/>
      <c r="P5" s="27"/>
    </row>
    <row r="6" ht="13.65" customHeight="1">
      <c r="A6" s="89">
        <v>44215</v>
      </c>
      <c r="B6" s="72">
        <v>5327</v>
      </c>
      <c r="C6" s="72" cm="1">
        <f t="array" ref="C6">C5+B6</f>
        <v>1928241</v>
      </c>
      <c r="D6" s="27"/>
      <c r="E6" s="81"/>
      <c r="F6" s="27"/>
      <c r="G6" s="27"/>
      <c r="H6" s="27"/>
      <c r="I6" s="27"/>
      <c r="J6" s="27"/>
      <c r="K6" s="27"/>
      <c r="L6" s="27"/>
      <c r="M6" s="27"/>
      <c r="N6" s="72"/>
      <c r="O6" s="27"/>
      <c r="P6" s="27"/>
    </row>
    <row r="7" ht="13.65" customHeight="1">
      <c r="A7" s="89">
        <v>44216</v>
      </c>
      <c r="B7" s="72">
        <v>289118</v>
      </c>
      <c r="C7" s="72" cm="1">
        <f t="array" ref="C7">C6+B7</f>
        <v>2217359</v>
      </c>
      <c r="D7" s="27"/>
      <c r="E7" s="27"/>
      <c r="F7" s="27"/>
      <c r="G7" s="27"/>
      <c r="H7" s="27"/>
      <c r="I7" s="27"/>
      <c r="J7" s="27"/>
      <c r="K7" s="27"/>
      <c r="L7" s="27"/>
      <c r="M7" s="27"/>
      <c r="N7" s="72"/>
      <c r="O7" s="27"/>
      <c r="P7" s="27"/>
    </row>
    <row r="8" ht="13.65" customHeight="1">
      <c r="A8" s="89">
        <v>44217</v>
      </c>
      <c r="B8" s="72">
        <v>240028</v>
      </c>
      <c r="C8" s="72" cm="1">
        <f t="array" ref="C8">C7+B8</f>
        <v>2457387</v>
      </c>
      <c r="D8" s="27"/>
      <c r="E8" s="27"/>
      <c r="F8" s="27"/>
      <c r="G8" s="27"/>
      <c r="H8" s="27"/>
      <c r="I8" s="27"/>
      <c r="J8" s="27"/>
      <c r="K8" s="27"/>
      <c r="L8" s="27"/>
      <c r="M8" s="27"/>
      <c r="N8" s="72"/>
      <c r="O8" s="27"/>
      <c r="P8" s="27"/>
    </row>
    <row r="9" ht="13.65" customHeight="1">
      <c r="A9" s="89">
        <v>44218</v>
      </c>
      <c r="B9" s="72">
        <v>684479</v>
      </c>
      <c r="C9" s="72" cm="1">
        <f t="array" ref="C9">C8+B9</f>
        <v>3141866</v>
      </c>
      <c r="D9" s="27"/>
      <c r="E9" s="27"/>
      <c r="F9" s="27"/>
      <c r="G9" s="27"/>
      <c r="H9" s="27"/>
      <c r="I9" s="27"/>
      <c r="J9" s="27"/>
      <c r="K9" s="27"/>
      <c r="L9" s="27"/>
      <c r="M9" s="27"/>
      <c r="N9" s="27"/>
      <c r="O9" s="27"/>
      <c r="P9" s="27"/>
    </row>
    <row r="10" ht="13.65" customHeight="1">
      <c r="A10" s="89">
        <v>44221</v>
      </c>
      <c r="B10" s="72">
        <v>60818</v>
      </c>
      <c r="C10" s="72" cm="1">
        <f t="array" ref="C10">C9+B10</f>
        <v>3202684</v>
      </c>
      <c r="D10" s="27"/>
      <c r="E10" s="27"/>
      <c r="F10" s="27"/>
      <c r="G10" s="27"/>
      <c r="H10" s="27"/>
      <c r="I10" s="27"/>
      <c r="J10" s="27"/>
      <c r="K10" s="27"/>
      <c r="L10" s="27"/>
      <c r="M10" s="27"/>
      <c r="N10" s="27"/>
      <c r="O10" s="27"/>
      <c r="P10" s="27"/>
    </row>
    <row r="11" ht="13.65" customHeight="1">
      <c r="A11" s="89">
        <v>44222</v>
      </c>
      <c r="B11" s="72">
        <v>27441</v>
      </c>
      <c r="C11" s="72" cm="1">
        <f t="array" ref="C11">C10+B11</f>
        <v>3230125</v>
      </c>
      <c r="D11" s="27"/>
      <c r="E11" s="27"/>
      <c r="F11" s="27"/>
      <c r="G11" s="27"/>
      <c r="H11" s="27"/>
      <c r="I11" s="27"/>
      <c r="J11" s="27"/>
      <c r="K11" s="27"/>
      <c r="L11" s="27"/>
      <c r="M11" s="27"/>
      <c r="N11" s="27"/>
      <c r="O11" s="27"/>
      <c r="P11" s="27"/>
    </row>
    <row r="12" ht="13.65" customHeight="1">
      <c r="A12" s="89">
        <v>44223</v>
      </c>
      <c r="B12" s="72">
        <v>2993</v>
      </c>
      <c r="C12" s="72" cm="1">
        <f t="array" ref="C12">C11+B12</f>
        <v>3233118</v>
      </c>
      <c r="D12" s="27"/>
      <c r="E12" s="27"/>
      <c r="F12" s="27"/>
      <c r="G12" s="27"/>
      <c r="H12" s="27"/>
      <c r="I12" s="27"/>
      <c r="J12" s="27"/>
      <c r="K12" s="27"/>
      <c r="L12" s="27"/>
      <c r="M12" s="27"/>
      <c r="N12" s="27"/>
      <c r="O12" s="27"/>
      <c r="P12" s="27"/>
    </row>
    <row r="13" ht="13.65" customHeight="1">
      <c r="A13" s="89">
        <v>44224</v>
      </c>
      <c r="B13" s="72">
        <v>27335</v>
      </c>
      <c r="C13" s="72" cm="1">
        <f t="array" ref="C13">C12+B13</f>
        <v>3260453</v>
      </c>
      <c r="D13" s="27"/>
      <c r="E13" s="27"/>
      <c r="F13" s="27"/>
      <c r="G13" s="27"/>
      <c r="H13" s="27"/>
      <c r="I13" s="27"/>
      <c r="J13" s="27"/>
      <c r="K13" s="27"/>
      <c r="L13" s="27"/>
      <c r="M13" s="27"/>
      <c r="N13" s="72"/>
      <c r="O13" s="27"/>
      <c r="P13" s="27"/>
    </row>
    <row r="14" ht="13.65" customHeight="1">
      <c r="A14" s="89">
        <v>44225</v>
      </c>
      <c r="B14" s="72">
        <v>393956</v>
      </c>
      <c r="C14" s="72" cm="1">
        <f t="array" ref="C14">C13+B14</f>
        <v>3654409</v>
      </c>
      <c r="D14" s="27"/>
      <c r="E14" s="27"/>
      <c r="F14" s="27"/>
      <c r="G14" s="27"/>
      <c r="H14" s="27"/>
      <c r="I14" s="27"/>
      <c r="J14" s="27"/>
      <c r="K14" s="27"/>
      <c r="L14" s="27"/>
      <c r="M14" s="72"/>
      <c r="N14" s="27"/>
      <c r="O14" s="27"/>
      <c r="P14" s="27"/>
    </row>
    <row r="15" ht="13.65" customHeight="1">
      <c r="A15" s="89">
        <v>44228</v>
      </c>
      <c r="B15" s="72">
        <v>14926</v>
      </c>
      <c r="C15" s="72" cm="1">
        <f t="array" ref="C15">C14+B15</f>
        <v>3669335</v>
      </c>
      <c r="D15" s="27"/>
      <c r="E15" s="27"/>
      <c r="F15" s="27"/>
      <c r="G15" s="27"/>
      <c r="H15" s="27"/>
      <c r="I15" s="27"/>
      <c r="J15" s="27"/>
      <c r="K15" s="27"/>
      <c r="L15" s="27"/>
      <c r="M15" s="27"/>
      <c r="N15" s="27"/>
      <c r="O15" s="27"/>
      <c r="P15" s="27"/>
    </row>
    <row r="16" ht="13.65" customHeight="1">
      <c r="A16" s="89">
        <v>44229</v>
      </c>
      <c r="B16" s="72">
        <v>10778</v>
      </c>
      <c r="C16" s="72" cm="1">
        <f t="array" ref="C16">C15+B16</f>
        <v>3680113</v>
      </c>
      <c r="D16" s="27"/>
      <c r="E16" s="27"/>
      <c r="F16" s="27"/>
      <c r="G16" s="27"/>
      <c r="H16" s="27"/>
      <c r="I16" s="27"/>
      <c r="J16" s="27"/>
      <c r="K16" s="27"/>
      <c r="L16" s="27"/>
      <c r="M16" s="27"/>
      <c r="N16" s="27"/>
      <c r="O16" s="27"/>
      <c r="P16" s="27"/>
    </row>
    <row r="17" ht="13.65" customHeight="1">
      <c r="A17" s="89">
        <v>44230</v>
      </c>
      <c r="B17" s="72">
        <v>1277</v>
      </c>
      <c r="C17" s="72" cm="1">
        <f t="array" ref="C17">C16+B17</f>
        <v>3681390</v>
      </c>
      <c r="D17" s="27"/>
      <c r="E17" s="27"/>
      <c r="F17" s="27"/>
      <c r="G17" s="27"/>
      <c r="H17" s="27"/>
      <c r="I17" s="27"/>
      <c r="J17" s="27"/>
      <c r="K17" s="27"/>
      <c r="L17" s="27"/>
      <c r="M17" s="27"/>
      <c r="N17" s="27"/>
      <c r="O17" s="27"/>
      <c r="P17" s="72"/>
    </row>
    <row r="18" ht="13.65" customHeight="1">
      <c r="A18" s="89">
        <v>44231</v>
      </c>
      <c r="B18" s="72">
        <v>799207</v>
      </c>
      <c r="C18" s="72" cm="1">
        <f t="array" ref="C18">C17+B18</f>
        <v>4480597</v>
      </c>
      <c r="D18" s="27"/>
      <c r="E18" s="27"/>
      <c r="F18" s="27"/>
      <c r="G18" s="27"/>
      <c r="H18" s="27"/>
      <c r="I18" s="27"/>
      <c r="J18" s="27"/>
      <c r="K18" s="27"/>
      <c r="L18" s="27"/>
      <c r="M18" s="27"/>
      <c r="N18" s="27"/>
      <c r="O18" s="27"/>
      <c r="P18" s="72"/>
    </row>
    <row r="19" ht="13.65" customHeight="1">
      <c r="A19" s="89">
        <v>44232</v>
      </c>
      <c r="B19" s="72">
        <v>294861</v>
      </c>
      <c r="C19" s="72" cm="1">
        <f t="array" ref="C19">C18+B19</f>
        <v>4775458</v>
      </c>
      <c r="D19" s="27"/>
      <c r="E19" s="27"/>
      <c r="F19" s="27"/>
      <c r="G19" s="27"/>
      <c r="H19" s="27"/>
      <c r="I19" s="27"/>
      <c r="J19" s="27"/>
      <c r="K19" s="27"/>
      <c r="L19" s="27"/>
      <c r="M19" s="27"/>
      <c r="N19" s="27"/>
      <c r="O19" s="27"/>
      <c r="P19" s="72"/>
    </row>
    <row r="20" ht="13.65" customHeight="1">
      <c r="A20" s="89">
        <v>44235</v>
      </c>
      <c r="B20" s="72">
        <v>73054</v>
      </c>
      <c r="C20" s="72" cm="1">
        <f t="array" ref="C20">C19+B20</f>
        <v>4848512</v>
      </c>
      <c r="D20" s="27"/>
      <c r="E20" s="27"/>
      <c r="F20" s="27"/>
      <c r="G20" s="27"/>
      <c r="H20" s="27"/>
      <c r="I20" s="27"/>
      <c r="J20" s="27"/>
      <c r="K20" s="27"/>
      <c r="L20" s="27"/>
      <c r="M20" s="27"/>
      <c r="N20" s="72"/>
      <c r="O20" s="27"/>
      <c r="P20" s="27"/>
    </row>
    <row r="21" ht="13.65" customHeight="1">
      <c r="A21" s="89">
        <v>44236</v>
      </c>
      <c r="B21" s="72">
        <v>395464</v>
      </c>
      <c r="C21" s="72" cm="1">
        <f t="array" ref="C21">C20+B21</f>
        <v>5243976</v>
      </c>
      <c r="D21" s="27"/>
      <c r="E21" s="27"/>
      <c r="F21" s="27"/>
      <c r="G21" s="27"/>
      <c r="H21" s="27"/>
      <c r="I21" s="27"/>
      <c r="J21" s="27"/>
      <c r="K21" s="27"/>
      <c r="L21" s="27"/>
      <c r="M21" s="27"/>
      <c r="N21" s="72"/>
      <c r="O21" s="27"/>
      <c r="P21" s="27"/>
    </row>
    <row r="22" ht="13.65" customHeight="1">
      <c r="A22" s="89">
        <v>44237</v>
      </c>
      <c r="B22" s="72">
        <v>1023759</v>
      </c>
      <c r="C22" s="72" cm="1">
        <f t="array" ref="C22">C21+B22</f>
        <v>6267735</v>
      </c>
      <c r="D22" s="27"/>
      <c r="E22" s="27"/>
      <c r="F22" s="27"/>
      <c r="G22" s="27"/>
      <c r="H22" s="27"/>
      <c r="I22" s="27"/>
      <c r="J22" s="27"/>
      <c r="K22" s="27"/>
      <c r="L22" s="27"/>
      <c r="M22" s="27"/>
      <c r="N22" s="72"/>
      <c r="O22" s="27"/>
      <c r="P22" s="27"/>
    </row>
    <row r="23" ht="13.65" customHeight="1">
      <c r="A23" s="89">
        <v>44238</v>
      </c>
      <c r="B23" s="72">
        <v>887</v>
      </c>
      <c r="C23" s="72" cm="1">
        <f t="array" ref="C23">C22+B23</f>
        <v>6268622</v>
      </c>
      <c r="D23" s="27"/>
      <c r="E23" s="27"/>
      <c r="F23" s="27"/>
      <c r="G23" s="27"/>
      <c r="H23" s="27"/>
      <c r="I23" s="27"/>
      <c r="J23" s="72"/>
      <c r="K23" s="27"/>
      <c r="L23" s="27"/>
      <c r="M23" s="27"/>
      <c r="N23" s="72"/>
      <c r="O23" s="27"/>
      <c r="P23" s="27"/>
    </row>
    <row r="24" ht="13.65" customHeight="1">
      <c r="A24" s="89">
        <v>44245</v>
      </c>
      <c r="B24" s="72">
        <v>135508</v>
      </c>
      <c r="C24" s="72" cm="1">
        <f t="array" ref="C24">C23+B24</f>
        <v>6404130</v>
      </c>
      <c r="D24" s="27"/>
      <c r="E24" s="27"/>
      <c r="F24" s="27"/>
      <c r="G24" s="27"/>
      <c r="H24" s="27"/>
      <c r="I24" s="27"/>
      <c r="J24" s="27"/>
      <c r="K24" s="27"/>
      <c r="L24" s="27"/>
      <c r="M24" s="27"/>
      <c r="N24" s="27"/>
      <c r="O24" s="27"/>
      <c r="P24" s="27"/>
    </row>
    <row r="25" ht="13.65" customHeight="1">
      <c r="A25" s="89">
        <v>44246</v>
      </c>
      <c r="B25" s="72">
        <v>547551</v>
      </c>
      <c r="C25" s="72" cm="1">
        <f t="array" ref="C25">C24+B25</f>
        <v>6951681</v>
      </c>
      <c r="D25" s="27"/>
      <c r="E25" s="27"/>
      <c r="F25" s="27"/>
      <c r="G25" s="27"/>
      <c r="H25" s="27"/>
      <c r="I25" s="27"/>
      <c r="J25" s="27"/>
      <c r="K25" s="27"/>
      <c r="L25" s="72"/>
      <c r="M25" s="27"/>
      <c r="N25" s="27"/>
      <c r="O25" s="27"/>
      <c r="P25" s="27"/>
    </row>
    <row r="26" ht="13.65" customHeight="1">
      <c r="A26" s="89">
        <v>44247</v>
      </c>
      <c r="B26" s="72">
        <v>142388</v>
      </c>
      <c r="C26" s="72" cm="1">
        <f t="array" ref="C26">C25+B26</f>
        <v>7094069</v>
      </c>
      <c r="D26" s="27"/>
      <c r="E26" s="27"/>
      <c r="F26" s="27"/>
      <c r="G26" s="27"/>
      <c r="H26" s="27"/>
      <c r="I26" s="27"/>
      <c r="J26" s="27"/>
      <c r="K26" s="27"/>
      <c r="L26" s="72"/>
      <c r="M26" s="27"/>
      <c r="N26" s="27"/>
      <c r="O26" s="27"/>
      <c r="P26" s="27"/>
    </row>
    <row r="27" ht="13.65" customHeight="1">
      <c r="A27" s="89">
        <v>44250</v>
      </c>
      <c r="B27" s="72">
        <v>7800</v>
      </c>
      <c r="C27" s="72" cm="1">
        <f t="array" ref="C27">C26+B27</f>
        <v>7101869</v>
      </c>
      <c r="D27" s="27"/>
      <c r="E27" s="27"/>
      <c r="F27" s="27"/>
      <c r="G27" s="27"/>
      <c r="H27" s="27"/>
      <c r="I27" s="27"/>
      <c r="J27" s="27"/>
      <c r="K27" s="27"/>
      <c r="L27" s="27"/>
      <c r="M27" s="27"/>
      <c r="N27" s="27"/>
      <c r="O27" s="27"/>
      <c r="P27" s="27"/>
    </row>
    <row r="28" ht="13.65" customHeight="1">
      <c r="A28" s="89">
        <v>44251</v>
      </c>
      <c r="B28" s="72">
        <v>15182</v>
      </c>
      <c r="C28" s="72" cm="1">
        <f t="array" ref="C28">C27+B28</f>
        <v>7117051</v>
      </c>
      <c r="D28" s="27"/>
      <c r="E28" s="27"/>
      <c r="F28" s="27"/>
      <c r="G28" s="27"/>
      <c r="H28" s="27"/>
      <c r="I28" s="27"/>
      <c r="J28" s="27"/>
      <c r="K28" s="27"/>
      <c r="L28" s="27"/>
      <c r="M28" s="27"/>
      <c r="N28" s="27"/>
      <c r="O28" s="27"/>
      <c r="P28" s="27"/>
    </row>
    <row r="29" ht="13.65" customHeight="1">
      <c r="A29" s="89">
        <v>44252</v>
      </c>
      <c r="B29" s="72">
        <v>72930</v>
      </c>
      <c r="C29" s="72" cm="1">
        <f t="array" ref="C29">C28+B29</f>
        <v>7189981</v>
      </c>
      <c r="D29" s="27"/>
      <c r="E29" s="27"/>
      <c r="F29" s="27"/>
      <c r="G29" s="27"/>
      <c r="H29" s="27"/>
      <c r="I29" s="27"/>
      <c r="J29" s="27"/>
      <c r="K29" s="27"/>
      <c r="L29" s="27"/>
      <c r="M29" s="27"/>
      <c r="N29" s="27"/>
      <c r="O29" s="27"/>
      <c r="P29" s="27"/>
    </row>
    <row r="30" ht="13.65" customHeight="1">
      <c r="A30" s="89">
        <v>44253</v>
      </c>
      <c r="B30" s="72">
        <v>355319</v>
      </c>
      <c r="C30" s="72" cm="1">
        <f t="array" ref="C30">C29+B30</f>
        <v>7545300</v>
      </c>
      <c r="D30" s="27"/>
      <c r="E30" s="27"/>
      <c r="F30" s="27"/>
      <c r="G30" s="27"/>
      <c r="H30" s="27"/>
      <c r="I30" s="27"/>
      <c r="J30" s="27"/>
      <c r="K30" s="27"/>
      <c r="L30" s="27"/>
      <c r="M30" s="27"/>
      <c r="N30" s="27"/>
      <c r="O30" s="27"/>
      <c r="P30" s="27"/>
    </row>
    <row r="31" ht="13.65" customHeight="1">
      <c r="A31" s="89">
        <v>44256</v>
      </c>
      <c r="B31" s="72">
        <v>53944</v>
      </c>
      <c r="C31" s="72" cm="1">
        <f t="array" ref="C31">C30+B31</f>
        <v>7599244</v>
      </c>
      <c r="D31" s="27"/>
      <c r="E31" s="27"/>
      <c r="F31" s="27"/>
      <c r="G31" s="27"/>
      <c r="H31" s="27"/>
      <c r="I31" s="27"/>
      <c r="J31" s="27"/>
      <c r="K31" s="27"/>
      <c r="L31" s="27"/>
      <c r="M31" s="27"/>
      <c r="N31" s="27"/>
      <c r="O31" s="27"/>
      <c r="P31" s="27"/>
    </row>
    <row r="32" ht="13.65" customHeight="1">
      <c r="A32" s="89">
        <v>44257</v>
      </c>
      <c r="B32" s="72">
        <v>82223</v>
      </c>
      <c r="C32" s="72" cm="1">
        <f t="array" ref="C32">C31+B32</f>
        <v>7681467</v>
      </c>
      <c r="D32" s="27"/>
      <c r="E32" s="27"/>
      <c r="F32" s="27"/>
      <c r="G32" s="27"/>
      <c r="H32" s="27"/>
      <c r="I32" s="27"/>
      <c r="J32" s="27"/>
      <c r="K32" s="27"/>
      <c r="L32" s="27"/>
      <c r="M32" s="27"/>
      <c r="N32" s="27"/>
      <c r="O32" s="27"/>
      <c r="P32" s="27"/>
    </row>
    <row r="33" ht="13.65" customHeight="1">
      <c r="A33" s="89">
        <v>44258</v>
      </c>
      <c r="B33" s="72">
        <v>223373</v>
      </c>
      <c r="C33" s="72" cm="1">
        <f t="array" ref="C33">C32+B33</f>
        <v>7904840</v>
      </c>
      <c r="D33" s="27"/>
      <c r="E33" s="27"/>
      <c r="F33" s="27"/>
      <c r="G33" s="27"/>
      <c r="H33" s="27"/>
      <c r="I33" s="27"/>
      <c r="J33" s="27"/>
      <c r="K33" s="27"/>
      <c r="L33" s="27"/>
      <c r="M33" s="27"/>
      <c r="N33" s="27"/>
      <c r="O33" s="27"/>
      <c r="P33" s="27"/>
    </row>
    <row r="34" ht="13.65" customHeight="1">
      <c r="A34" s="89">
        <v>44259</v>
      </c>
      <c r="B34" s="72">
        <v>29125</v>
      </c>
      <c r="C34" s="72" cm="1">
        <f t="array" ref="C34">C33+B34</f>
        <v>7933965</v>
      </c>
      <c r="D34" s="27"/>
      <c r="E34" s="27"/>
      <c r="F34" s="27"/>
      <c r="G34" s="27"/>
      <c r="H34" s="27"/>
      <c r="I34" s="27"/>
      <c r="J34" s="27"/>
      <c r="K34" s="27"/>
      <c r="L34" s="27"/>
      <c r="M34" s="27"/>
      <c r="N34" s="27"/>
      <c r="O34" s="27"/>
      <c r="P34" s="27"/>
    </row>
    <row r="35" ht="13.65" customHeight="1">
      <c r="A35" s="89">
        <v>44260</v>
      </c>
      <c r="B35" s="72">
        <v>143283</v>
      </c>
      <c r="C35" s="72" cm="1">
        <f t="array" ref="C35">C34+B35</f>
        <v>8077248</v>
      </c>
      <c r="D35" s="27"/>
      <c r="E35" s="27"/>
      <c r="F35" s="27"/>
      <c r="G35" s="27"/>
      <c r="H35" s="27"/>
      <c r="I35" s="27"/>
      <c r="J35" s="27"/>
      <c r="K35" s="27"/>
      <c r="L35" s="27"/>
      <c r="M35" s="27"/>
      <c r="N35" s="27"/>
      <c r="O35" s="27"/>
      <c r="P35" s="27"/>
    </row>
    <row r="36" ht="13.65" customHeight="1">
      <c r="A36" s="89">
        <v>44263</v>
      </c>
      <c r="B36" s="72">
        <v>207645</v>
      </c>
      <c r="C36" s="72" cm="1">
        <f t="array" ref="C36">C35+B36</f>
        <v>8284893</v>
      </c>
      <c r="D36" s="27"/>
      <c r="E36" s="27"/>
      <c r="F36" s="27"/>
      <c r="G36" s="27"/>
      <c r="H36" s="27"/>
      <c r="I36" s="27"/>
      <c r="J36" s="27"/>
      <c r="K36" s="27"/>
      <c r="L36" s="27"/>
      <c r="M36" s="27"/>
      <c r="N36" s="27"/>
      <c r="O36" s="27"/>
      <c r="P36" s="27"/>
    </row>
    <row r="37" ht="13.65" customHeight="1">
      <c r="A37" s="89">
        <v>44264</v>
      </c>
      <c r="B37" s="72">
        <v>217531</v>
      </c>
      <c r="C37" s="72" cm="1">
        <f t="array" ref="C37">C36+B37</f>
        <v>8502424</v>
      </c>
      <c r="D37" s="27"/>
      <c r="E37" s="27"/>
      <c r="F37" s="27"/>
      <c r="G37" s="27"/>
      <c r="H37" s="27"/>
      <c r="I37" s="27"/>
      <c r="J37" s="27"/>
      <c r="K37" s="27"/>
      <c r="L37" s="27"/>
      <c r="M37" s="27"/>
      <c r="N37" s="27"/>
      <c r="O37" s="27"/>
      <c r="P37" s="27"/>
    </row>
    <row r="38" ht="13.65" customHeight="1">
      <c r="A38" s="89">
        <v>44265</v>
      </c>
      <c r="B38" s="72">
        <v>21201</v>
      </c>
      <c r="C38" s="72" cm="1">
        <f t="array" ref="C38">C37+B38</f>
        <v>8523625</v>
      </c>
      <c r="D38" s="27"/>
      <c r="E38" s="27"/>
      <c r="F38" s="27"/>
      <c r="G38" s="27"/>
      <c r="H38" s="27"/>
      <c r="I38" s="27"/>
      <c r="J38" s="27"/>
      <c r="K38" s="27"/>
      <c r="L38" s="27"/>
      <c r="M38" s="27"/>
      <c r="N38" s="27"/>
      <c r="O38" s="27"/>
      <c r="P38" s="27"/>
    </row>
    <row r="39" ht="13.65" customHeight="1">
      <c r="A39" s="89">
        <v>44266</v>
      </c>
      <c r="B39" s="72">
        <v>3231</v>
      </c>
      <c r="C39" s="72" cm="1">
        <f t="array" ref="C39">C38+B39</f>
        <v>8526856</v>
      </c>
      <c r="D39" s="27"/>
      <c r="E39" s="27"/>
      <c r="F39" s="27"/>
      <c r="G39" s="27"/>
      <c r="H39" s="27"/>
      <c r="I39" s="27"/>
      <c r="J39" s="27"/>
      <c r="K39" s="27"/>
      <c r="L39" s="27"/>
      <c r="M39" s="27"/>
      <c r="N39" s="27"/>
      <c r="O39" s="27"/>
      <c r="P39" s="27"/>
    </row>
    <row r="40" ht="13.65" customHeight="1">
      <c r="A40" s="89">
        <v>44267</v>
      </c>
      <c r="B40" s="72">
        <v>127599</v>
      </c>
      <c r="C40" s="72" cm="1">
        <f t="array" ref="C40">C39+B40</f>
        <v>8654455</v>
      </c>
      <c r="D40" s="27"/>
      <c r="E40" s="27"/>
      <c r="F40" s="27"/>
      <c r="G40" s="27"/>
      <c r="H40" s="27"/>
      <c r="I40" s="27"/>
      <c r="J40" s="27"/>
      <c r="K40" s="27"/>
      <c r="L40" s="27"/>
      <c r="M40" s="27"/>
      <c r="N40" s="27"/>
      <c r="O40" s="27"/>
      <c r="P40" s="27"/>
    </row>
  </sheetData>
  <pageMargins left="0.25" right="0.25" top="0.75" bottom="0.75" header="0.511811" footer="0.511811"/>
  <pageSetup firstPageNumber="1" fitToHeight="1" fitToWidth="1" scale="100" useFirstPageNumber="0" orientation="landscape" pageOrder="downThenOver"/>
  <headerFooter>
    <oddFooter>&amp;C&amp;"Helvetica Neue,Regular"&amp;12&amp;K000000&amp;P</oddFooter>
  </headerFooter>
</worksheet>
</file>

<file path=xl/worksheets/sheet22.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2.75" customHeight="1" outlineLevelRow="0" outlineLevelCol="0"/>
  <cols>
    <col min="1" max="1" width="8.85156" style="90" customWidth="1"/>
    <col min="2" max="2" width="9.85156" style="90" customWidth="1"/>
    <col min="3" max="5" width="8.85156" style="90" customWidth="1"/>
    <col min="6" max="16384" width="8.85156" style="90" customWidth="1"/>
  </cols>
  <sheetData>
    <row r="1" ht="16" customHeight="1">
      <c r="A1" s="91"/>
      <c r="B1" t="s" s="92">
        <v>38</v>
      </c>
      <c r="C1" s="27"/>
      <c r="D1" s="27"/>
      <c r="E1" s="27"/>
    </row>
    <row r="2" ht="16" customHeight="1">
      <c r="A2" t="s" s="92">
        <v>51</v>
      </c>
      <c r="B2" s="91">
        <v>2.6</v>
      </c>
      <c r="C2" s="27"/>
      <c r="D2" s="27"/>
      <c r="E2" s="27"/>
    </row>
    <row r="3" ht="16" customHeight="1">
      <c r="A3" t="s" s="92">
        <v>52</v>
      </c>
      <c r="B3" s="91">
        <v>2.3</v>
      </c>
      <c r="C3" s="27"/>
      <c r="D3" s="27"/>
      <c r="E3" s="27"/>
    </row>
    <row r="4" ht="16" customHeight="1">
      <c r="A4" t="s" s="92">
        <v>54</v>
      </c>
      <c r="B4" s="91">
        <v>1.85</v>
      </c>
      <c r="C4" s="27"/>
      <c r="D4" s="27"/>
      <c r="E4" s="27"/>
    </row>
    <row r="5" ht="16" customHeight="1">
      <c r="A5" t="s" s="92">
        <v>55</v>
      </c>
      <c r="B5" s="91">
        <v>1.6</v>
      </c>
      <c r="C5" s="27"/>
      <c r="D5" s="27"/>
      <c r="E5" s="27"/>
    </row>
    <row r="6" ht="16" customHeight="1">
      <c r="A6" t="s" s="92">
        <v>56</v>
      </c>
      <c r="B6" s="91">
        <v>1.45</v>
      </c>
      <c r="C6" s="27"/>
      <c r="D6" s="27"/>
      <c r="E6" s="27"/>
    </row>
    <row r="7" ht="16" customHeight="1">
      <c r="A7" t="s" s="92">
        <v>57</v>
      </c>
      <c r="B7" s="91">
        <v>1.2</v>
      </c>
      <c r="C7" s="27"/>
      <c r="D7" s="27"/>
      <c r="E7" s="27"/>
    </row>
    <row r="8" ht="16" customHeight="1">
      <c r="A8" t="s" s="92">
        <v>58</v>
      </c>
      <c r="B8" s="91">
        <v>1.1</v>
      </c>
      <c r="C8" s="27"/>
      <c r="D8" s="27"/>
      <c r="E8" s="27"/>
    </row>
    <row r="9" ht="16" customHeight="1">
      <c r="A9" t="s" s="92">
        <v>59</v>
      </c>
      <c r="B9" s="91">
        <v>1</v>
      </c>
      <c r="C9" s="27"/>
      <c r="D9" s="27"/>
      <c r="E9" s="27"/>
    </row>
    <row r="10" ht="16" customHeight="1">
      <c r="A10" t="s" s="92">
        <v>88</v>
      </c>
      <c r="B10" s="91">
        <v>0.9</v>
      </c>
      <c r="C10" s="27"/>
      <c r="D10" s="27"/>
      <c r="E10" s="27"/>
    </row>
    <row r="11" ht="16" customHeight="1">
      <c r="A11" t="s" s="92">
        <v>89</v>
      </c>
      <c r="B11" s="91">
        <v>0.85</v>
      </c>
      <c r="C11" s="27"/>
      <c r="D11" s="27"/>
      <c r="E11" s="27"/>
    </row>
  </sheetData>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