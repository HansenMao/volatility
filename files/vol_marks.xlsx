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420" windowWidth="28800" windowHeight="12330" tabRatio="855" firstSheet="0" activeTab="0" autoFilterDateGrouping="1"/>
  </bookViews>
  <sheets>
    <sheet name="KACE_SPREADS" sheetId="1" state="visible" r:id="rId1"/>
    <sheet name="CONFIG" sheetId="2" state="visible" r:id="rId2"/>
    <sheet name="NZDUSD" sheetId="3" state="visible" r:id="rId3"/>
    <sheet name="AUDNZD" sheetId="4" state="visible" r:id="rId4"/>
    <sheet name="GBPUSD" sheetId="5" state="visible" r:id="rId5"/>
    <sheet name="GBPNZD" sheetId="6" state="visible" r:id="rId6"/>
    <sheet name="EURCHF" sheetId="7" state="visible" r:id="rId7"/>
    <sheet name="EURGBP" sheetId="8" state="visible" r:id="rId8"/>
    <sheet name="NZDCAD" sheetId="9" state="visible" r:id="rId9"/>
    <sheet name="GBPCNH" sheetId="10" state="visible" r:id="rId10"/>
    <sheet name="AUDCNH" sheetId="11" state="visible" r:id="rId11"/>
    <sheet name="NZDCNH" sheetId="12" state="visible" r:id="rId12"/>
    <sheet name="CNHHKD" sheetId="13" state="visible" r:id="rId13"/>
    <sheet name="EURCNH" sheetId="14" state="visible" r:id="rId14"/>
    <sheet name="USDCHF" sheetId="15" state="visible" r:id="rId15"/>
    <sheet name="CHFJPY" sheetId="16" state="visible" r:id="rId16"/>
    <sheet name="AUDJPY" sheetId="17" state="visible" r:id="rId17"/>
    <sheet name="GBPJPY" sheetId="18" state="visible" r:id="rId18"/>
    <sheet name="EURJPY" sheetId="19" state="visible" r:id="rId19"/>
    <sheet name="USDCAD" sheetId="20" state="visible" r:id="rId20"/>
    <sheet name="EURUSD" sheetId="21" state="visible" r:id="rId21"/>
    <sheet name="AUDUSD" sheetId="22" state="visible" r:id="rId22"/>
    <sheet name="USDJPY" sheetId="23" state="visible" r:id="rId23"/>
    <sheet name="USDHKD" sheetId="24" state="visible" r:id="rId24"/>
    <sheet name="USDCNH" sheetId="25" state="visible" r:id="rId25"/>
    <sheet name="USDSGD" sheetId="26" state="visible" r:id="rId26"/>
    <sheet name="XAUUSD" sheetId="27" state="visible" r:id="rId27"/>
    <sheet name="USDCNY" sheetId="28" state="visible" r:id="rId28"/>
    <sheet name="XAGUSD" sheetId="29" state="visible" r:id="rId29"/>
    <sheet name="EVENTS" sheetId="30" state="visible" r:id="rId30"/>
    <sheet name="Vega Weights" sheetId="31" state="visible" r:id="rId31"/>
    <sheet name="PARAMS" sheetId="32" state="visible" r:id="rId32"/>
    <sheet name="BANDS" sheetId="33" state="visible" r:id="rId33"/>
    <sheet name="PEG_BANDS" sheetId="34" state="visible" r:id="rId34"/>
    <sheet name="HOLIDAYS" sheetId="35" state="visible" r:id="rId35"/>
    <sheet name="WING_RATIO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0.000"/>
    <numFmt numFmtId="165" formatCode="_(* #,##0.000_);_(* \(#,##0.000\);_(* \-??_);_(@_)"/>
    <numFmt numFmtId="166" formatCode="0.0000_ "/>
    <numFmt numFmtId="167" formatCode="0.0000"/>
    <numFmt numFmtId="168" formatCode="_(* #,##0_);_(* \(#,##0\);_(* \-??_);_(@_)"/>
    <numFmt numFmtId="169" formatCode="_(* #,##0.0000_);_(* \(#,##0.0000\);_(* \-??_);_(@_)"/>
    <numFmt numFmtId="170" formatCode="_(* #,##0.00000_);_(* \(#,##0.00000\);_(* \-??_);_(@_)"/>
    <numFmt numFmtId="171" formatCode="_(* #,##0.0000_);_(* \(#,##0.0000\);_(* &quot;-&quot;??_);_(@_)"/>
    <numFmt numFmtId="172" formatCode="0.000%"/>
    <numFmt numFmtId="173" formatCode="yyyy\-mm\-dd\ hh:mm"/>
    <numFmt numFmtId="174" formatCode="yyyy-mm-dd hh:mm"/>
    <numFmt numFmtId="175" formatCode="_(* #,##0.00_);_(* \(#,##0.00\);_(* \-??_);_(@_)"/>
    <numFmt numFmtId="176" formatCode="yyyy-mm-dd h:mm:ss"/>
  </numFmts>
  <fonts count="9">
    <font>
      <name val="Arial"/>
      <charset val="1"/>
      <family val="2"/>
      <sz val="10"/>
    </font>
    <font>
      <name val="新細明體"/>
      <family val="2"/>
      <color theme="1"/>
      <sz val="11"/>
      <scheme val="minor"/>
    </font>
    <font>
      <name val="Arial"/>
      <family val="2"/>
      <sz val="10"/>
    </font>
    <font>
      <name val="Arial"/>
      <charset val="1"/>
      <family val="2"/>
      <sz val="10"/>
    </font>
    <font>
      <name val="Arial"/>
      <family val="2"/>
      <sz val="10"/>
    </font>
    <font>
      <name val="細明體"/>
      <charset val="136"/>
      <family val="3"/>
      <sz val="9"/>
    </font>
    <font>
      <name val="Arial"/>
      <family val="2"/>
      <sz val="10"/>
      <u val="single"/>
    </font>
    <font>
      <name val="Arial"/>
      <family val="2"/>
      <color indexed="8"/>
      <sz val="10"/>
    </font>
    <font>
      <name val="Arial"/>
      <family val="2"/>
      <color indexed="8"/>
      <sz val="10"/>
    </font>
  </fonts>
  <fills count="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3" fillId="0" borderId="0"/>
    <xf numFmtId="175" fontId="3" fillId="0" borderId="0"/>
    <xf numFmtId="9" fontId="3" fillId="0" borderId="0"/>
    <xf numFmtId="0" fontId="1" fillId="0" borderId="0"/>
    <xf numFmtId="9" fontId="1" fillId="0" borderId="0"/>
    <xf numFmtId="0" fontId="8" fillId="0" borderId="0"/>
    <xf numFmtId="0" fontId="8" fillId="0" borderId="0"/>
    <xf numFmtId="0" fontId="8" fillId="0" borderId="0"/>
  </cellStyleXfs>
  <cellXfs count="51">
    <xf numFmtId="0" fontId="0" fillId="0" borderId="0" pivotButton="0" quotePrefix="0" xfId="0"/>
    <xf numFmtId="49" fontId="0" fillId="0" borderId="0" pivotButton="0" quotePrefix="0" xfId="0"/>
    <xf numFmtId="49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43" fontId="0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0" fillId="0" borderId="2" pivotButton="0" quotePrefix="0" xfId="0"/>
    <xf numFmtId="0" fontId="2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5"/>
    <xf numFmtId="0" fontId="8" fillId="0" borderId="0" pivotButton="0" quotePrefix="0" xfId="6"/>
    <xf numFmtId="164" fontId="0" fillId="2" borderId="0" pivotButton="0" quotePrefix="0" xfId="0"/>
    <xf numFmtId="165" fontId="3" fillId="0" borderId="0" pivotButton="0" quotePrefix="0" xfId="0"/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0" fillId="0" borderId="0" pivotButton="0" quotePrefix="0" xfId="0"/>
    <xf numFmtId="164" fontId="0" fillId="6" borderId="0" pivotButton="0" quotePrefix="0" xfId="0"/>
    <xf numFmtId="168" fontId="3" fillId="0" borderId="0" pivotButton="0" quotePrefix="0" xfId="0"/>
    <xf numFmtId="169" fontId="0" fillId="0" borderId="0" pivotButton="0" quotePrefix="0" xfId="1"/>
    <xf numFmtId="170" fontId="0" fillId="0" borderId="0" pivotButton="0" quotePrefix="0" xfId="1"/>
    <xf numFmtId="171" fontId="0" fillId="0" borderId="0" pivotButton="0" quotePrefix="0" xfId="0"/>
    <xf numFmtId="172" fontId="0" fillId="0" borderId="0" pivotButton="0" quotePrefix="0" xfId="2"/>
    <xf numFmtId="168" fontId="3" fillId="0" borderId="0" pivotButton="0" quotePrefix="0" xfId="1"/>
    <xf numFmtId="168" fontId="0" fillId="0" borderId="0" pivotButton="0" quotePrefix="0" xfId="0"/>
    <xf numFmtId="167" fontId="0" fillId="2" borderId="0" pivotButton="0" quotePrefix="0" xfId="0"/>
    <xf numFmtId="164" fontId="0" fillId="0" borderId="0" pivotButton="0" quotePrefix="0" xfId="0"/>
    <xf numFmtId="173" fontId="0" fillId="0" borderId="0" pivotButton="0" quotePrefix="0" xfId="0"/>
    <xf numFmtId="0" fontId="7" fillId="0" borderId="0" pivotButton="0" quotePrefix="0" xfId="7"/>
    <xf numFmtId="0" fontId="7" fillId="0" borderId="0" pivotButton="0" quotePrefix="0" xfId="7"/>
    <xf numFmtId="164" fontId="0" fillId="2" borderId="0" pivotButton="0" quotePrefix="0" xfId="0"/>
    <xf numFmtId="165" fontId="3" fillId="0" borderId="0" pivotButton="0" quotePrefix="0" xfId="0"/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0" fillId="0" borderId="0" pivotButton="0" quotePrefix="0" xfId="0"/>
    <xf numFmtId="164" fontId="0" fillId="6" borderId="0" pivotButton="0" quotePrefix="0" xfId="0"/>
    <xf numFmtId="168" fontId="3" fillId="0" borderId="0" pivotButton="0" quotePrefix="0" xfId="0"/>
    <xf numFmtId="169" fontId="0" fillId="0" borderId="0" pivotButton="0" quotePrefix="0" xfId="1"/>
    <xf numFmtId="170" fontId="0" fillId="0" borderId="0" pivotButton="0" quotePrefix="0" xfId="1"/>
    <xf numFmtId="171" fontId="0" fillId="0" borderId="0" pivotButton="0" quotePrefix="0" xfId="0"/>
    <xf numFmtId="172" fontId="0" fillId="0" borderId="0" pivotButton="0" quotePrefix="0" xfId="2"/>
    <xf numFmtId="168" fontId="3" fillId="0" borderId="0" pivotButton="0" quotePrefix="0" xfId="1"/>
    <xf numFmtId="168" fontId="0" fillId="0" borderId="0" pivotButton="0" quotePrefix="0" xfId="0"/>
    <xf numFmtId="167" fontId="0" fillId="2" borderId="0" pivotButton="0" quotePrefix="0" xfId="0"/>
    <xf numFmtId="164" fontId="0" fillId="0" borderId="0" pivotButton="0" quotePrefix="0" xfId="0"/>
    <xf numFmtId="174" fontId="0" fillId="0" borderId="0" pivotButton="0" quotePrefix="0" xfId="0"/>
    <xf numFmtId="174" fontId="0" fillId="0" borderId="0" pivotButton="0" quotePrefix="0" xfId="0"/>
  </cellXfs>
  <cellStyles count="8">
    <cellStyle name="Normal" xfId="0" builtinId="0"/>
    <cellStyle name="Comma" xfId="1" builtinId="3"/>
    <cellStyle name="Percent" xfId="2" builtinId="5"/>
    <cellStyle name="Normal 2" xfId="3"/>
    <cellStyle name="Percent 2" xfId="4"/>
    <cellStyle name="Normal 3" xfId="5"/>
    <cellStyle name="Normal 4" xfId="6"/>
    <cellStyle name="Normal 5" xfId="7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C4C4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The kACE feed: which tenors are posted as pillars, and the ATM bid/offer</t>
        </is>
      </c>
    </row>
    <row r="2">
      <c r="A2" t="inlineStr">
        <is>
          <t># width at each, in volatility points.  Read by volkit/kace.py.</t>
        </is>
      </c>
    </row>
    <row r="3">
      <c r="A3" t="inlineStr">
        <is>
          <t>#</t>
        </is>
      </c>
    </row>
    <row r="4">
      <c r="A4" t="inlineStr">
        <is>
          <t># One row per tenor -- those are the pillars posted, so a tab with no rows</t>
        </is>
      </c>
    </row>
    <row r="5">
      <c r="A5" t="inlineStr">
        <is>
          <t># cannot be posted, and a tenor listed here with no wing marks in the</t>
        </is>
      </c>
    </row>
    <row r="6">
      <c r="A6" t="inlineStr">
        <is>
          <t># workbook is refused by name.  O/N is the one-day option and borrows the</t>
        </is>
      </c>
    </row>
    <row r="7">
      <c r="A7" t="inlineStr">
        <is>
          <t># shortest quoted tenor's wings.</t>
        </is>
      </c>
    </row>
    <row r="8">
      <c r="A8" t="inlineStr">
        <is>
          <t>#</t>
        </is>
      </c>
    </row>
    <row r="9">
      <c r="A9" t="inlineStr">
        <is>
          <t># One column per spreading TIER: 'default', plus whatever else the desk</t>
        </is>
      </c>
    </row>
    <row r="10">
      <c r="A10" t="inlineStr">
        <is>
          <t># names.  A tier is a quoting policy and not a currency -- the pair is</t>
        </is>
      </c>
    </row>
    <row r="11">
      <c r="A11" t="inlineStr">
        <is>
          <t># chosen on the kACE feed screen beside the tier -- and a cell a tier</t>
        </is>
      </c>
    </row>
    <row r="12">
      <c r="A12" t="inlineStr">
        <is>
          <t># leaves blank takes 'default' for that tenor.  Tiers are added, edited</t>
        </is>
      </c>
    </row>
    <row r="13">
      <c r="A13" t="inlineStr">
        <is>
          <t># and removed in the Config window, and reach this file with the marks.</t>
        </is>
      </c>
    </row>
    <row r="14">
      <c r="A14" t="inlineStr">
        <is>
          <t>#</t>
        </is>
      </c>
    </row>
    <row r="15">
      <c r="A15" t="inlineStr">
        <is>
          <t># A day between two pillars takes the spread of the earlier one; a day before</t>
        </is>
      </c>
    </row>
    <row r="16">
      <c r="A16" t="inlineStr">
        <is>
          <t># the O/N expiry takes O/N's.  The 'default' column is the USDCNH sheet's</t>
        </is>
      </c>
    </row>
    <row r="17">
      <c r="A17" t="inlineStr">
        <is>
          <t># column L, which is where this table started.</t>
        </is>
      </c>
    </row>
    <row r="18">
      <c r="A18" t="inlineStr">
        <is>
          <t>tenor</t>
        </is>
      </c>
      <c r="B18" t="inlineStr">
        <is>
          <t>default</t>
        </is>
      </c>
      <c r="C18" t="inlineStr">
        <is>
          <t>wide</t>
        </is>
      </c>
      <c r="D18" t="inlineStr">
        <is>
          <t>thin</t>
        </is>
      </c>
      <c r="E18" t="inlineStr">
        <is>
          <t>test</t>
        </is>
      </c>
      <c r="F18" t="inlineStr">
        <is>
          <t>note</t>
        </is>
      </c>
    </row>
    <row r="19">
      <c r="A19" t="inlineStr">
        <is>
          <t>O/N</t>
        </is>
      </c>
      <c r="B19" t="n">
        <v>1</v>
      </c>
      <c r="C19" t="n">
        <v>1.5</v>
      </c>
      <c r="D19" t="n">
        <v>0.6</v>
      </c>
      <c r="E19" t="n">
        <v>0.1</v>
      </c>
    </row>
    <row r="20">
      <c r="A20" t="inlineStr">
        <is>
          <t>1W</t>
        </is>
      </c>
      <c r="B20" t="n">
        <v>0.8</v>
      </c>
      <c r="C20" t="n">
        <v>1.2</v>
      </c>
      <c r="D20" t="n">
        <v>0.5</v>
      </c>
      <c r="E20" t="n">
        <v>0.1</v>
      </c>
    </row>
    <row r="21">
      <c r="A21" t="inlineStr">
        <is>
          <t>2W</t>
        </is>
      </c>
      <c r="B21" t="n">
        <v>0.6</v>
      </c>
      <c r="C21" t="n">
        <v>0.9</v>
      </c>
      <c r="D21" t="n">
        <v>0.4</v>
      </c>
      <c r="E21" t="n">
        <v>0.1</v>
      </c>
    </row>
    <row r="22">
      <c r="A22" t="inlineStr">
        <is>
          <t>1M</t>
        </is>
      </c>
      <c r="B22" t="n">
        <v>0.4</v>
      </c>
      <c r="C22" t="n">
        <v>0.6</v>
      </c>
      <c r="D22" t="n">
        <v>0.25</v>
      </c>
      <c r="E22" t="n">
        <v>0.1</v>
      </c>
    </row>
    <row r="23">
      <c r="A23" t="inlineStr">
        <is>
          <t>2M</t>
        </is>
      </c>
      <c r="B23" t="n">
        <v>0.3</v>
      </c>
      <c r="C23" t="n">
        <v>0.45</v>
      </c>
      <c r="D23" t="n">
        <v>0.2</v>
      </c>
      <c r="E23" t="n">
        <v>0.1</v>
      </c>
    </row>
    <row r="24">
      <c r="A24" t="inlineStr">
        <is>
          <t>3M</t>
        </is>
      </c>
      <c r="B24" t="n">
        <v>0.3</v>
      </c>
      <c r="C24" t="n">
        <v>0.45</v>
      </c>
      <c r="D24" t="n">
        <v>0.2</v>
      </c>
      <c r="E24" t="n">
        <v>0.1</v>
      </c>
    </row>
    <row r="25">
      <c r="A25" t="inlineStr">
        <is>
          <t>6M</t>
        </is>
      </c>
      <c r="B25" t="n">
        <v>0.2</v>
      </c>
      <c r="C25" t="n">
        <v>0.3</v>
      </c>
      <c r="D25" t="n">
        <v>0.15</v>
      </c>
      <c r="E25" t="n">
        <v>0.1</v>
      </c>
    </row>
    <row r="26">
      <c r="A26" t="inlineStr">
        <is>
          <t>9M</t>
        </is>
      </c>
      <c r="B26" t="n">
        <v>0.2</v>
      </c>
      <c r="C26" t="n">
        <v>0.3</v>
      </c>
      <c r="D26" t="n">
        <v>0.15</v>
      </c>
      <c r="E26" t="n">
        <v>0.1</v>
      </c>
    </row>
    <row r="27">
      <c r="A27" t="inlineStr">
        <is>
          <t>1Y</t>
        </is>
      </c>
      <c r="B27" t="n">
        <v>0.2</v>
      </c>
      <c r="C27" t="n">
        <v>0.3</v>
      </c>
      <c r="D27" t="n">
        <v>0.15</v>
      </c>
      <c r="E27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25"/>
  <sheetViews>
    <sheetView workbookViewId="0">
      <selection activeCell="D8" sqref="D8"/>
    </sheetView>
  </sheetViews>
  <sheetFormatPr baseColWidth="8" defaultRowHeight="12.75"/>
  <sheetData>
    <row r="1">
      <c r="A1" t="inlineStr">
        <is>
          <t>PAIRS</t>
        </is>
      </c>
      <c r="B1" t="inlineStr">
        <is>
          <t>TENORS</t>
        </is>
      </c>
    </row>
    <row r="2">
      <c r="A2" t="inlineStr">
        <is>
          <t>USDCNH</t>
        </is>
      </c>
      <c r="B2" t="inlineStr">
        <is>
          <t>1d</t>
        </is>
      </c>
    </row>
    <row r="3">
      <c r="A3" t="inlineStr">
        <is>
          <t>USDCNY</t>
        </is>
      </c>
      <c r="B3" t="inlineStr">
        <is>
          <t>1w</t>
        </is>
      </c>
    </row>
    <row r="4">
      <c r="A4" t="inlineStr">
        <is>
          <t>USDJPY</t>
        </is>
      </c>
      <c r="B4" t="inlineStr">
        <is>
          <t>2w</t>
        </is>
      </c>
    </row>
    <row r="5">
      <c r="A5" t="inlineStr">
        <is>
          <t>AUDUSD</t>
        </is>
      </c>
      <c r="B5" t="inlineStr">
        <is>
          <t>1m</t>
        </is>
      </c>
    </row>
    <row r="6">
      <c r="A6" t="inlineStr">
        <is>
          <t>EURUSD</t>
        </is>
      </c>
      <c r="B6" t="inlineStr">
        <is>
          <t>2m</t>
        </is>
      </c>
    </row>
    <row r="7">
      <c r="A7" t="inlineStr">
        <is>
          <t>GBPUSD</t>
        </is>
      </c>
      <c r="B7" t="inlineStr">
        <is>
          <t>3m</t>
        </is>
      </c>
    </row>
    <row r="8">
      <c r="A8" t="inlineStr">
        <is>
          <t>NZDUSD</t>
        </is>
      </c>
      <c r="B8" t="inlineStr">
        <is>
          <t>6m</t>
        </is>
      </c>
    </row>
    <row r="9">
      <c r="A9" t="inlineStr">
        <is>
          <t>USDCHF</t>
        </is>
      </c>
      <c r="B9" t="inlineStr">
        <is>
          <t>9m</t>
        </is>
      </c>
    </row>
    <row r="10">
      <c r="A10" t="inlineStr">
        <is>
          <t>USDCAD</t>
        </is>
      </c>
      <c r="B10" t="inlineStr">
        <is>
          <t>1y</t>
        </is>
      </c>
    </row>
    <row r="11">
      <c r="A11" t="inlineStr">
        <is>
          <t>USDSGD</t>
        </is>
      </c>
    </row>
    <row r="12">
      <c r="A12" t="inlineStr">
        <is>
          <t>USDHKD</t>
        </is>
      </c>
    </row>
    <row r="13">
      <c r="A13" t="inlineStr">
        <is>
          <t>XAUUSD</t>
        </is>
      </c>
    </row>
    <row r="14">
      <c r="A14" t="inlineStr">
        <is>
          <t>XAGUSD</t>
        </is>
      </c>
    </row>
    <row r="15">
      <c r="A15" t="inlineStr">
        <is>
          <t>AUDJPY</t>
        </is>
      </c>
    </row>
    <row r="16">
      <c r="A16" t="inlineStr">
        <is>
          <t>EURJPY</t>
        </is>
      </c>
    </row>
    <row r="17">
      <c r="A17" t="inlineStr">
        <is>
          <t>EURCNH</t>
        </is>
      </c>
    </row>
    <row r="18">
      <c r="A18" t="inlineStr">
        <is>
          <t>GBPNZD</t>
        </is>
      </c>
    </row>
    <row r="19">
      <c r="A19" t="inlineStr">
        <is>
          <t>EURGBP</t>
        </is>
      </c>
    </row>
    <row r="20">
      <c r="A20" t="inlineStr">
        <is>
          <t>GBPCNH</t>
        </is>
      </c>
    </row>
    <row r="21">
      <c r="A21" t="inlineStr">
        <is>
          <t>GBPJPY</t>
        </is>
      </c>
    </row>
    <row r="22">
      <c r="A22" t="inlineStr">
        <is>
          <t>CHFJPY</t>
        </is>
      </c>
    </row>
    <row r="23">
      <c r="A23" t="inlineStr">
        <is>
          <t>AUDNZD</t>
        </is>
      </c>
    </row>
    <row r="24">
      <c r="A24" t="inlineStr">
        <is>
          <t>EURCHF</t>
        </is>
      </c>
    </row>
    <row r="25">
      <c r="A25" t="inlineStr">
        <is>
          <t>NZDCAD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E11"/>
  <sheetViews>
    <sheetView workbookViewId="0">
      <selection activeCell="B2" sqref="B2:E11"/>
    </sheetView>
  </sheetViews>
  <sheetFormatPr baseColWidth="8" defaultRowHeight="12.75"/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" t="n">
        <v>0.395</v>
      </c>
      <c r="C2" s="9" t="n">
        <v>0.1225</v>
      </c>
      <c r="D2" s="9" t="n">
        <v>-0.045</v>
      </c>
      <c r="E2" s="3" t="n">
        <v>-0.0925</v>
      </c>
    </row>
    <row r="3">
      <c r="A3" t="inlineStr">
        <is>
          <t>2W</t>
        </is>
      </c>
      <c r="B3" s="3" t="n">
        <v>0.4025</v>
      </c>
      <c r="C3" s="9" t="n">
        <v>0.1275</v>
      </c>
      <c r="D3" s="9" t="n">
        <v>-0.105</v>
      </c>
      <c r="E3" s="3" t="n">
        <v>-0.2075</v>
      </c>
    </row>
    <row r="4">
      <c r="A4" t="inlineStr">
        <is>
          <t>3W</t>
        </is>
      </c>
      <c r="B4" s="3" t="n">
        <v>0.42</v>
      </c>
      <c r="C4" s="9" t="n">
        <v>0.13</v>
      </c>
      <c r="D4" s="9" t="n">
        <v>-0.18</v>
      </c>
      <c r="E4" s="3" t="n">
        <v>-0.3475</v>
      </c>
    </row>
    <row r="5">
      <c r="A5" t="inlineStr">
        <is>
          <t>1M</t>
        </is>
      </c>
      <c r="B5" s="3" t="n">
        <v>0.4225</v>
      </c>
      <c r="C5" s="9" t="n">
        <v>0.13</v>
      </c>
      <c r="D5" s="9" t="n">
        <v>-0.2275</v>
      </c>
      <c r="E5" s="3" t="n">
        <v>-0.43</v>
      </c>
    </row>
    <row r="6">
      <c r="A6" t="inlineStr">
        <is>
          <t>2M</t>
        </is>
      </c>
      <c r="B6" s="3" t="n">
        <v>0.485</v>
      </c>
      <c r="C6" s="9" t="n">
        <v>0.1475</v>
      </c>
      <c r="D6" s="9" t="n">
        <v>-0.32</v>
      </c>
      <c r="E6" s="3" t="n">
        <v>-0.63</v>
      </c>
    </row>
    <row r="7">
      <c r="A7" t="inlineStr">
        <is>
          <t>3M</t>
        </is>
      </c>
      <c r="B7" s="3" t="n">
        <v>0.5600000000000001</v>
      </c>
      <c r="C7" s="9" t="n">
        <v>0.1675</v>
      </c>
      <c r="D7" s="9" t="n">
        <v>-0.4175</v>
      </c>
      <c r="E7" s="3" t="n">
        <v>-0.825</v>
      </c>
    </row>
    <row r="8">
      <c r="A8" t="inlineStr">
        <is>
          <t>6M</t>
        </is>
      </c>
      <c r="B8" s="3" t="n">
        <v>0.715</v>
      </c>
      <c r="C8" s="9" t="n">
        <v>0.21</v>
      </c>
      <c r="D8" s="9" t="n">
        <v>-0.5575</v>
      </c>
      <c r="E8" s="3" t="n">
        <v>-1.1075</v>
      </c>
    </row>
    <row r="9">
      <c r="A9" t="inlineStr">
        <is>
          <t>9M</t>
        </is>
      </c>
      <c r="B9" s="3" t="n">
        <v>0.8325</v>
      </c>
      <c r="C9" s="9" t="n">
        <v>0.2425</v>
      </c>
      <c r="D9" s="9" t="n">
        <v>-0.645</v>
      </c>
      <c r="E9" s="3" t="n">
        <v>-1.2775</v>
      </c>
    </row>
    <row r="10">
      <c r="A10" t="inlineStr">
        <is>
          <t>1Y</t>
        </is>
      </c>
      <c r="B10" s="3" t="n">
        <v>0.945</v>
      </c>
      <c r="C10" s="9" t="n">
        <v>0.2825</v>
      </c>
      <c r="D10" s="9" t="n">
        <v>-0.7425</v>
      </c>
      <c r="E10" s="3" t="n">
        <v>-1.445</v>
      </c>
    </row>
    <row r="11">
      <c r="A11" t="inlineStr">
        <is>
          <t>2Y</t>
        </is>
      </c>
      <c r="B11" s="3" t="n">
        <v>1.1375</v>
      </c>
      <c r="C11" s="9" t="n">
        <v>0.3325</v>
      </c>
      <c r="D11" s="9" t="n">
        <v>-0.855</v>
      </c>
      <c r="E11" s="3" t="n">
        <v>-1.6875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E11"/>
  <sheetViews>
    <sheetView workbookViewId="0">
      <selection activeCell="J13" sqref="J13"/>
    </sheetView>
  </sheetViews>
  <sheetFormatPr baseColWidth="8" defaultRowHeight="12.75"/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" t="n">
        <v>0.225</v>
      </c>
      <c r="C2" s="11" t="n">
        <v>0.0675</v>
      </c>
      <c r="D2" s="11" t="n">
        <v>0.0625</v>
      </c>
      <c r="E2" s="3" t="n">
        <v>0.1</v>
      </c>
    </row>
    <row r="3">
      <c r="A3" t="inlineStr">
        <is>
          <t>2W</t>
        </is>
      </c>
      <c r="B3" s="3" t="n">
        <v>0.2325</v>
      </c>
      <c r="C3" s="11" t="n">
        <v>0.07000000000000001</v>
      </c>
      <c r="D3" s="11" t="n">
        <v>0.0575</v>
      </c>
      <c r="E3" s="3" t="n">
        <v>0.0975</v>
      </c>
    </row>
    <row r="4">
      <c r="A4" t="inlineStr">
        <is>
          <t>3W</t>
        </is>
      </c>
      <c r="B4" s="3" t="n">
        <v>0.245</v>
      </c>
      <c r="C4" s="11" t="n">
        <v>0.0725</v>
      </c>
      <c r="D4" s="11" t="n">
        <v>0.0575</v>
      </c>
      <c r="E4" s="3" t="n">
        <v>0.0975</v>
      </c>
    </row>
    <row r="5">
      <c r="A5" t="inlineStr">
        <is>
          <t>1M</t>
        </is>
      </c>
      <c r="B5" s="34" t="n">
        <v>0.245</v>
      </c>
      <c r="C5" s="11" t="n">
        <v>0.0725</v>
      </c>
      <c r="D5" s="11" t="n">
        <v>0.0575</v>
      </c>
      <c r="E5" s="3" t="n">
        <v>0.095</v>
      </c>
    </row>
    <row r="6">
      <c r="A6" t="inlineStr">
        <is>
          <t>2M</t>
        </is>
      </c>
      <c r="B6" s="34" t="n">
        <v>0.27</v>
      </c>
      <c r="C6" s="11" t="n">
        <v>0.075</v>
      </c>
      <c r="D6" s="11" t="n">
        <v>0.0525</v>
      </c>
      <c r="E6" s="3" t="n">
        <v>0.095</v>
      </c>
    </row>
    <row r="7">
      <c r="A7" t="inlineStr">
        <is>
          <t>3M</t>
        </is>
      </c>
      <c r="B7" s="3" t="n">
        <v>0.31</v>
      </c>
      <c r="C7" s="11" t="n">
        <v>0.09</v>
      </c>
      <c r="D7" s="11" t="n">
        <v>0.05</v>
      </c>
      <c r="E7" s="3" t="n">
        <v>0.0975</v>
      </c>
    </row>
    <row r="8">
      <c r="A8" t="inlineStr">
        <is>
          <t>6M</t>
        </is>
      </c>
      <c r="B8" s="3" t="n">
        <v>0.3825</v>
      </c>
      <c r="C8" s="11" t="n">
        <v>0.11</v>
      </c>
      <c r="D8" s="11" t="n">
        <v>0.0525</v>
      </c>
      <c r="E8" s="3" t="n">
        <v>0.1025</v>
      </c>
    </row>
    <row r="9">
      <c r="A9" t="inlineStr">
        <is>
          <t>9M</t>
        </is>
      </c>
      <c r="B9" s="3" t="n">
        <v>0.4275</v>
      </c>
      <c r="C9" s="11" t="n">
        <v>0.1175</v>
      </c>
      <c r="D9" s="11" t="n">
        <v>0.055</v>
      </c>
      <c r="E9" s="3" t="n">
        <v>0.105</v>
      </c>
    </row>
    <row r="10">
      <c r="A10" t="inlineStr">
        <is>
          <t>1Y</t>
        </is>
      </c>
      <c r="B10" s="3" t="n">
        <v>0.46</v>
      </c>
      <c r="C10" s="11" t="n">
        <v>0.1325</v>
      </c>
      <c r="D10" s="11" t="n">
        <v>0.06</v>
      </c>
      <c r="E10" s="3" t="n">
        <v>0.1075</v>
      </c>
    </row>
    <row r="11">
      <c r="A11" t="inlineStr">
        <is>
          <t>2Y</t>
        </is>
      </c>
      <c r="B11" s="3" t="n">
        <v>0.435</v>
      </c>
      <c r="C11" s="11" t="n">
        <v>0.125</v>
      </c>
      <c r="D11" s="11" t="n">
        <v>0.05</v>
      </c>
      <c r="E11" s="3" t="n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E11"/>
  <sheetViews>
    <sheetView workbookViewId="0">
      <selection activeCell="M24" sqref="M24"/>
    </sheetView>
  </sheetViews>
  <sheetFormatPr baseColWidth="8" defaultRowHeight="12.75"/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" t="n">
        <v>0.385</v>
      </c>
      <c r="C2" s="9" t="n">
        <v>0.1175</v>
      </c>
      <c r="D2" s="9" t="n">
        <v>0.0375</v>
      </c>
      <c r="E2" s="3" t="n">
        <v>0.05</v>
      </c>
    </row>
    <row r="3">
      <c r="A3" t="inlineStr">
        <is>
          <t>2W</t>
        </is>
      </c>
      <c r="B3" s="3" t="n">
        <v>0.4025</v>
      </c>
      <c r="C3" s="9" t="n">
        <v>0.12</v>
      </c>
      <c r="D3" s="9" t="n">
        <v>-0.05</v>
      </c>
      <c r="E3" s="3" t="n">
        <v>-0.0975</v>
      </c>
    </row>
    <row r="4">
      <c r="A4" t="inlineStr">
        <is>
          <t>3W</t>
        </is>
      </c>
      <c r="B4" s="3" t="n">
        <v>0.435</v>
      </c>
      <c r="C4" s="9" t="n">
        <v>0.125</v>
      </c>
      <c r="D4" s="9" t="n">
        <v>-0.1225</v>
      </c>
      <c r="E4" s="3" t="n">
        <v>-0.2425</v>
      </c>
    </row>
    <row r="5">
      <c r="A5" t="inlineStr">
        <is>
          <t>1M</t>
        </is>
      </c>
      <c r="B5" s="3" t="n">
        <v>0.45</v>
      </c>
      <c r="C5" s="9" t="n">
        <v>0.1275</v>
      </c>
      <c r="D5" s="9" t="n">
        <v>-0.165</v>
      </c>
      <c r="E5" s="3" t="n">
        <v>-0.3275</v>
      </c>
    </row>
    <row r="6">
      <c r="A6" t="inlineStr">
        <is>
          <t>2M</t>
        </is>
      </c>
      <c r="B6" s="3" t="n">
        <v>0.5325</v>
      </c>
      <c r="C6" s="9" t="n">
        <v>0.15</v>
      </c>
      <c r="D6" s="9" t="n">
        <v>-0.3725</v>
      </c>
      <c r="E6" s="3" t="n">
        <v>-0.7225</v>
      </c>
    </row>
    <row r="7">
      <c r="A7" t="inlineStr">
        <is>
          <t>3M</t>
        </is>
      </c>
      <c r="B7" s="3" t="n">
        <v>0.6025</v>
      </c>
      <c r="C7" s="9" t="n">
        <v>0.1725</v>
      </c>
      <c r="D7" s="9" t="n">
        <v>-0.48</v>
      </c>
      <c r="E7" s="3" t="n">
        <v>-0.9225</v>
      </c>
    </row>
    <row r="8">
      <c r="A8" t="inlineStr">
        <is>
          <t>6M</t>
        </is>
      </c>
      <c r="B8" s="3" t="n">
        <v>0.7725</v>
      </c>
      <c r="C8" s="9" t="n">
        <v>0.22</v>
      </c>
      <c r="D8" s="9" t="n">
        <v>-0.65</v>
      </c>
      <c r="E8" s="3" t="n">
        <v>-1.2725</v>
      </c>
    </row>
    <row r="9">
      <c r="A9" t="inlineStr">
        <is>
          <t>9M</t>
        </is>
      </c>
      <c r="B9" s="3" t="n">
        <v>0.9399999999999999</v>
      </c>
      <c r="C9" s="9" t="n">
        <v>0.2625</v>
      </c>
      <c r="D9" s="9" t="n">
        <v>-0.8075</v>
      </c>
      <c r="E9" s="3" t="n">
        <v>-1.59</v>
      </c>
    </row>
    <row r="10">
      <c r="A10" t="inlineStr">
        <is>
          <t>1Y</t>
        </is>
      </c>
      <c r="B10" s="3" t="n">
        <v>1.07</v>
      </c>
      <c r="C10" s="9" t="n">
        <v>0.315</v>
      </c>
      <c r="D10" s="9" t="n">
        <v>-0.9625</v>
      </c>
      <c r="E10" s="3" t="n">
        <v>-1.845</v>
      </c>
    </row>
    <row r="11">
      <c r="A11" t="inlineStr">
        <is>
          <t>2Y</t>
        </is>
      </c>
      <c r="B11" s="3" t="n">
        <v>1.115</v>
      </c>
      <c r="C11" s="9" t="n">
        <v>0.3175</v>
      </c>
      <c r="D11" s="9" t="n">
        <v>-1.0325</v>
      </c>
      <c r="E11" s="3" t="n">
        <v>-2.0025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E11"/>
  <sheetViews>
    <sheetView workbookViewId="0">
      <selection activeCell="A1" sqref="A1:E11"/>
    </sheetView>
  </sheetViews>
  <sheetFormatPr baseColWidth="8" defaultRowHeight="12.75"/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">
        <f>C2*3.75</f>
        <v>1.209375</v>
      </c>
      <c r="C2" t="n">
        <v>0.3225</v>
      </c>
      <c r="D2" t="n">
        <v>0.2625</v>
      </c>
      <c r="E2" s="3">
        <f>D2*1.3</f>
        <v>0.34125000000000005</v>
      </c>
    </row>
    <row r="3">
      <c r="A3" t="inlineStr">
        <is>
          <t>2W</t>
        </is>
      </c>
      <c r="B3" s="3">
        <f>C3*3.75</f>
        <v>1.265625</v>
      </c>
      <c r="C3" t="n">
        <v>0.3375</v>
      </c>
      <c r="D3" t="n">
        <v>0.2775</v>
      </c>
      <c r="E3" s="3">
        <f>D3*1.8</f>
        <v>0.49950000000000006</v>
      </c>
    </row>
    <row r="4">
      <c r="A4" t="inlineStr">
        <is>
          <t>3W</t>
        </is>
      </c>
      <c r="B4" s="3">
        <f>C4*3.75</f>
        <v>1.284375</v>
      </c>
      <c r="C4" t="n">
        <v>0.3425</v>
      </c>
      <c r="D4" t="n">
        <v>0.08500000000000001</v>
      </c>
      <c r="E4" s="3">
        <f>D4*1.8</f>
        <v>0.15300000000000002</v>
      </c>
    </row>
    <row r="5">
      <c r="A5" t="inlineStr">
        <is>
          <t>1M</t>
        </is>
      </c>
      <c r="B5" s="3">
        <f>C5*3.75</f>
        <v>1.340625</v>
      </c>
      <c r="C5" t="n">
        <v>0.3575</v>
      </c>
      <c r="D5" t="n">
        <v>0.1975</v>
      </c>
      <c r="E5" s="3">
        <f>D5*1.8</f>
        <v>0.35550000000000004</v>
      </c>
    </row>
    <row r="6">
      <c r="A6" t="inlineStr">
        <is>
          <t>2M</t>
        </is>
      </c>
      <c r="B6" s="3">
        <f>C6*3.75</f>
        <v>1.471875</v>
      </c>
      <c r="C6" t="n">
        <v>0.3925</v>
      </c>
      <c r="D6" t="n">
        <v>0.165</v>
      </c>
      <c r="E6" s="3">
        <f>D6*1.8</f>
        <v>0.29700000000000004</v>
      </c>
    </row>
    <row r="7">
      <c r="A7" t="inlineStr">
        <is>
          <t>3M</t>
        </is>
      </c>
      <c r="B7" s="3">
        <f>C7*3.85</f>
        <v>1.59775</v>
      </c>
      <c r="C7" t="n">
        <v>0.415</v>
      </c>
      <c r="D7" t="n">
        <v>0.235</v>
      </c>
      <c r="E7" s="3">
        <f>D7*1.8</f>
        <v>0.423</v>
      </c>
    </row>
    <row r="8">
      <c r="A8" t="inlineStr">
        <is>
          <t>6M</t>
        </is>
      </c>
      <c r="B8" s="3">
        <f>C8*3.85</f>
        <v>1.7613750000000001</v>
      </c>
      <c r="C8" t="n">
        <v>0.4575</v>
      </c>
      <c r="D8" t="n">
        <v>0.3225</v>
      </c>
      <c r="E8" s="3">
        <f>D8*1.8</f>
        <v>0.5805</v>
      </c>
    </row>
    <row r="9">
      <c r="A9" t="inlineStr">
        <is>
          <t>9M</t>
        </is>
      </c>
      <c r="B9" s="3">
        <f>C9*3.85</f>
        <v>1.8479999999999999</v>
      </c>
      <c r="C9" t="n">
        <v>0.48</v>
      </c>
      <c r="D9" t="n">
        <v>0.35</v>
      </c>
      <c r="E9" s="3">
        <f>D9*1.8</f>
        <v>0.63</v>
      </c>
    </row>
    <row r="10">
      <c r="A10" t="inlineStr">
        <is>
          <t>1Y</t>
        </is>
      </c>
      <c r="B10" s="3">
        <f>C10*4</f>
        <v>2.03</v>
      </c>
      <c r="C10" t="n">
        <v>0.5075</v>
      </c>
      <c r="D10" t="n">
        <v>0.3625</v>
      </c>
      <c r="E10" s="3">
        <f>D10*1.8</f>
        <v>0.6525</v>
      </c>
    </row>
    <row r="11">
      <c r="A11" t="inlineStr">
        <is>
          <t>2Y</t>
        </is>
      </c>
      <c r="B11" s="3">
        <f>C11*4.1</f>
        <v>2.1319999999999997</v>
      </c>
      <c r="C11" t="n">
        <v>0.52</v>
      </c>
      <c r="D11" t="n">
        <v>0.315</v>
      </c>
      <c r="E11" s="3">
        <f>D11*1.8</f>
        <v>0.5670000000000001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1">
    <outlinePr summaryBelow="1" summaryRight="1"/>
    <pageSetUpPr/>
  </sheetPr>
  <dimension ref="A1:E9"/>
  <sheetViews>
    <sheetView workbookViewId="0">
      <selection activeCell="I11" sqref="I11"/>
    </sheetView>
  </sheetViews>
  <sheetFormatPr baseColWidth="8" defaultRowHeight="12.75"/>
  <cols>
    <col width="9.140625" customWidth="1" style="12" min="1" max="4"/>
    <col width="9.140625" customWidth="1" style="12" min="5" max="16384"/>
  </cols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" t="n">
        <v>0.4425</v>
      </c>
      <c r="C2" t="n">
        <v>0.135</v>
      </c>
      <c r="D2" t="n">
        <v>-0.2975</v>
      </c>
      <c r="E2" s="3" t="n">
        <v>-0.5375</v>
      </c>
    </row>
    <row r="3">
      <c r="A3" t="inlineStr">
        <is>
          <t>2W</t>
        </is>
      </c>
      <c r="B3" s="3" t="n">
        <v>0.4625</v>
      </c>
      <c r="C3" t="n">
        <v>0.1375</v>
      </c>
      <c r="D3" t="n">
        <v>-0.325</v>
      </c>
      <c r="E3" s="3" t="n">
        <v>-0.605</v>
      </c>
    </row>
    <row r="4">
      <c r="A4" t="inlineStr">
        <is>
          <t>1M</t>
        </is>
      </c>
      <c r="B4" s="3" t="n">
        <v>0.5275</v>
      </c>
      <c r="C4" t="n">
        <v>0.1625</v>
      </c>
      <c r="D4" t="n">
        <v>-0.41</v>
      </c>
      <c r="E4" s="3" t="n">
        <v>-0.7725</v>
      </c>
    </row>
    <row r="5">
      <c r="A5" t="inlineStr">
        <is>
          <t>2M</t>
        </is>
      </c>
      <c r="B5" s="3" t="n">
        <v>0.58</v>
      </c>
      <c r="C5" t="n">
        <v>0.17</v>
      </c>
      <c r="D5" t="n">
        <v>-0.48</v>
      </c>
      <c r="E5" s="3" t="n">
        <v>-0.9075</v>
      </c>
    </row>
    <row r="6">
      <c r="A6" t="inlineStr">
        <is>
          <t>3M</t>
        </is>
      </c>
      <c r="B6" s="3" t="n">
        <v>0.6850000000000001</v>
      </c>
      <c r="C6" t="n">
        <v>0.2025</v>
      </c>
      <c r="D6" t="n">
        <v>-0.5725</v>
      </c>
      <c r="E6" s="3" t="n">
        <v>-1.095</v>
      </c>
    </row>
    <row r="7">
      <c r="A7" t="inlineStr">
        <is>
          <t>6M</t>
        </is>
      </c>
      <c r="B7" s="3" t="n">
        <v>0.8025</v>
      </c>
      <c r="C7" t="n">
        <v>0.225</v>
      </c>
      <c r="D7" t="n">
        <v>-0.655</v>
      </c>
      <c r="E7" s="3" t="n">
        <v>-1.2775</v>
      </c>
    </row>
    <row r="8">
      <c r="A8" t="inlineStr">
        <is>
          <t>9M</t>
        </is>
      </c>
      <c r="B8" s="3" t="n">
        <v>0.9075</v>
      </c>
      <c r="C8" t="n">
        <v>0.255</v>
      </c>
      <c r="D8" t="n">
        <v>-0.73</v>
      </c>
      <c r="E8" s="3" t="n">
        <v>-1.4225</v>
      </c>
    </row>
    <row r="9">
      <c r="A9" t="inlineStr">
        <is>
          <t>1Y</t>
        </is>
      </c>
      <c r="B9" s="3" t="n">
        <v>0.9825</v>
      </c>
      <c r="C9" t="n">
        <v>0.275</v>
      </c>
      <c r="D9" t="n">
        <v>-0.785</v>
      </c>
      <c r="E9" s="3" t="n">
        <v>-1.5425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7">
    <outlinePr summaryBelow="1" summaryRight="1"/>
    <pageSetUpPr/>
  </sheetPr>
  <dimension ref="A1:E11"/>
  <sheetViews>
    <sheetView workbookViewId="0">
      <selection activeCell="K27" sqref="K27"/>
    </sheetView>
  </sheetViews>
  <sheetFormatPr baseColWidth="8" defaultRowHeight="12.75"/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" t="n">
        <v>0.31</v>
      </c>
      <c r="C2" t="n">
        <v>0.08500000000000001</v>
      </c>
      <c r="D2" t="n">
        <v>0.2375</v>
      </c>
      <c r="E2" s="3" t="n">
        <v>0.46</v>
      </c>
    </row>
    <row r="3">
      <c r="A3" t="inlineStr">
        <is>
          <t>2W</t>
        </is>
      </c>
      <c r="B3" s="3" t="n">
        <v>0.33</v>
      </c>
      <c r="C3" t="n">
        <v>0.09</v>
      </c>
      <c r="D3" t="n">
        <v>0.26</v>
      </c>
      <c r="E3" s="3" t="n">
        <v>0.49</v>
      </c>
    </row>
    <row r="4">
      <c r="A4" t="inlineStr">
        <is>
          <t>3W</t>
        </is>
      </c>
      <c r="B4" s="3" t="n">
        <v>0.34</v>
      </c>
      <c r="C4" t="n">
        <v>0.0975</v>
      </c>
      <c r="D4" t="n">
        <v>0.295</v>
      </c>
      <c r="E4" s="3" t="n">
        <v>0.5525</v>
      </c>
    </row>
    <row r="5">
      <c r="A5" t="inlineStr">
        <is>
          <t>1M</t>
        </is>
      </c>
      <c r="B5" s="3" t="n">
        <v>0.345</v>
      </c>
      <c r="C5" t="n">
        <v>0.0975</v>
      </c>
      <c r="D5" t="n">
        <v>0.3125</v>
      </c>
      <c r="E5" s="3" t="n">
        <v>0.585</v>
      </c>
    </row>
    <row r="6">
      <c r="A6" t="inlineStr">
        <is>
          <t>2M</t>
        </is>
      </c>
      <c r="B6" s="3" t="n">
        <v>0.3775</v>
      </c>
      <c r="C6" t="n">
        <v>0.11</v>
      </c>
      <c r="D6" t="n">
        <v>0.4225</v>
      </c>
      <c r="E6" s="3" t="n">
        <v>0.785</v>
      </c>
    </row>
    <row r="7">
      <c r="A7" t="inlineStr">
        <is>
          <t>3M</t>
        </is>
      </c>
      <c r="B7" s="3" t="n">
        <v>0.435</v>
      </c>
      <c r="C7" t="n">
        <v>0.1275</v>
      </c>
      <c r="D7" t="n">
        <v>0.5675</v>
      </c>
      <c r="E7" s="3" t="n">
        <v>1.08</v>
      </c>
    </row>
    <row r="8">
      <c r="A8" t="inlineStr">
        <is>
          <t>6M</t>
        </is>
      </c>
      <c r="B8" s="3" t="n">
        <v>0.5275</v>
      </c>
      <c r="C8" t="n">
        <v>0.155</v>
      </c>
      <c r="D8" t="n">
        <v>0.7275</v>
      </c>
      <c r="E8" s="3" t="n">
        <v>1.4025</v>
      </c>
    </row>
    <row r="9">
      <c r="A9" t="inlineStr">
        <is>
          <t>9M</t>
        </is>
      </c>
      <c r="B9" s="3" t="n">
        <v>0.63</v>
      </c>
      <c r="C9" t="n">
        <v>0.1825</v>
      </c>
      <c r="D9" t="n">
        <v>0.85</v>
      </c>
      <c r="E9" s="3" t="n">
        <v>1.6725</v>
      </c>
    </row>
    <row r="10">
      <c r="A10" t="inlineStr">
        <is>
          <t>1Y</t>
        </is>
      </c>
      <c r="B10" s="3" t="n">
        <v>0.7325</v>
      </c>
      <c r="C10" t="n">
        <v>0.2225</v>
      </c>
      <c r="D10" t="n">
        <v>1</v>
      </c>
      <c r="E10" s="3" t="n">
        <v>1.9425</v>
      </c>
    </row>
    <row r="11">
      <c r="A11" t="inlineStr">
        <is>
          <t>2Y</t>
        </is>
      </c>
      <c r="B11" s="3" t="n">
        <v>0.8175</v>
      </c>
      <c r="C11" t="n">
        <v>0.2525</v>
      </c>
      <c r="D11" t="n">
        <v>1.05</v>
      </c>
      <c r="E11" s="3" t="n">
        <v>2.0275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30">
    <outlinePr summaryBelow="1" summaryRight="1"/>
    <pageSetUpPr/>
  </sheetPr>
  <dimension ref="A1:E10"/>
  <sheetViews>
    <sheetView workbookViewId="0">
      <selection activeCell="J24" sqref="J24"/>
    </sheetView>
  </sheetViews>
  <sheetFormatPr baseColWidth="8" defaultRowHeight="12.75"/>
  <cols>
    <col width="9.140625" customWidth="1" style="12" min="1" max="4"/>
    <col width="9.140625" customWidth="1" style="12" min="5" max="16384"/>
  </cols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" t="n">
        <v>0.3775</v>
      </c>
      <c r="C2" s="9" t="n">
        <v>0.1125</v>
      </c>
      <c r="D2" s="9" t="n">
        <v>-0.08749999999999999</v>
      </c>
      <c r="E2" s="3" t="n">
        <v>-0.1575</v>
      </c>
    </row>
    <row r="3">
      <c r="A3" t="inlineStr">
        <is>
          <t>2W</t>
        </is>
      </c>
      <c r="B3" s="3" t="n">
        <v>0.385</v>
      </c>
      <c r="C3" s="9" t="n">
        <v>0.1125</v>
      </c>
      <c r="D3" s="9" t="n">
        <v>-0.1525</v>
      </c>
      <c r="E3" s="3" t="n">
        <v>-0.2925</v>
      </c>
    </row>
    <row r="4">
      <c r="A4" t="inlineStr">
        <is>
          <t>1M</t>
        </is>
      </c>
      <c r="B4" s="3" t="n">
        <v>0.4075</v>
      </c>
      <c r="C4" s="9" t="n">
        <v>0.1175</v>
      </c>
      <c r="D4" s="9" t="n">
        <v>-0.2575</v>
      </c>
      <c r="E4" s="3" t="n">
        <v>-0.48</v>
      </c>
    </row>
    <row r="5">
      <c r="A5" t="inlineStr">
        <is>
          <t>2M</t>
        </is>
      </c>
      <c r="B5" s="3" t="n">
        <v>0.4625</v>
      </c>
      <c r="C5" s="9" t="n">
        <v>0.13</v>
      </c>
      <c r="D5" s="9" t="n">
        <v>-0.325</v>
      </c>
      <c r="E5" s="3" t="n">
        <v>-0.6125</v>
      </c>
    </row>
    <row r="6">
      <c r="A6" t="inlineStr">
        <is>
          <t>3M</t>
        </is>
      </c>
      <c r="B6" s="3" t="n">
        <v>0.525</v>
      </c>
      <c r="C6" s="9" t="n">
        <v>0.15</v>
      </c>
      <c r="D6" s="9" t="n">
        <v>-0.3875</v>
      </c>
      <c r="E6" s="3" t="n">
        <v>-0.73</v>
      </c>
    </row>
    <row r="7">
      <c r="A7" t="inlineStr">
        <is>
          <t>6M</t>
        </is>
      </c>
      <c r="B7" s="3" t="n">
        <v>0.6075</v>
      </c>
      <c r="C7" s="9" t="n">
        <v>0.1625</v>
      </c>
      <c r="D7" s="9" t="n">
        <v>-0.505</v>
      </c>
      <c r="E7" s="3" t="n">
        <v>-0.9675</v>
      </c>
    </row>
    <row r="8">
      <c r="A8" t="inlineStr">
        <is>
          <t>9M</t>
        </is>
      </c>
      <c r="B8" s="3" t="n">
        <v>0.6825</v>
      </c>
      <c r="C8" s="9" t="n">
        <v>0.1825</v>
      </c>
      <c r="D8" s="9" t="n">
        <v>-0.5649999999999999</v>
      </c>
      <c r="E8" s="3" t="n">
        <v>-1.09</v>
      </c>
    </row>
    <row r="9">
      <c r="A9" t="inlineStr">
        <is>
          <t>1Y</t>
        </is>
      </c>
      <c r="B9" s="3" t="n">
        <v>0.7725</v>
      </c>
      <c r="C9" s="9" t="n">
        <v>0.21</v>
      </c>
      <c r="D9" s="9" t="n">
        <v>-0.64</v>
      </c>
      <c r="E9" s="3" t="n">
        <v>-1.225</v>
      </c>
    </row>
    <row r="10">
      <c r="A10" t="inlineStr">
        <is>
          <t>2Y</t>
        </is>
      </c>
      <c r="B10" s="3" t="n">
        <v>0.89</v>
      </c>
      <c r="C10" s="9" t="n">
        <v>0.2325</v>
      </c>
      <c r="D10" s="9" t="n">
        <v>-0.6775</v>
      </c>
      <c r="E10" s="3" t="n">
        <v>-1.2775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8">
    <outlinePr summaryBelow="1" summaryRight="1"/>
    <pageSetUpPr/>
  </sheetPr>
  <dimension ref="A1:E11"/>
  <sheetViews>
    <sheetView workbookViewId="0">
      <selection activeCell="A1" sqref="A1:E11"/>
    </sheetView>
  </sheetViews>
  <sheetFormatPr baseColWidth="8" defaultRowHeight="12.75"/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">
        <f>C2*3.75</f>
        <v>0.703125</v>
      </c>
      <c r="C2" t="n">
        <v>0.1875</v>
      </c>
      <c r="D2" t="n">
        <v>0.095</v>
      </c>
      <c r="E2" s="3">
        <f>D2*1.3</f>
        <v>0.12350000000000001</v>
      </c>
    </row>
    <row r="3">
      <c r="A3" t="inlineStr">
        <is>
          <t>2W</t>
        </is>
      </c>
      <c r="B3" s="3">
        <f>C3*3.75</f>
        <v>0.7312500000000001</v>
      </c>
      <c r="C3" t="n">
        <v>0.195</v>
      </c>
      <c r="D3" t="n">
        <v>0.14</v>
      </c>
      <c r="E3" s="3">
        <f>D3*1.8</f>
        <v>0.25200000000000006</v>
      </c>
    </row>
    <row r="4">
      <c r="A4" t="inlineStr">
        <is>
          <t>3W</t>
        </is>
      </c>
      <c r="B4" s="3">
        <f>C4*3.75</f>
        <v>0.75</v>
      </c>
      <c r="C4" t="n">
        <v>0.2</v>
      </c>
      <c r="D4" t="n">
        <v>0.145</v>
      </c>
      <c r="E4" s="3">
        <f>D4*1.8</f>
        <v>0.261</v>
      </c>
    </row>
    <row r="5">
      <c r="A5" t="inlineStr">
        <is>
          <t>1M</t>
        </is>
      </c>
      <c r="B5" s="3">
        <f>C5*3.75</f>
        <v>0.75</v>
      </c>
      <c r="C5" t="n">
        <v>0.2</v>
      </c>
      <c r="D5" t="n">
        <v>0.1575</v>
      </c>
      <c r="E5" s="3">
        <f>D5*1.8</f>
        <v>0.28350000000000003</v>
      </c>
    </row>
    <row r="6">
      <c r="A6" t="inlineStr">
        <is>
          <t>2M</t>
        </is>
      </c>
      <c r="B6" s="3">
        <f>C6*3.75</f>
        <v>0.834375</v>
      </c>
      <c r="C6" t="n">
        <v>0.2225</v>
      </c>
      <c r="D6" t="n">
        <v>0.185</v>
      </c>
      <c r="E6" s="3">
        <f>D6*1.8</f>
        <v>0.333</v>
      </c>
    </row>
    <row r="7">
      <c r="A7" t="inlineStr">
        <is>
          <t>3M</t>
        </is>
      </c>
      <c r="B7" s="3">
        <f>C7*3.85</f>
        <v>1.0010000000000001</v>
      </c>
      <c r="C7" t="n">
        <v>0.26</v>
      </c>
      <c r="D7" t="n">
        <v>0.23</v>
      </c>
      <c r="E7" s="3">
        <f>D7*1.8</f>
        <v>0.41400000000000003</v>
      </c>
    </row>
    <row r="8">
      <c r="A8" t="inlineStr">
        <is>
          <t>6M</t>
        </is>
      </c>
      <c r="B8" s="3">
        <f>C8*3.85</f>
        <v>1.155</v>
      </c>
      <c r="C8" t="n">
        <v>0.3</v>
      </c>
      <c r="D8" t="n">
        <v>0.355</v>
      </c>
      <c r="E8" s="3">
        <f>D8*1.8</f>
        <v>0.639</v>
      </c>
    </row>
    <row r="9">
      <c r="A9" t="inlineStr">
        <is>
          <t>9M</t>
        </is>
      </c>
      <c r="B9" s="3">
        <f>C9*3.85</f>
        <v>1.36675</v>
      </c>
      <c r="C9" t="n">
        <v>0.355</v>
      </c>
      <c r="D9" t="n">
        <v>0.375</v>
      </c>
      <c r="E9" s="3">
        <f>D9*1.8</f>
        <v>0.675</v>
      </c>
    </row>
    <row r="10">
      <c r="A10" t="inlineStr">
        <is>
          <t>1Y</t>
        </is>
      </c>
      <c r="B10" s="3">
        <f>C10*4</f>
        <v>1.45</v>
      </c>
      <c r="C10" t="n">
        <v>0.3625</v>
      </c>
      <c r="D10" t="n">
        <v>0.46</v>
      </c>
      <c r="E10" s="3">
        <f>D10*1.8</f>
        <v>0.8280000000000001</v>
      </c>
    </row>
    <row r="11">
      <c r="A11" t="inlineStr">
        <is>
          <t>2Y</t>
        </is>
      </c>
      <c r="B11" s="3">
        <f>C11*4.1</f>
        <v>1.64</v>
      </c>
      <c r="C11" t="n">
        <v>0.4</v>
      </c>
      <c r="D11" t="n">
        <v>0.435</v>
      </c>
      <c r="E11" s="3">
        <f>D11*1.8</f>
        <v>0.783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9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1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2">
    <outlinePr summaryBelow="1" summaryRight="1"/>
    <pageSetUpPr/>
  </sheetPr>
  <dimension ref="A1:K22"/>
  <sheetViews>
    <sheetView workbookViewId="0">
      <selection activeCell="D13" sqref="D13"/>
    </sheetView>
  </sheetViews>
  <sheetFormatPr baseColWidth="8" defaultRowHeight="12.75"/>
  <cols>
    <col width="8.28515625" customWidth="1" style="12" min="2" max="2"/>
    <col width="13.5703125" bestFit="1" customWidth="1" style="12" min="11" max="11"/>
  </cols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5">
        <f>C2*3.4</f>
        <v>0.459</v>
      </c>
      <c r="C2" t="n">
        <v>0.135</v>
      </c>
      <c r="D2" t="n">
        <v>0.14</v>
      </c>
      <c r="E2" s="5">
        <f>D2*2.6</f>
        <v>0.36400000000000005</v>
      </c>
    </row>
    <row r="3">
      <c r="A3" t="inlineStr">
        <is>
          <t>2W</t>
        </is>
      </c>
      <c r="B3" s="5">
        <f>C3*3.4</f>
        <v>0.4505</v>
      </c>
      <c r="C3" t="n">
        <v>0.1325</v>
      </c>
      <c r="D3" t="n">
        <v>0.22</v>
      </c>
      <c r="E3" s="5">
        <f>D3*1.8</f>
        <v>0.396</v>
      </c>
    </row>
    <row r="4">
      <c r="A4" t="inlineStr">
        <is>
          <t>1M</t>
        </is>
      </c>
      <c r="B4" s="5">
        <f>C4*3.4</f>
        <v>0.5355</v>
      </c>
      <c r="C4" t="n">
        <v>0.1575</v>
      </c>
      <c r="D4" t="n">
        <v>0.2725</v>
      </c>
      <c r="E4" s="5">
        <f>D4*1.8</f>
        <v>0.49050000000000005</v>
      </c>
    </row>
    <row r="5">
      <c r="A5" t="inlineStr">
        <is>
          <t>2M</t>
        </is>
      </c>
      <c r="B5" s="5">
        <f>C5*3.4</f>
        <v>0.663</v>
      </c>
      <c r="C5" t="n">
        <v>0.195</v>
      </c>
      <c r="D5" t="n">
        <v>0.35</v>
      </c>
      <c r="E5" s="5">
        <f>D5*1.8</f>
        <v>0.63</v>
      </c>
    </row>
    <row r="6">
      <c r="A6" t="inlineStr">
        <is>
          <t>3M</t>
        </is>
      </c>
      <c r="B6" s="5">
        <f>C6*3.4</f>
        <v>0.765</v>
      </c>
      <c r="C6" t="n">
        <v>0.225</v>
      </c>
      <c r="D6" t="n">
        <v>0.475</v>
      </c>
      <c r="E6" s="5">
        <f>D6*1.8</f>
        <v>0.855</v>
      </c>
    </row>
    <row r="7">
      <c r="A7" t="inlineStr">
        <is>
          <t>6M</t>
        </is>
      </c>
      <c r="B7" s="5">
        <f>C7*3.4</f>
        <v>0.9095</v>
      </c>
      <c r="C7" t="n">
        <v>0.2675</v>
      </c>
      <c r="D7" t="n">
        <v>0.725</v>
      </c>
      <c r="E7" s="5">
        <f>D7*1.8</f>
        <v>1.305</v>
      </c>
    </row>
    <row r="8">
      <c r="A8" t="inlineStr">
        <is>
          <t>9M</t>
        </is>
      </c>
      <c r="B8" s="5">
        <f>C8*3.4</f>
        <v>1.0625</v>
      </c>
      <c r="C8" t="n">
        <v>0.3125</v>
      </c>
      <c r="D8" t="n">
        <v>0.65</v>
      </c>
      <c r="E8" s="5">
        <f>D8*1.8</f>
        <v>1.1700000000000002</v>
      </c>
    </row>
    <row r="9">
      <c r="A9" t="inlineStr">
        <is>
          <t>1Y</t>
        </is>
      </c>
      <c r="B9" s="5">
        <f>C9*3.4</f>
        <v>1.1475</v>
      </c>
      <c r="C9" t="n">
        <v>0.3375</v>
      </c>
      <c r="D9" t="n">
        <v>0.9625</v>
      </c>
      <c r="E9" s="5">
        <f>D9*1.8</f>
        <v>1.7325000000000002</v>
      </c>
    </row>
    <row r="10">
      <c r="A10" t="inlineStr">
        <is>
          <t>2Y</t>
        </is>
      </c>
      <c r="B10" s="5">
        <f>C10*3.4</f>
        <v>1.2155</v>
      </c>
      <c r="C10" t="n">
        <v>0.3575</v>
      </c>
      <c r="D10" t="n">
        <v>1.0825</v>
      </c>
      <c r="E10" s="5">
        <f>D10*1.8</f>
        <v>1.9485000000000001</v>
      </c>
    </row>
    <row r="11"/>
    <row r="12"/>
    <row r="13"/>
    <row r="14"/>
    <row r="15"/>
    <row r="16"/>
    <row r="17"/>
    <row r="18"/>
    <row r="19"/>
    <row r="20">
      <c r="K20" s="35" t="n"/>
    </row>
    <row r="21">
      <c r="K21" s="35" t="n"/>
    </row>
    <row r="22">
      <c r="K22" s="35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3">
    <outlinePr summaryBelow="1" summaryRight="1"/>
    <pageSetUpPr/>
  </sheetPr>
  <dimension ref="A1:E11"/>
  <sheetViews>
    <sheetView workbookViewId="0">
      <selection activeCell="B2" sqref="B2:E11"/>
    </sheetView>
  </sheetViews>
  <sheetFormatPr baseColWidth="8" defaultRowHeight="12.75"/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" t="n">
        <v>0.505</v>
      </c>
      <c r="C2" s="11" t="n">
        <v>0.1575</v>
      </c>
      <c r="D2" s="11" t="n">
        <v>-0.6425</v>
      </c>
      <c r="E2" s="3" t="n">
        <v>-1.195</v>
      </c>
    </row>
    <row r="3">
      <c r="A3" t="inlineStr">
        <is>
          <t>2W</t>
        </is>
      </c>
      <c r="B3" s="3" t="n">
        <v>0.49</v>
      </c>
      <c r="C3" s="11" t="n">
        <v>0.1525</v>
      </c>
      <c r="D3" s="11" t="n">
        <v>-0.6325</v>
      </c>
      <c r="E3" s="3" t="n">
        <v>-1.2</v>
      </c>
    </row>
    <row r="4">
      <c r="A4" t="inlineStr">
        <is>
          <t>3W</t>
        </is>
      </c>
      <c r="B4" s="3" t="n">
        <v>0.52</v>
      </c>
      <c r="C4" s="11" t="n">
        <v>0.1575</v>
      </c>
      <c r="D4" s="11" t="n">
        <v>-0.6325</v>
      </c>
      <c r="E4" s="3" t="n">
        <v>-1.205</v>
      </c>
    </row>
    <row r="5">
      <c r="A5" t="inlineStr">
        <is>
          <t>1M</t>
        </is>
      </c>
      <c r="B5" s="3" t="n">
        <v>0.53</v>
      </c>
      <c r="C5" s="11" t="n">
        <v>0.1575</v>
      </c>
      <c r="D5" s="11" t="n">
        <v>-0.6225000000000001</v>
      </c>
      <c r="E5" s="3" t="n">
        <v>-1.185</v>
      </c>
    </row>
    <row r="6">
      <c r="A6" t="inlineStr">
        <is>
          <t>2M</t>
        </is>
      </c>
      <c r="B6" s="3" t="n">
        <v>0.59</v>
      </c>
      <c r="C6" s="11" t="n">
        <v>0.1725</v>
      </c>
      <c r="D6" s="11" t="n">
        <v>-0.6425</v>
      </c>
      <c r="E6" s="3" t="n">
        <v>-1.225</v>
      </c>
    </row>
    <row r="7">
      <c r="A7" t="inlineStr">
        <is>
          <t>3M</t>
        </is>
      </c>
      <c r="B7" s="3" t="n">
        <v>0.68</v>
      </c>
      <c r="C7" s="11" t="n">
        <v>0.1925</v>
      </c>
      <c r="D7" s="11" t="n">
        <v>-0.6675</v>
      </c>
      <c r="E7" s="3" t="n">
        <v>-1.275</v>
      </c>
    </row>
    <row r="8">
      <c r="A8" t="inlineStr">
        <is>
          <t>6M</t>
        </is>
      </c>
      <c r="B8" s="3" t="n">
        <v>0.8149999999999999</v>
      </c>
      <c r="C8" s="11" t="n">
        <v>0.2225</v>
      </c>
      <c r="D8" s="11" t="n">
        <v>-0.6875</v>
      </c>
      <c r="E8" s="3" t="n">
        <v>-1.315</v>
      </c>
    </row>
    <row r="9">
      <c r="A9" t="inlineStr">
        <is>
          <t>9M</t>
        </is>
      </c>
      <c r="B9" s="3" t="n">
        <v>0.975</v>
      </c>
      <c r="C9" s="11" t="n">
        <v>0.265</v>
      </c>
      <c r="D9" s="11" t="n">
        <v>-0.7125</v>
      </c>
      <c r="E9" s="3" t="n">
        <v>-1.3575</v>
      </c>
    </row>
    <row r="10">
      <c r="A10" t="inlineStr">
        <is>
          <t>1Y</t>
        </is>
      </c>
      <c r="B10" s="3" t="n">
        <v>1.1375</v>
      </c>
      <c r="C10" s="11" t="n">
        <v>0.315</v>
      </c>
      <c r="D10" s="11" t="n">
        <v>-0.755</v>
      </c>
      <c r="E10" s="3" t="n">
        <v>-1.3875</v>
      </c>
    </row>
    <row r="11">
      <c r="A11" t="inlineStr">
        <is>
          <t>2Y</t>
        </is>
      </c>
      <c r="B11" s="3" t="n">
        <v>1.19</v>
      </c>
      <c r="C11" s="11" t="n">
        <v>0.315</v>
      </c>
      <c r="D11" s="11" t="n">
        <v>-0.8125</v>
      </c>
      <c r="E11" s="3" t="n">
        <v>-1.5125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29">
    <outlinePr summaryBelow="1" summaryRight="1"/>
    <pageSetUpPr/>
  </sheetPr>
  <dimension ref="A1:E11"/>
  <sheetViews>
    <sheetView workbookViewId="0">
      <selection activeCell="H17" sqref="H17"/>
    </sheetView>
  </sheetViews>
  <sheetFormatPr baseColWidth="8" defaultRowHeight="12.75"/>
  <cols>
    <col width="9.140625" customWidth="1" style="12" min="1" max="4"/>
    <col width="9.140625" customWidth="1" style="12" min="5" max="16384"/>
  </cols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6" t="n">
        <v>0.845</v>
      </c>
      <c r="C2" s="37" t="n">
        <v>0.2475</v>
      </c>
      <c r="D2" s="37" t="n">
        <v>-1.0575</v>
      </c>
      <c r="E2" s="37" t="n">
        <v>-1.9575</v>
      </c>
    </row>
    <row r="3">
      <c r="A3" t="inlineStr">
        <is>
          <t>2W</t>
        </is>
      </c>
      <c r="B3" s="36" t="n">
        <v>0.84</v>
      </c>
      <c r="C3" s="37" t="n">
        <v>0.2575</v>
      </c>
      <c r="D3" s="37" t="n">
        <v>-1.12</v>
      </c>
      <c r="E3" s="37" t="n">
        <v>-2.0975</v>
      </c>
    </row>
    <row r="4">
      <c r="A4" t="inlineStr">
        <is>
          <t>3W</t>
        </is>
      </c>
      <c r="B4" s="36" t="n">
        <v>0.845</v>
      </c>
      <c r="C4" s="37" t="n">
        <v>0.2575</v>
      </c>
      <c r="D4" s="37" t="n">
        <v>-1.215</v>
      </c>
      <c r="E4" s="37" t="n">
        <v>-2.2475</v>
      </c>
    </row>
    <row r="5">
      <c r="A5" t="inlineStr">
        <is>
          <t>1M</t>
        </is>
      </c>
      <c r="B5" s="36" t="n">
        <v>0.8325</v>
      </c>
      <c r="C5" s="37" t="n">
        <v>0.255</v>
      </c>
      <c r="D5" s="37" t="n">
        <v>-1.2525</v>
      </c>
      <c r="E5" s="37" t="n">
        <v>-2.3</v>
      </c>
    </row>
    <row r="6">
      <c r="A6" t="inlineStr">
        <is>
          <t>2M</t>
        </is>
      </c>
      <c r="B6" s="36" t="n">
        <v>0.8225</v>
      </c>
      <c r="C6" s="37" t="n">
        <v>0.25</v>
      </c>
      <c r="D6" s="37" t="n">
        <v>-1.2525</v>
      </c>
      <c r="E6" s="37" t="n">
        <v>-2.3075</v>
      </c>
    </row>
    <row r="7">
      <c r="A7" t="inlineStr">
        <is>
          <t>3M</t>
        </is>
      </c>
      <c r="B7" s="36" t="n">
        <v>0.8825</v>
      </c>
      <c r="C7" s="37" t="n">
        <v>0.27</v>
      </c>
      <c r="D7" s="37" t="n">
        <v>-1.165</v>
      </c>
      <c r="E7" s="37" t="n">
        <v>-2.1375</v>
      </c>
    </row>
    <row r="8">
      <c r="A8" t="inlineStr">
        <is>
          <t>6M</t>
        </is>
      </c>
      <c r="B8" s="36" t="n">
        <v>0.975</v>
      </c>
      <c r="C8" s="37" t="n">
        <v>0.2825</v>
      </c>
      <c r="D8" s="37" t="n">
        <v>-0.7775</v>
      </c>
      <c r="E8" s="37" t="n">
        <v>-1.42</v>
      </c>
    </row>
    <row r="9">
      <c r="A9" t="inlineStr">
        <is>
          <t>9M</t>
        </is>
      </c>
      <c r="B9" s="36" t="n">
        <v>1.03</v>
      </c>
      <c r="C9" s="37" t="n">
        <v>0.2975</v>
      </c>
      <c r="D9" s="37" t="n">
        <v>-0.5875</v>
      </c>
      <c r="E9" s="37" t="n">
        <v>-1.08</v>
      </c>
    </row>
    <row r="10">
      <c r="A10" t="inlineStr">
        <is>
          <t>1Y</t>
        </is>
      </c>
      <c r="B10" s="36" t="n">
        <v>1.14</v>
      </c>
      <c r="C10" s="37" t="n">
        <v>0.3225</v>
      </c>
      <c r="D10" s="37" t="n">
        <v>-0.405</v>
      </c>
      <c r="E10" s="37" t="n">
        <v>-0.74</v>
      </c>
    </row>
    <row r="11">
      <c r="A11" t="inlineStr">
        <is>
          <t>2Y</t>
        </is>
      </c>
      <c r="B11" s="36" t="n">
        <v>1.2825</v>
      </c>
      <c r="C11" s="37" t="n">
        <v>0.3425</v>
      </c>
      <c r="D11" s="37" t="n">
        <v>-0.285</v>
      </c>
      <c r="E11" s="37" t="n">
        <v>-0.485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14">
    <outlinePr summaryBelow="1" summaryRight="1"/>
    <pageSetUpPr/>
  </sheetPr>
  <dimension ref="A1:E11"/>
  <sheetViews>
    <sheetView workbookViewId="0">
      <selection activeCell="K9" sqref="K9"/>
    </sheetView>
  </sheetViews>
  <sheetFormatPr baseColWidth="8" defaultRowHeight="12.75"/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6" t="n">
        <v>1.0225</v>
      </c>
      <c r="C2" s="37" t="n">
        <v>0.335</v>
      </c>
      <c r="D2" s="37" t="n">
        <v>-1.53</v>
      </c>
      <c r="E2" s="37" t="n">
        <v>-2.985</v>
      </c>
    </row>
    <row r="3">
      <c r="A3" t="inlineStr">
        <is>
          <t>2W</t>
        </is>
      </c>
      <c r="B3" s="36" t="n">
        <v>1.01</v>
      </c>
      <c r="C3" s="37" t="n">
        <v>0.33</v>
      </c>
      <c r="D3" s="37" t="n">
        <v>-1.6825</v>
      </c>
      <c r="E3" s="37" t="n">
        <v>-3.1925</v>
      </c>
    </row>
    <row r="4">
      <c r="A4" t="inlineStr">
        <is>
          <t>3W</t>
        </is>
      </c>
      <c r="B4" s="36" t="n">
        <v>1.0275</v>
      </c>
      <c r="C4" s="37" t="n">
        <v>0.3225</v>
      </c>
      <c r="D4" s="37" t="n">
        <v>-1.715</v>
      </c>
      <c r="E4" s="37" t="n">
        <v>-3.315</v>
      </c>
    </row>
    <row r="5">
      <c r="A5" t="inlineStr">
        <is>
          <t>1M</t>
        </is>
      </c>
      <c r="B5" s="36" t="n">
        <v>1.02</v>
      </c>
      <c r="C5" s="37" t="n">
        <v>0.3125</v>
      </c>
      <c r="D5" s="37" t="n">
        <v>-1.7075</v>
      </c>
      <c r="E5" s="37" t="n">
        <v>-3.3275</v>
      </c>
    </row>
    <row r="6">
      <c r="A6" t="inlineStr">
        <is>
          <t>2M</t>
        </is>
      </c>
      <c r="B6" s="36" t="n">
        <v>1.0675</v>
      </c>
      <c r="C6" s="37" t="n">
        <v>0.32</v>
      </c>
      <c r="D6" s="37" t="n">
        <v>-1.8025</v>
      </c>
      <c r="E6" s="37" t="n">
        <v>-3.535</v>
      </c>
    </row>
    <row r="7">
      <c r="A7" t="inlineStr">
        <is>
          <t>3M</t>
        </is>
      </c>
      <c r="B7" s="36" t="n">
        <v>1.1325</v>
      </c>
      <c r="C7" s="37" t="n">
        <v>0.3325</v>
      </c>
      <c r="D7" s="37" t="n">
        <v>-1.8275</v>
      </c>
      <c r="E7" s="37" t="n">
        <v>-3.6075</v>
      </c>
    </row>
    <row r="8">
      <c r="A8" t="inlineStr">
        <is>
          <t>6M</t>
        </is>
      </c>
      <c r="B8" s="36" t="n">
        <v>1.29</v>
      </c>
      <c r="C8" s="37" t="n">
        <v>0.3575</v>
      </c>
      <c r="D8" s="37" t="n">
        <v>-1.83</v>
      </c>
      <c r="E8" s="37" t="n">
        <v>-3.51</v>
      </c>
    </row>
    <row r="9">
      <c r="A9" t="inlineStr">
        <is>
          <t>9M</t>
        </is>
      </c>
      <c r="B9" s="36" t="n">
        <v>1.405</v>
      </c>
      <c r="C9" s="37" t="n">
        <v>0.38</v>
      </c>
      <c r="D9" s="37" t="n">
        <v>-1.75</v>
      </c>
      <c r="E9" s="37" t="n">
        <v>-3.355</v>
      </c>
    </row>
    <row r="10">
      <c r="A10" t="inlineStr">
        <is>
          <t>1Y</t>
        </is>
      </c>
      <c r="B10" s="36" t="n">
        <v>1.59</v>
      </c>
      <c r="C10" s="37" t="n">
        <v>0.455</v>
      </c>
      <c r="D10" s="37" t="n">
        <v>-1.845</v>
      </c>
      <c r="E10" s="37" t="n">
        <v>-3.51</v>
      </c>
    </row>
    <row r="11">
      <c r="A11" t="inlineStr">
        <is>
          <t>2Y</t>
        </is>
      </c>
      <c r="B11" s="36" t="n">
        <v>1.77</v>
      </c>
      <c r="C11" s="37" t="n">
        <v>0.475</v>
      </c>
      <c r="D11" s="37" t="n">
        <v>-1.85</v>
      </c>
      <c r="E11" s="37" t="n">
        <v>-3.31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28">
    <outlinePr summaryBelow="1" summaryRight="1"/>
    <pageSetUpPr/>
  </sheetPr>
  <dimension ref="A1:E11"/>
  <sheetViews>
    <sheetView workbookViewId="0">
      <selection activeCell="J18" sqref="J18"/>
    </sheetView>
  </sheetViews>
  <sheetFormatPr baseColWidth="8" defaultRowHeight="12.75"/>
  <cols>
    <col width="9.140625" customWidth="1" style="12" min="1" max="4"/>
    <col width="9.140625" customWidth="1" style="12" min="5" max="16384"/>
  </cols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6" t="n">
        <v>0.9075</v>
      </c>
      <c r="C2" s="9" t="n">
        <v>0.3025</v>
      </c>
      <c r="D2" s="9" t="n">
        <v>-1.4375</v>
      </c>
      <c r="E2" s="6" t="n">
        <v>-2.7</v>
      </c>
    </row>
    <row r="3">
      <c r="A3" t="inlineStr">
        <is>
          <t>2W</t>
        </is>
      </c>
      <c r="B3" s="6" t="n">
        <v>0.9225</v>
      </c>
      <c r="C3" s="9" t="n">
        <v>0.3025</v>
      </c>
      <c r="D3" s="9" t="n">
        <v>-1.5425</v>
      </c>
      <c r="E3" s="6" t="n">
        <v>-2.855</v>
      </c>
    </row>
    <row r="4">
      <c r="A4" t="inlineStr">
        <is>
          <t>3W</t>
        </is>
      </c>
      <c r="B4" s="6" t="n">
        <v>0.9375</v>
      </c>
      <c r="C4" s="9" t="n">
        <v>0.305</v>
      </c>
      <c r="D4" s="9" t="n">
        <v>-1.645</v>
      </c>
      <c r="E4" s="6" t="n">
        <v>-3.02</v>
      </c>
    </row>
    <row r="5">
      <c r="A5" t="inlineStr">
        <is>
          <t>1M</t>
        </is>
      </c>
      <c r="B5" s="6" t="n">
        <v>0.9425</v>
      </c>
      <c r="C5" s="9" t="n">
        <v>0.3025</v>
      </c>
      <c r="D5" s="9" t="n">
        <v>-1.695</v>
      </c>
      <c r="E5" s="6" t="n">
        <v>-3.0925</v>
      </c>
    </row>
    <row r="6">
      <c r="A6" t="inlineStr">
        <is>
          <t>2M</t>
        </is>
      </c>
      <c r="B6" s="6" t="n">
        <v>0.98</v>
      </c>
      <c r="C6" s="9" t="n">
        <v>0.31</v>
      </c>
      <c r="D6" s="9" t="n">
        <v>-1.77</v>
      </c>
      <c r="E6" s="6" t="n">
        <v>-3.275</v>
      </c>
    </row>
    <row r="7">
      <c r="A7" t="inlineStr">
        <is>
          <t>3M</t>
        </is>
      </c>
      <c r="B7" s="6" t="n">
        <v>1.0375</v>
      </c>
      <c r="C7" s="9" t="n">
        <v>0.31</v>
      </c>
      <c r="D7" s="9" t="n">
        <v>-1.725</v>
      </c>
      <c r="E7" s="6" t="n">
        <v>-3.2325</v>
      </c>
    </row>
    <row r="8">
      <c r="A8" t="inlineStr">
        <is>
          <t>6M</t>
        </is>
      </c>
      <c r="B8" s="6" t="n">
        <v>1.0725</v>
      </c>
      <c r="C8" s="9" t="n">
        <v>0.32</v>
      </c>
      <c r="D8" s="9" t="n">
        <v>-1.4825</v>
      </c>
      <c r="E8" s="6" t="n">
        <v>-2.7775</v>
      </c>
    </row>
    <row r="9">
      <c r="A9" t="inlineStr">
        <is>
          <t>9M</t>
        </is>
      </c>
      <c r="B9" s="6" t="n">
        <v>1.155</v>
      </c>
      <c r="C9" s="9" t="n">
        <v>0.325</v>
      </c>
      <c r="D9" s="9" t="n">
        <v>-1.345</v>
      </c>
      <c r="E9" s="6" t="n">
        <v>-2.565</v>
      </c>
    </row>
    <row r="10">
      <c r="A10" t="inlineStr">
        <is>
          <t>1Y</t>
        </is>
      </c>
      <c r="B10" s="6" t="n">
        <v>1.3125</v>
      </c>
      <c r="C10" s="9" t="n">
        <v>0.3875</v>
      </c>
      <c r="D10" s="9" t="n">
        <v>-1.2475</v>
      </c>
      <c r="E10" s="6" t="n">
        <v>-2.3475</v>
      </c>
    </row>
    <row r="11">
      <c r="A11" t="inlineStr">
        <is>
          <t>2Y</t>
        </is>
      </c>
      <c r="B11" s="6" t="n">
        <v>1.4825</v>
      </c>
      <c r="C11" s="9" t="n">
        <v>0.4125</v>
      </c>
      <c r="D11" s="9" t="n">
        <v>-1.27</v>
      </c>
      <c r="E11" s="4" t="n">
        <v>-2.4025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15">
    <outlinePr summaryBelow="1" summaryRight="1"/>
    <pageSetUpPr/>
  </sheetPr>
  <dimension ref="A1:E11"/>
  <sheetViews>
    <sheetView workbookViewId="0">
      <selection activeCell="E8" sqref="E8"/>
    </sheetView>
  </sheetViews>
  <sheetFormatPr baseColWidth="8" defaultRowHeight="12.75"/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6">
        <f>3.25*C2</f>
        <v>0.479375</v>
      </c>
      <c r="C2" s="9" t="n">
        <v>0.1475</v>
      </c>
      <c r="D2" s="9" t="n">
        <v>-0.1075</v>
      </c>
      <c r="E2" s="6">
        <f>D2*1.8</f>
        <v>-0.1935</v>
      </c>
    </row>
    <row r="3">
      <c r="A3" t="inlineStr">
        <is>
          <t>2W</t>
        </is>
      </c>
      <c r="B3" s="6">
        <f>3.25*C3</f>
        <v>0.4875</v>
      </c>
      <c r="C3" s="9" t="n">
        <v>0.15</v>
      </c>
      <c r="D3" s="9" t="n">
        <v>-0.1375</v>
      </c>
      <c r="E3" s="6">
        <f>D3*1.8</f>
        <v>-0.24750000000000003</v>
      </c>
    </row>
    <row r="4">
      <c r="A4" t="inlineStr">
        <is>
          <t>3W</t>
        </is>
      </c>
      <c r="B4" s="6">
        <f>3.25*C4</f>
        <v>0.50375</v>
      </c>
      <c r="C4" s="9" t="n">
        <v>0.155</v>
      </c>
      <c r="D4" s="9" t="n">
        <v>-0.135</v>
      </c>
      <c r="E4" s="6">
        <f>D4*1.8</f>
        <v>-0.24300000000000002</v>
      </c>
    </row>
    <row r="5">
      <c r="A5" t="inlineStr">
        <is>
          <t>1M</t>
        </is>
      </c>
      <c r="B5" s="6">
        <f>3.25*C5</f>
        <v>0.5606249999999999</v>
      </c>
      <c r="C5" s="9" t="n">
        <v>0.1725</v>
      </c>
      <c r="D5" s="9" t="n">
        <v>-0.21</v>
      </c>
      <c r="E5" s="6">
        <f>D5*1.8</f>
        <v>-0.378</v>
      </c>
    </row>
    <row r="6">
      <c r="A6" t="inlineStr">
        <is>
          <t>2M</t>
        </is>
      </c>
      <c r="B6" s="6">
        <f>3.25*C6</f>
        <v>0.6581250000000001</v>
      </c>
      <c r="C6" s="9" t="n">
        <v>0.2025</v>
      </c>
      <c r="D6" s="9" t="n">
        <v>-0.365</v>
      </c>
      <c r="E6" s="6">
        <f>D6*1.8</f>
        <v>-0.657</v>
      </c>
    </row>
    <row r="7">
      <c r="A7" t="inlineStr">
        <is>
          <t>3M</t>
        </is>
      </c>
      <c r="B7" s="6">
        <f>3.25*C7</f>
        <v>0.755625</v>
      </c>
      <c r="C7" s="9" t="n">
        <v>0.2325</v>
      </c>
      <c r="D7" s="9" t="n">
        <v>-0.5275</v>
      </c>
      <c r="E7" s="6">
        <f>D7*1.825</f>
        <v>-0.9626874999999999</v>
      </c>
    </row>
    <row r="8">
      <c r="A8" t="inlineStr">
        <is>
          <t>6M</t>
        </is>
      </c>
      <c r="B8" s="6">
        <f>3.25*C8</f>
        <v>0.9668749999999999</v>
      </c>
      <c r="C8" s="9" t="n">
        <v>0.2975</v>
      </c>
      <c r="D8" s="9" t="n">
        <v>-0.7725</v>
      </c>
      <c r="E8" s="6">
        <f>D8*1.825</f>
        <v>-1.4098125</v>
      </c>
    </row>
    <row r="9">
      <c r="A9" t="inlineStr">
        <is>
          <t>9M</t>
        </is>
      </c>
      <c r="B9" s="6">
        <f>3.25*C9</f>
        <v>1.129375</v>
      </c>
      <c r="C9" s="9" t="n">
        <v>0.3475</v>
      </c>
      <c r="D9" s="9" t="n">
        <v>-0.9325</v>
      </c>
      <c r="E9" s="6">
        <f>D9*1.825</f>
        <v>-1.7018125</v>
      </c>
    </row>
    <row r="10">
      <c r="A10" t="inlineStr">
        <is>
          <t>1Y</t>
        </is>
      </c>
      <c r="B10" s="6">
        <f>3.25*C10</f>
        <v>1.25125</v>
      </c>
      <c r="C10" s="9" t="n">
        <v>0.385</v>
      </c>
      <c r="D10" s="9" t="n">
        <v>-1.455</v>
      </c>
      <c r="E10" s="6">
        <f>D10*1.825</f>
        <v>-2.6553750000000003</v>
      </c>
    </row>
    <row r="11">
      <c r="A11" t="inlineStr">
        <is>
          <t>2Y</t>
        </is>
      </c>
      <c r="B11" s="6">
        <f>3.25*C11</f>
        <v>1.3325</v>
      </c>
      <c r="C11" s="9" t="n">
        <v>0.41</v>
      </c>
      <c r="D11" s="9" t="n">
        <v>-1.48</v>
      </c>
      <c r="E11" s="4">
        <f>D11*1.75</f>
        <v>-2.59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16">
    <outlinePr summaryBelow="1" summaryRight="1"/>
    <pageSetUpPr/>
  </sheetPr>
  <dimension ref="A1:E11"/>
  <sheetViews>
    <sheetView workbookViewId="0">
      <selection activeCell="L17" sqref="L17"/>
    </sheetView>
  </sheetViews>
  <sheetFormatPr baseColWidth="8" defaultRowHeight="12.75"/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6" t="n">
        <v>0.3425</v>
      </c>
      <c r="C2" s="11" t="n">
        <v>0.1025</v>
      </c>
      <c r="D2" s="11" t="n">
        <v>0.1725</v>
      </c>
      <c r="E2" s="6" t="n">
        <v>0.3175</v>
      </c>
    </row>
    <row r="3">
      <c r="A3" t="inlineStr">
        <is>
          <t>2W</t>
        </is>
      </c>
      <c r="B3" s="6" t="n">
        <v>0.345</v>
      </c>
      <c r="C3" s="11" t="n">
        <v>0.105</v>
      </c>
      <c r="D3" s="11" t="n">
        <v>0.1425</v>
      </c>
      <c r="E3" s="6" t="n">
        <v>0.265</v>
      </c>
    </row>
    <row r="4">
      <c r="A4" t="inlineStr">
        <is>
          <t>3W</t>
        </is>
      </c>
      <c r="B4" s="6" t="n">
        <v>0.365</v>
      </c>
      <c r="C4" s="11" t="n">
        <v>0.105</v>
      </c>
      <c r="D4" s="11" t="n">
        <v>0.11</v>
      </c>
      <c r="E4" s="6" t="n">
        <v>0.215</v>
      </c>
    </row>
    <row r="5">
      <c r="A5" t="inlineStr">
        <is>
          <t>1M</t>
        </is>
      </c>
      <c r="B5" s="6" t="n">
        <v>0.38</v>
      </c>
      <c r="C5" s="11" t="n">
        <v>0.105</v>
      </c>
      <c r="D5" s="11" t="n">
        <v>0.09</v>
      </c>
      <c r="E5" s="6" t="n">
        <v>0.1875</v>
      </c>
    </row>
    <row r="6">
      <c r="A6" t="inlineStr">
        <is>
          <t>2M</t>
        </is>
      </c>
      <c r="B6" s="6" t="n">
        <v>0.425</v>
      </c>
      <c r="C6" s="11" t="n">
        <v>0.125</v>
      </c>
      <c r="D6" s="11" t="n">
        <v>0.0625</v>
      </c>
      <c r="E6" s="6" t="n">
        <v>0.1275</v>
      </c>
    </row>
    <row r="7">
      <c r="A7" t="inlineStr">
        <is>
          <t>3M</t>
        </is>
      </c>
      <c r="B7" s="6" t="n">
        <v>0.495</v>
      </c>
      <c r="C7" s="11" t="n">
        <v>0.14</v>
      </c>
      <c r="D7" s="11" t="n">
        <v>0.05</v>
      </c>
      <c r="E7" s="6" t="n">
        <v>0.115</v>
      </c>
    </row>
    <row r="8">
      <c r="A8" t="inlineStr">
        <is>
          <t>6M</t>
        </is>
      </c>
      <c r="B8" s="6" t="n">
        <v>0.5925</v>
      </c>
      <c r="C8" s="11" t="n">
        <v>0.1625</v>
      </c>
      <c r="D8" s="11" t="n">
        <v>0.035</v>
      </c>
      <c r="E8" s="6" t="n">
        <v>0.0725</v>
      </c>
    </row>
    <row r="9">
      <c r="A9" t="inlineStr">
        <is>
          <t>9M</t>
        </is>
      </c>
      <c r="B9" s="6" t="n">
        <v>0.665</v>
      </c>
      <c r="C9" s="11" t="n">
        <v>0.185</v>
      </c>
      <c r="D9" s="11" t="n">
        <v>0.0275</v>
      </c>
      <c r="E9" s="6" t="n">
        <v>0.0625</v>
      </c>
    </row>
    <row r="10">
      <c r="A10" t="inlineStr">
        <is>
          <t>1Y</t>
        </is>
      </c>
      <c r="B10" s="6" t="n">
        <v>0.7825</v>
      </c>
      <c r="C10" s="11" t="n">
        <v>0.225</v>
      </c>
      <c r="D10" s="11" t="n">
        <v>0.02</v>
      </c>
      <c r="E10" s="6" t="n">
        <v>0.0525</v>
      </c>
    </row>
    <row r="11">
      <c r="A11" t="inlineStr">
        <is>
          <t>2Y</t>
        </is>
      </c>
      <c r="B11" s="6" t="n">
        <v>0.8025</v>
      </c>
      <c r="C11" s="11" t="n">
        <v>0.225</v>
      </c>
      <c r="D11" s="11" t="n">
        <v>0.0225</v>
      </c>
      <c r="E11" s="6" t="n">
        <v>0.0825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7">
    <outlinePr summaryBelow="1" summaryRight="1"/>
    <pageSetUpPr/>
  </sheetPr>
  <dimension ref="A1:E10"/>
  <sheetViews>
    <sheetView zoomScaleNormal="100" workbookViewId="0">
      <selection activeCell="I11" sqref="I11"/>
    </sheetView>
  </sheetViews>
  <sheetFormatPr baseColWidth="8" defaultRowHeight="12.75"/>
  <cols>
    <col width="6.42578125" customWidth="1" style="12" min="1" max="1"/>
    <col width="7.7109375" customWidth="1" style="12" min="2" max="3"/>
    <col width="7.85546875" customWidth="1" style="12" min="4" max="5"/>
    <col width="8.7109375" customWidth="1" style="12" min="6" max="1025"/>
  </cols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" t="n">
        <v>0.43</v>
      </c>
      <c r="C2" s="9" t="n">
        <v>0.1225</v>
      </c>
      <c r="D2" s="9" t="n">
        <v>0.33</v>
      </c>
      <c r="E2" s="3" t="n">
        <v>0.615</v>
      </c>
    </row>
    <row r="3">
      <c r="A3" t="inlineStr">
        <is>
          <t>2W</t>
        </is>
      </c>
      <c r="B3" s="3" t="n">
        <v>0.4625</v>
      </c>
      <c r="C3" s="9" t="n">
        <v>0.13</v>
      </c>
      <c r="D3" s="9" t="n">
        <v>0.2925</v>
      </c>
      <c r="E3" s="3" t="n">
        <v>0.555</v>
      </c>
    </row>
    <row r="4">
      <c r="A4" t="inlineStr">
        <is>
          <t>1M</t>
        </is>
      </c>
      <c r="B4" s="3" t="n">
        <v>0.5175</v>
      </c>
      <c r="C4" s="9" t="n">
        <v>0.1425</v>
      </c>
      <c r="D4" s="9" t="n">
        <v>0.255</v>
      </c>
      <c r="E4" s="3" t="n">
        <v>0.4825</v>
      </c>
    </row>
    <row r="5">
      <c r="A5" t="inlineStr">
        <is>
          <t>2M</t>
        </is>
      </c>
      <c r="B5" s="3" t="n">
        <v>0.61</v>
      </c>
      <c r="C5" s="9" t="n">
        <v>0.1675</v>
      </c>
      <c r="D5" s="9" t="n">
        <v>0.24</v>
      </c>
      <c r="E5" s="3" t="n">
        <v>0.45</v>
      </c>
    </row>
    <row r="6">
      <c r="A6" t="inlineStr">
        <is>
          <t>3M</t>
        </is>
      </c>
      <c r="B6" s="3" t="n">
        <v>0.6925</v>
      </c>
      <c r="C6" s="9" t="n">
        <v>0.1875</v>
      </c>
      <c r="D6" s="9" t="n">
        <v>0.2025</v>
      </c>
      <c r="E6" s="3" t="n">
        <v>0.3875</v>
      </c>
    </row>
    <row r="7">
      <c r="A7" t="inlineStr">
        <is>
          <t>6M</t>
        </is>
      </c>
      <c r="B7" s="3" t="n">
        <v>0.8675</v>
      </c>
      <c r="C7" s="9" t="n">
        <v>0.2275</v>
      </c>
      <c r="D7" s="9" t="n">
        <v>0.13</v>
      </c>
      <c r="E7" s="3" t="n">
        <v>0.2525</v>
      </c>
    </row>
    <row r="8">
      <c r="A8" t="inlineStr">
        <is>
          <t>9M</t>
        </is>
      </c>
      <c r="B8" s="3" t="n">
        <v>1.0075</v>
      </c>
      <c r="C8" s="9" t="n">
        <v>0.265</v>
      </c>
      <c r="D8" s="9" t="n">
        <v>0.0425</v>
      </c>
      <c r="E8" s="3" t="n">
        <v>0.095</v>
      </c>
    </row>
    <row r="9">
      <c r="A9" t="inlineStr">
        <is>
          <t>1Y</t>
        </is>
      </c>
      <c r="B9" s="3" t="n">
        <v>1.1375</v>
      </c>
      <c r="C9" s="9" t="n">
        <v>0.305</v>
      </c>
      <c r="D9" s="9" t="n">
        <v>0.01</v>
      </c>
      <c r="E9" s="3" t="n">
        <v>0.0275</v>
      </c>
    </row>
    <row r="10">
      <c r="A10" t="inlineStr">
        <is>
          <t>2Y</t>
        </is>
      </c>
      <c r="B10" s="3" t="n">
        <v>1.2675</v>
      </c>
      <c r="C10" s="9" t="n">
        <v>0.3425</v>
      </c>
      <c r="D10" s="9" t="n">
        <v>0.0325</v>
      </c>
      <c r="E10" s="3" t="n">
        <v>0.0925</v>
      </c>
    </row>
  </sheetData>
  <pageMargins left="0.7875" right="0.7875" top="1.025" bottom="1.025" header="0.7875" footer="0.7875"/>
  <pageSetup orientation="portrait" useFirstPageNumber="1" horizontalDpi="300" verticalDpi="300"/>
  <headerFooter>
    <oddHeader>&amp;C&amp;A</oddHeader>
    <oddFooter>&amp;CPage &amp;P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 codeName="Sheet18">
    <outlinePr summaryBelow="1" summaryRight="1"/>
    <pageSetUpPr/>
  </sheetPr>
  <dimension ref="A1:E11"/>
  <sheetViews>
    <sheetView zoomScaleNormal="100" workbookViewId="0">
      <selection activeCell="D6" sqref="D6"/>
    </sheetView>
  </sheetViews>
  <sheetFormatPr baseColWidth="8" defaultRowHeight="12.75"/>
  <cols>
    <col width="6.42578125" customWidth="1" style="12" min="1" max="1"/>
    <col width="7.7109375" customWidth="1" style="12" min="2" max="3"/>
    <col width="7.85546875" customWidth="1" style="12" min="4" max="5"/>
    <col width="8.7109375" customWidth="1" style="12" min="6" max="1025"/>
  </cols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6" t="n">
        <v>0.425</v>
      </c>
      <c r="C2" s="37" t="n">
        <v>0.13</v>
      </c>
      <c r="D2" s="37" t="n">
        <v>-0.1375</v>
      </c>
      <c r="E2" s="37" t="n">
        <v>-0.295</v>
      </c>
    </row>
    <row r="3">
      <c r="A3" t="inlineStr">
        <is>
          <t>2W</t>
        </is>
      </c>
      <c r="B3" s="36" t="n">
        <v>0.4375</v>
      </c>
      <c r="C3" s="37" t="n">
        <v>0.135</v>
      </c>
      <c r="D3" s="37" t="n">
        <v>-0.2</v>
      </c>
      <c r="E3" s="37" t="n">
        <v>-0.4125</v>
      </c>
    </row>
    <row r="4">
      <c r="A4" t="inlineStr">
        <is>
          <t>3W</t>
        </is>
      </c>
      <c r="B4" s="36" t="n">
        <v>0.4475</v>
      </c>
      <c r="C4" s="37" t="n">
        <v>0.135</v>
      </c>
      <c r="D4" s="37" t="n">
        <v>-0.2925</v>
      </c>
      <c r="E4" s="37" t="n">
        <v>-0.5675</v>
      </c>
    </row>
    <row r="5">
      <c r="A5" t="inlineStr">
        <is>
          <t>1M</t>
        </is>
      </c>
      <c r="B5" s="36" t="n">
        <v>0.4575</v>
      </c>
      <c r="C5" s="37" t="n">
        <v>0.1375</v>
      </c>
      <c r="D5" s="37" t="n">
        <v>-0.3275</v>
      </c>
      <c r="E5" s="37" t="n">
        <v>-0.655</v>
      </c>
    </row>
    <row r="6">
      <c r="A6" t="inlineStr">
        <is>
          <t>2M</t>
        </is>
      </c>
      <c r="B6" s="36" t="n">
        <v>0.505</v>
      </c>
      <c r="C6" s="37" t="n">
        <v>0.155</v>
      </c>
      <c r="D6" s="37" t="n">
        <v>-0.4325</v>
      </c>
      <c r="E6" s="37" t="n">
        <v>-0.875</v>
      </c>
    </row>
    <row r="7">
      <c r="A7" t="inlineStr">
        <is>
          <t>3M</t>
        </is>
      </c>
      <c r="B7" s="36" t="n">
        <v>0.5825</v>
      </c>
      <c r="C7" s="37" t="n">
        <v>0.1825</v>
      </c>
      <c r="D7" s="37" t="n">
        <v>-0.5275</v>
      </c>
      <c r="E7" s="37" t="n">
        <v>-1.1075</v>
      </c>
    </row>
    <row r="8">
      <c r="A8" t="inlineStr">
        <is>
          <t>6M</t>
        </is>
      </c>
      <c r="B8" s="36" t="n">
        <v>0.7625</v>
      </c>
      <c r="C8" s="37" t="n">
        <v>0.225</v>
      </c>
      <c r="D8" s="37" t="n">
        <v>-0.68</v>
      </c>
      <c r="E8" s="37" t="n">
        <v>-1.4125</v>
      </c>
    </row>
    <row r="9">
      <c r="A9" t="inlineStr">
        <is>
          <t>9M</t>
        </is>
      </c>
      <c r="B9" s="36" t="n">
        <v>0.895</v>
      </c>
      <c r="C9" s="37" t="n">
        <v>0.26</v>
      </c>
      <c r="D9" s="37" t="n">
        <v>-0.7925</v>
      </c>
      <c r="E9" s="37" t="n">
        <v>-1.6325</v>
      </c>
    </row>
    <row r="10">
      <c r="A10" t="inlineStr">
        <is>
          <t>1Y</t>
        </is>
      </c>
      <c r="B10" s="36" t="n">
        <v>1.02</v>
      </c>
      <c r="C10" s="37" t="n">
        <v>0.305</v>
      </c>
      <c r="D10" s="37" t="n">
        <v>-0.905</v>
      </c>
      <c r="E10" s="37" t="n">
        <v>-1.85</v>
      </c>
    </row>
    <row r="11">
      <c r="A11" t="inlineStr">
        <is>
          <t>2Y</t>
        </is>
      </c>
      <c r="B11" s="36" t="n">
        <v>1.2125</v>
      </c>
      <c r="C11" s="37" t="n">
        <v>0.3475</v>
      </c>
      <c r="D11" s="37" t="n">
        <v>-1.0275</v>
      </c>
      <c r="E11" s="37" t="n">
        <v>-2.125</v>
      </c>
    </row>
  </sheetData>
  <pageMargins left="0.7875" right="0.7875" top="1.025" bottom="1.025" header="0.7875" footer="0.7875"/>
  <pageSetup orientation="portrait" firstPageNumber="0" horizontalDpi="300" verticalDpi="300"/>
  <headerFooter>
    <oddHeader>&amp;C&amp;A</oddHeader>
    <oddFooter>&amp;CPage &amp;P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 codeName="Sheet19">
    <outlinePr summaryBelow="1" summaryRight="1"/>
    <pageSetUpPr/>
  </sheetPr>
  <dimension ref="A1:E11"/>
  <sheetViews>
    <sheetView zoomScaleNormal="100" workbookViewId="0">
      <selection activeCell="E8" sqref="E8"/>
    </sheetView>
  </sheetViews>
  <sheetFormatPr baseColWidth="8" defaultRowHeight="12.75"/>
  <cols>
    <col width="6.42578125" customWidth="1" style="12" min="1" max="1"/>
    <col width="7.7109375" customWidth="1" style="12" min="2" max="3"/>
    <col width="7.85546875" customWidth="1" style="12" min="4" max="5"/>
    <col width="8.7109375" customWidth="1" style="12" min="6" max="1025"/>
  </cols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6" t="n">
        <v>0.8475</v>
      </c>
      <c r="C2" s="37" t="n">
        <v>0.3225</v>
      </c>
      <c r="D2" s="37" t="n">
        <v>-1.6175</v>
      </c>
      <c r="E2" s="37" t="n">
        <v>-2.8875</v>
      </c>
    </row>
    <row r="3">
      <c r="A3" t="inlineStr">
        <is>
          <t>2W</t>
        </is>
      </c>
      <c r="B3" s="36" t="n">
        <v>0.85</v>
      </c>
      <c r="C3" s="37" t="n">
        <v>0.315</v>
      </c>
      <c r="D3" s="37" t="n">
        <v>-1.7475</v>
      </c>
      <c r="E3" s="37" t="n">
        <v>-3.0475</v>
      </c>
    </row>
    <row r="4">
      <c r="A4" t="inlineStr">
        <is>
          <t>3W</t>
        </is>
      </c>
      <c r="B4" s="36" t="n">
        <v>0.85</v>
      </c>
      <c r="C4" s="37" t="n">
        <v>0.32</v>
      </c>
      <c r="D4" s="37" t="n">
        <v>-1.785</v>
      </c>
      <c r="E4" s="37" t="n">
        <v>-3.0775</v>
      </c>
    </row>
    <row r="5">
      <c r="A5" t="inlineStr">
        <is>
          <t>1M</t>
        </is>
      </c>
      <c r="B5" s="36" t="n">
        <v>0.8375</v>
      </c>
      <c r="C5" s="37" t="n">
        <v>0.315</v>
      </c>
      <c r="D5" s="37" t="n">
        <v>-1.78</v>
      </c>
      <c r="E5" s="37" t="n">
        <v>-3.0475</v>
      </c>
    </row>
    <row r="6">
      <c r="A6" t="inlineStr">
        <is>
          <t>2M</t>
        </is>
      </c>
      <c r="B6" s="36" t="n">
        <v>0.88</v>
      </c>
      <c r="C6" s="37" t="n">
        <v>0.32</v>
      </c>
      <c r="D6" s="37" t="n">
        <v>-1.71</v>
      </c>
      <c r="E6" s="37" t="n">
        <v>-2.9925</v>
      </c>
    </row>
    <row r="7">
      <c r="A7" t="inlineStr">
        <is>
          <t>3M</t>
        </is>
      </c>
      <c r="B7" s="36" t="n">
        <v>0.9325</v>
      </c>
      <c r="C7" s="37" t="n">
        <v>0.315</v>
      </c>
      <c r="D7" s="37" t="n">
        <v>-1.4875</v>
      </c>
      <c r="E7" s="37" t="n">
        <v>-2.6075</v>
      </c>
    </row>
    <row r="8">
      <c r="A8" t="inlineStr">
        <is>
          <t>6M</t>
        </is>
      </c>
      <c r="B8" s="36" t="n">
        <v>1.035</v>
      </c>
      <c r="C8" s="37" t="n">
        <v>0.32</v>
      </c>
      <c r="D8" s="37" t="n">
        <v>-0.8525</v>
      </c>
      <c r="E8" s="37" t="n">
        <v>-1.6</v>
      </c>
    </row>
    <row r="9">
      <c r="A9" t="inlineStr">
        <is>
          <t>9M</t>
        </is>
      </c>
      <c r="B9" s="36" t="n">
        <v>1.125</v>
      </c>
      <c r="C9" s="37" t="n">
        <v>0.3275</v>
      </c>
      <c r="D9" s="37" t="n">
        <v>-0.4475</v>
      </c>
      <c r="E9" s="37" t="n">
        <v>-0.87</v>
      </c>
    </row>
    <row r="10">
      <c r="A10" t="inlineStr">
        <is>
          <t>1Y</t>
        </is>
      </c>
      <c r="B10" s="36" t="n">
        <v>1.22</v>
      </c>
      <c r="C10" s="37" t="n">
        <v>0.365</v>
      </c>
      <c r="D10" s="37" t="n">
        <v>-0.145</v>
      </c>
      <c r="E10" s="37" t="n">
        <v>-0.28</v>
      </c>
    </row>
    <row r="11">
      <c r="A11" t="inlineStr">
        <is>
          <t>2Y</t>
        </is>
      </c>
      <c r="B11" s="36" t="n">
        <v>1.365</v>
      </c>
      <c r="C11" s="37" t="n">
        <v>0.385</v>
      </c>
      <c r="D11" s="37" t="n">
        <v>0.14</v>
      </c>
      <c r="E11" s="37" t="n">
        <v>0.34</v>
      </c>
    </row>
  </sheetData>
  <pageMargins left="0.7875" right="0.7875" top="1.025" bottom="1.025" header="0.7875" footer="0.7875"/>
  <pageSetup orientation="portrait" firstPageNumber="0" horizontalDpi="300" verticalDpi="300"/>
  <headerFooter>
    <oddHeader>&amp;C&amp;A</oddHeader>
    <oddFooter>&amp;CPage &amp;P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 codeName="Sheet20">
    <outlinePr summaryBelow="1" summaryRight="1"/>
    <pageSetUpPr/>
  </sheetPr>
  <dimension ref="A1:U30"/>
  <sheetViews>
    <sheetView zoomScaleNormal="100" workbookViewId="0">
      <selection activeCell="M14" sqref="M14"/>
    </sheetView>
  </sheetViews>
  <sheetFormatPr baseColWidth="8" defaultColWidth="9.140625" defaultRowHeight="12.75"/>
  <cols>
    <col width="6.42578125" customWidth="1" style="12" min="1" max="1"/>
    <col width="7.7109375" customWidth="1" style="12" min="2" max="3"/>
    <col width="7.85546875" customWidth="1" style="12" min="4" max="5"/>
    <col width="8.7109375" customWidth="1" style="12" min="6" max="7"/>
    <col width="10.28515625" customWidth="1" style="12" min="8" max="8"/>
    <col width="15.85546875" customWidth="1" style="12" min="9" max="9"/>
    <col width="8.7109375" customWidth="1" style="12" min="10" max="11"/>
    <col width="12.85546875" customWidth="1" style="12" min="12" max="12"/>
    <col width="15" customWidth="1" style="12" min="13" max="13"/>
    <col width="8.7109375" customWidth="1" style="12" min="14" max="14"/>
    <col width="12.85546875" customWidth="1" style="12" min="15" max="15"/>
    <col width="8.7109375" customWidth="1" style="12" min="16" max="1025"/>
    <col width="9.140625" customWidth="1" style="12" min="1026" max="1029"/>
    <col width="9.140625" customWidth="1" style="12" min="1030" max="16384"/>
  </cols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4" t="n">
        <v>0.3175</v>
      </c>
      <c r="C2" t="n">
        <v>0.08</v>
      </c>
      <c r="D2" t="n">
        <v>-0.375</v>
      </c>
      <c r="E2" s="34" t="n">
        <v>-0.83</v>
      </c>
    </row>
    <row r="3">
      <c r="A3" t="inlineStr">
        <is>
          <t>2W</t>
        </is>
      </c>
      <c r="B3" s="34" t="n">
        <v>0.31</v>
      </c>
      <c r="C3" t="n">
        <v>0.0775</v>
      </c>
      <c r="D3" t="n">
        <v>-0.39</v>
      </c>
      <c r="E3" s="34" t="n">
        <v>-0.9000000000000001</v>
      </c>
    </row>
    <row r="4">
      <c r="A4" t="inlineStr">
        <is>
          <t>1M</t>
        </is>
      </c>
      <c r="B4" s="34" t="n">
        <v>0.315</v>
      </c>
      <c r="C4" t="n">
        <v>0.0925</v>
      </c>
      <c r="D4" s="11" t="n">
        <v>-0.39</v>
      </c>
      <c r="E4" s="34" t="n">
        <v>-0.895</v>
      </c>
    </row>
    <row r="5">
      <c r="A5" t="inlineStr">
        <is>
          <t>2M</t>
        </is>
      </c>
      <c r="B5" s="34" t="n">
        <v>0.325</v>
      </c>
      <c r="C5" t="n">
        <v>0.092</v>
      </c>
      <c r="D5" s="11" t="n">
        <v>-0.385</v>
      </c>
      <c r="E5" s="34" t="n">
        <v>-0.9000000000000001</v>
      </c>
    </row>
    <row r="6">
      <c r="A6" t="inlineStr">
        <is>
          <t>3M</t>
        </is>
      </c>
      <c r="B6" s="34" t="n">
        <v>0.395</v>
      </c>
      <c r="C6" t="n">
        <v>0.12</v>
      </c>
      <c r="D6" s="11" t="n">
        <v>-0.385</v>
      </c>
      <c r="E6" s="34" t="n">
        <v>-0.915</v>
      </c>
      <c r="L6" s="38" t="n"/>
    </row>
    <row r="7">
      <c r="A7" t="inlineStr">
        <is>
          <t>6M</t>
        </is>
      </c>
      <c r="B7" s="34" t="n">
        <v>0.59</v>
      </c>
      <c r="C7" t="n">
        <v>0.188</v>
      </c>
      <c r="D7" s="11" t="n">
        <v>-0.3275</v>
      </c>
      <c r="E7" s="39" t="n">
        <v>-0.8250000000000001</v>
      </c>
    </row>
    <row r="8">
      <c r="A8" t="inlineStr">
        <is>
          <t>9M</t>
        </is>
      </c>
      <c r="B8" s="34" t="n">
        <v>0.8250000000000001</v>
      </c>
      <c r="C8" t="n">
        <v>0.2425</v>
      </c>
      <c r="D8" s="11" t="n">
        <v>-0.4225</v>
      </c>
      <c r="E8" s="39" t="n">
        <v>-1.08</v>
      </c>
      <c r="L8" s="40" t="n"/>
    </row>
    <row r="9">
      <c r="A9" t="inlineStr">
        <is>
          <t>1Y</t>
        </is>
      </c>
      <c r="B9" s="34" t="n">
        <v>1.035</v>
      </c>
      <c r="C9" t="n">
        <v>0.3025</v>
      </c>
      <c r="D9" s="11" t="n">
        <v>-0.5375</v>
      </c>
      <c r="E9" s="39" t="n">
        <v>-1.3675</v>
      </c>
      <c r="O9" s="41" t="n"/>
    </row>
    <row r="10">
      <c r="A10" t="inlineStr">
        <is>
          <t>2Y</t>
        </is>
      </c>
      <c r="B10" s="34" t="n">
        <v>1.6675</v>
      </c>
      <c r="C10" s="11" t="n">
        <v>0.44</v>
      </c>
      <c r="D10" s="11" t="n">
        <v>-1.0375</v>
      </c>
      <c r="E10" s="39" t="n">
        <v>-2.355</v>
      </c>
      <c r="O10" s="42" t="n"/>
    </row>
    <row r="11"/>
    <row r="12">
      <c r="T12" s="40" t="n"/>
      <c r="U12" s="43" t="n"/>
    </row>
    <row r="13">
      <c r="T13" s="40" t="n"/>
    </row>
    <row r="14"/>
    <row r="15"/>
    <row r="16"/>
    <row r="17"/>
    <row r="18"/>
    <row r="19">
      <c r="J19" s="44" t="n"/>
    </row>
    <row r="20">
      <c r="L20" s="40" t="n"/>
    </row>
    <row r="21">
      <c r="L21" s="7" t="n"/>
    </row>
    <row r="22"/>
    <row r="23"/>
    <row r="24"/>
    <row r="25">
      <c r="I25" s="40" t="n"/>
    </row>
    <row r="26"/>
    <row r="27"/>
    <row r="28"/>
    <row r="29">
      <c r="I29" s="40" t="n"/>
    </row>
    <row r="30">
      <c r="I30" s="7" t="n"/>
      <c r="L30" s="45" t="n"/>
    </row>
  </sheetData>
  <pageMargins left="0.7875" right="0.7875" top="1.025" bottom="1.025" header="0.7875" footer="0.7875"/>
  <pageSetup orientation="portrait" useFirstPageNumber="1" horizontalDpi="300" verticalDpi="300"/>
  <headerFooter>
    <oddHeader>&amp;C&amp;A</oddHeader>
    <oddFooter>&amp;CPage &amp;P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 codeName="Sheet21">
    <outlinePr summaryBelow="1" summaryRight="1"/>
    <pageSetUpPr/>
  </sheetPr>
  <dimension ref="A1:U30"/>
  <sheetViews>
    <sheetView zoomScaleNormal="100" workbookViewId="0">
      <selection activeCell="D6" sqref="D6"/>
    </sheetView>
  </sheetViews>
  <sheetFormatPr baseColWidth="8" defaultRowHeight="12.75"/>
  <cols>
    <col width="6.42578125" customWidth="1" style="12" min="1" max="1"/>
    <col width="7.7109375" customWidth="1" style="12" min="2" max="3"/>
    <col width="7.85546875" customWidth="1" style="12" min="4" max="5"/>
    <col width="8.7109375" customWidth="1" style="12" min="6" max="7"/>
    <col width="10.28515625" customWidth="1" style="12" min="8" max="8"/>
    <col width="8.7109375" customWidth="1" style="12" min="9" max="11"/>
    <col width="12.85546875" customWidth="1" style="12" min="12" max="12"/>
    <col width="15" customWidth="1" style="12" min="13" max="13"/>
    <col width="8.7109375" customWidth="1" style="12" min="14" max="14"/>
    <col width="12.85546875" customWidth="1" style="12" min="15" max="15"/>
    <col width="8.7109375" customWidth="1" style="12" min="16" max="1025"/>
  </cols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4" t="n">
        <v>0.336</v>
      </c>
      <c r="C2" t="n">
        <v>0.105</v>
      </c>
      <c r="D2" t="n">
        <v>-0.08749999999999999</v>
      </c>
      <c r="E2" s="34" t="n">
        <v>-0.1575</v>
      </c>
    </row>
    <row r="3">
      <c r="A3" t="inlineStr">
        <is>
          <t>2W</t>
        </is>
      </c>
      <c r="B3" s="34" t="n">
        <v>0.336</v>
      </c>
      <c r="C3" t="n">
        <v>0.105</v>
      </c>
      <c r="D3" t="n">
        <v>-0.0775</v>
      </c>
      <c r="E3" s="34" t="n">
        <v>-0.1395</v>
      </c>
    </row>
    <row r="4">
      <c r="A4" t="inlineStr">
        <is>
          <t>1M</t>
        </is>
      </c>
      <c r="B4" s="34" t="n">
        <v>0.344</v>
      </c>
      <c r="C4" t="n">
        <v>0.1075</v>
      </c>
      <c r="D4" s="11" t="n">
        <v>-0.0775</v>
      </c>
      <c r="E4" s="34" t="n">
        <v>-0.1395</v>
      </c>
    </row>
    <row r="5">
      <c r="A5" t="inlineStr">
        <is>
          <t>2M</t>
        </is>
      </c>
      <c r="B5" s="34" t="n">
        <v>0.4</v>
      </c>
      <c r="C5" t="n">
        <v>0.125</v>
      </c>
      <c r="D5" s="11" t="n">
        <v>-0.1</v>
      </c>
      <c r="E5" s="34" t="n">
        <v>-0.18</v>
      </c>
    </row>
    <row r="6">
      <c r="A6" t="inlineStr">
        <is>
          <t>3M</t>
        </is>
      </c>
      <c r="B6" s="34" t="n">
        <v>0.464</v>
      </c>
      <c r="C6" t="n">
        <v>0.145</v>
      </c>
      <c r="D6" s="11" t="n">
        <v>-0.1225</v>
      </c>
      <c r="E6" s="34" t="n">
        <v>-0.2205</v>
      </c>
      <c r="L6" s="38" t="n"/>
    </row>
    <row r="7">
      <c r="A7" t="inlineStr">
        <is>
          <t>6M</t>
        </is>
      </c>
      <c r="B7" s="34" t="n">
        <v>0.6104999999999999</v>
      </c>
      <c r="C7" t="n">
        <v>0.185</v>
      </c>
      <c r="D7" s="11" t="n">
        <v>-0.165</v>
      </c>
      <c r="E7" s="34" t="n">
        <v>-0.297</v>
      </c>
    </row>
    <row r="8">
      <c r="A8" t="inlineStr">
        <is>
          <t>9M</t>
        </is>
      </c>
      <c r="B8" s="34" t="n">
        <v>0.7202500000000001</v>
      </c>
      <c r="C8" t="n">
        <v>0.215</v>
      </c>
      <c r="D8" s="11" t="n">
        <v>-0.185</v>
      </c>
      <c r="E8" s="34" t="n">
        <v>-0.333</v>
      </c>
      <c r="L8" s="40" t="n"/>
    </row>
    <row r="9">
      <c r="A9" t="inlineStr">
        <is>
          <t>1Y</t>
        </is>
      </c>
      <c r="B9" s="34" t="n">
        <v>0.85</v>
      </c>
      <c r="C9" t="n">
        <v>0.25</v>
      </c>
      <c r="D9" s="11" t="n">
        <v>-0.21</v>
      </c>
      <c r="E9" s="34" t="n">
        <v>-0.378</v>
      </c>
      <c r="O9" s="41" t="n"/>
    </row>
    <row r="10">
      <c r="A10" t="inlineStr">
        <is>
          <t>2Y</t>
        </is>
      </c>
      <c r="B10" s="34" t="n">
        <v>0.83475</v>
      </c>
      <c r="C10" s="11" t="n">
        <v>0.265</v>
      </c>
      <c r="D10" s="11" t="n">
        <v>-0.11</v>
      </c>
      <c r="E10" s="34" t="n">
        <v>-0.198</v>
      </c>
      <c r="O10" s="42" t="n"/>
    </row>
    <row r="11"/>
    <row r="12">
      <c r="T12" s="40" t="n"/>
      <c r="U12" s="43" t="n"/>
    </row>
    <row r="13">
      <c r="T13" s="40" t="n"/>
    </row>
    <row r="14"/>
    <row r="15">
      <c r="L15" s="46" t="n"/>
    </row>
    <row r="16"/>
    <row r="17"/>
    <row r="18"/>
    <row r="19">
      <c r="J19" s="44" t="n"/>
    </row>
    <row r="20">
      <c r="L20" s="40" t="n"/>
    </row>
    <row r="21">
      <c r="L21" s="7" t="n"/>
    </row>
    <row r="22"/>
    <row r="23"/>
    <row r="24"/>
    <row r="25"/>
    <row r="26"/>
    <row r="27"/>
    <row r="28"/>
    <row r="29"/>
    <row r="30">
      <c r="L30" s="45" t="n"/>
    </row>
  </sheetData>
  <pageMargins left="0.7875" right="0.7875" top="1.025" bottom="1.025" header="0.7875" footer="0.7875"/>
  <pageSetup orientation="portrait" useFirstPageNumber="1" horizontalDpi="300" verticalDpi="300"/>
  <headerFooter>
    <oddHeader>&amp;C&amp;A</oddHeader>
    <oddFooter>&amp;CPage &amp;P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 codeName="Sheet22">
    <outlinePr summaryBelow="1" summaryRight="1"/>
    <pageSetUpPr/>
  </sheetPr>
  <dimension ref="A1:E11"/>
  <sheetViews>
    <sheetView workbookViewId="0">
      <selection activeCell="O20" sqref="O20"/>
    </sheetView>
  </sheetViews>
  <sheetFormatPr baseColWidth="8" defaultRowHeight="12.75"/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47" t="n">
        <v>0.3225</v>
      </c>
      <c r="C2" t="n">
        <v>0.1025</v>
      </c>
      <c r="D2" t="n">
        <v>-0.1075</v>
      </c>
      <c r="E2" s="47" t="n">
        <v>-0.2075</v>
      </c>
    </row>
    <row r="3">
      <c r="A3" t="inlineStr">
        <is>
          <t>2W</t>
        </is>
      </c>
      <c r="B3" s="47" t="n">
        <v>0.3325</v>
      </c>
      <c r="C3" t="n">
        <v>0.1025</v>
      </c>
      <c r="D3" t="n">
        <v>-0.095</v>
      </c>
      <c r="E3" s="47" t="n">
        <v>-0.1825</v>
      </c>
    </row>
    <row r="4">
      <c r="A4" t="inlineStr">
        <is>
          <t>3W</t>
        </is>
      </c>
      <c r="B4" s="47" t="n">
        <v>0.3525</v>
      </c>
      <c r="C4" t="n">
        <v>0.1075</v>
      </c>
      <c r="D4" t="n">
        <v>-0.0825</v>
      </c>
      <c r="E4" s="47" t="n">
        <v>-0.15</v>
      </c>
    </row>
    <row r="5">
      <c r="A5" t="inlineStr">
        <is>
          <t>1M</t>
        </is>
      </c>
      <c r="B5" s="47" t="n">
        <v>0.3625</v>
      </c>
      <c r="C5" t="n">
        <v>0.11</v>
      </c>
      <c r="D5" t="n">
        <v>-0.0725</v>
      </c>
      <c r="E5" s="47" t="n">
        <v>-0.13</v>
      </c>
    </row>
    <row r="6">
      <c r="A6" t="inlineStr">
        <is>
          <t>2M</t>
        </is>
      </c>
      <c r="B6" s="47" t="n">
        <v>0.42</v>
      </c>
      <c r="C6" t="n">
        <v>0.1275</v>
      </c>
      <c r="D6" t="n">
        <v>-0.075</v>
      </c>
      <c r="E6" s="47" t="n">
        <v>-0.1475</v>
      </c>
    </row>
    <row r="7">
      <c r="A7" t="inlineStr">
        <is>
          <t>3M</t>
        </is>
      </c>
      <c r="B7" s="47" t="n">
        <v>0.4725</v>
      </c>
      <c r="C7" t="n">
        <v>0.15</v>
      </c>
      <c r="D7" t="n">
        <v>-0.1</v>
      </c>
      <c r="E7" s="47" t="n">
        <v>-0.175</v>
      </c>
    </row>
    <row r="8">
      <c r="A8" t="inlineStr">
        <is>
          <t>6M</t>
        </is>
      </c>
      <c r="B8" s="47" t="n">
        <v>0.595</v>
      </c>
      <c r="C8" t="n">
        <v>0.1825</v>
      </c>
      <c r="D8" t="n">
        <v>-0.1725</v>
      </c>
      <c r="E8" s="47" t="n">
        <v>-0.3</v>
      </c>
    </row>
    <row r="9">
      <c r="A9" t="inlineStr">
        <is>
          <t>9M</t>
        </is>
      </c>
      <c r="B9" s="47" t="n">
        <v>0.6975</v>
      </c>
      <c r="C9" t="n">
        <v>0.2025</v>
      </c>
      <c r="D9" t="n">
        <v>-0.215</v>
      </c>
      <c r="E9" s="47" t="n">
        <v>-0.3875</v>
      </c>
    </row>
    <row r="10">
      <c r="A10" t="inlineStr">
        <is>
          <t>1Y</t>
        </is>
      </c>
      <c r="B10" s="47" t="n">
        <v>0.8275</v>
      </c>
      <c r="C10" t="n">
        <v>0.255</v>
      </c>
      <c r="D10" t="n">
        <v>-0.2625</v>
      </c>
      <c r="E10" s="47" t="n">
        <v>-0.4725</v>
      </c>
    </row>
    <row r="11">
      <c r="A11" t="inlineStr">
        <is>
          <t>2Y</t>
        </is>
      </c>
      <c r="B11" s="47" t="n">
        <v>0.875</v>
      </c>
      <c r="C11" t="n">
        <v>0.26</v>
      </c>
      <c r="D11" t="n">
        <v>-0.3775</v>
      </c>
      <c r="E11" s="47" t="n">
        <v>-0.6875</v>
      </c>
    </row>
  </sheetData>
  <pageMargins left="0.7" right="0.7" top="0.75" bottom="0.75" header="0.3" footer="0.3"/>
  <pageSetup orientation="portrait" paperSize="9"/>
</worksheet>
</file>

<file path=xl/worksheets/sheet27.xml><?xml version="1.0" encoding="utf-8"?>
<worksheet xmlns="http://schemas.openxmlformats.org/spreadsheetml/2006/main">
  <sheetPr codeName="Sheet26">
    <outlinePr summaryBelow="1" summaryRight="1"/>
    <pageSetUpPr/>
  </sheetPr>
  <dimension ref="A1:E11"/>
  <sheetViews>
    <sheetView workbookViewId="0">
      <selection activeCell="B2" sqref="B2:E11"/>
    </sheetView>
  </sheetViews>
  <sheetFormatPr baseColWidth="8" defaultRowHeight="12.75"/>
  <cols>
    <col width="9.140625" customWidth="1" style="12" min="1" max="4"/>
    <col width="9.140625" customWidth="1" style="12" min="5" max="16384"/>
  </cols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47" t="n">
        <v>1.49</v>
      </c>
      <c r="C2" t="n">
        <v>0.4275</v>
      </c>
      <c r="D2" t="n">
        <v>1.175</v>
      </c>
      <c r="E2" s="47" t="n">
        <v>2.2575</v>
      </c>
    </row>
    <row r="3">
      <c r="A3" t="inlineStr">
        <is>
          <t>2W</t>
        </is>
      </c>
      <c r="B3" s="47" t="n">
        <v>1.8225</v>
      </c>
      <c r="C3" t="n">
        <v>0.515</v>
      </c>
      <c r="D3" t="n">
        <v>1.1825</v>
      </c>
      <c r="E3" s="47" t="n">
        <v>2.2325</v>
      </c>
    </row>
    <row r="4">
      <c r="A4" t="inlineStr">
        <is>
          <t>3W</t>
        </is>
      </c>
      <c r="B4" s="47" t="n">
        <v>2.005</v>
      </c>
      <c r="C4" t="n">
        <v>0.5625</v>
      </c>
      <c r="D4" t="n">
        <v>1.3375</v>
      </c>
      <c r="E4" s="47" t="n">
        <v>2.505</v>
      </c>
    </row>
    <row r="5">
      <c r="A5" t="inlineStr">
        <is>
          <t>1M</t>
        </is>
      </c>
      <c r="B5" s="47" t="n">
        <v>2.1075</v>
      </c>
      <c r="C5" t="n">
        <v>0.5925</v>
      </c>
      <c r="D5" t="n">
        <v>1.445</v>
      </c>
      <c r="E5" s="47" t="n">
        <v>2.6925</v>
      </c>
    </row>
    <row r="6">
      <c r="A6" t="inlineStr">
        <is>
          <t>2M</t>
        </is>
      </c>
      <c r="B6" s="47" t="n">
        <v>2.465</v>
      </c>
      <c r="C6" t="n">
        <v>0.6875</v>
      </c>
      <c r="D6" t="n">
        <v>1.4225</v>
      </c>
      <c r="E6" s="47" t="n">
        <v>2.6725</v>
      </c>
    </row>
    <row r="7">
      <c r="A7" t="inlineStr">
        <is>
          <t>3M</t>
        </is>
      </c>
      <c r="B7" s="47" t="n">
        <v>2.645</v>
      </c>
      <c r="C7" t="n">
        <v>0.7425</v>
      </c>
      <c r="D7" t="n">
        <v>1.4625</v>
      </c>
      <c r="E7" s="47" t="n">
        <v>2.7675</v>
      </c>
    </row>
    <row r="8">
      <c r="A8" t="inlineStr">
        <is>
          <t>6M</t>
        </is>
      </c>
      <c r="B8" s="47" t="n">
        <v>2.83</v>
      </c>
      <c r="C8" t="n">
        <v>0.8075</v>
      </c>
      <c r="D8" t="n">
        <v>1.3425</v>
      </c>
      <c r="E8" s="47" t="n">
        <v>2.595</v>
      </c>
    </row>
    <row r="9">
      <c r="A9" t="inlineStr">
        <is>
          <t>9M</t>
        </is>
      </c>
      <c r="B9" s="47" t="n">
        <v>3.015</v>
      </c>
      <c r="C9" t="n">
        <v>0.8725000000000001</v>
      </c>
      <c r="D9" t="n">
        <v>1.2275</v>
      </c>
      <c r="E9" s="47" t="n">
        <v>2.395</v>
      </c>
    </row>
    <row r="10">
      <c r="A10" t="inlineStr">
        <is>
          <t>1Y</t>
        </is>
      </c>
      <c r="B10" s="47" t="n">
        <v>3.1075</v>
      </c>
      <c r="C10" t="n">
        <v>0.8975</v>
      </c>
      <c r="D10" t="n">
        <v>1.165</v>
      </c>
      <c r="E10" s="47" t="n">
        <v>2.3575</v>
      </c>
    </row>
    <row r="11">
      <c r="A11" t="inlineStr">
        <is>
          <t>2Y</t>
        </is>
      </c>
      <c r="B11" s="47" t="n">
        <v>3.22</v>
      </c>
      <c r="C11" t="n">
        <v>0.8975</v>
      </c>
      <c r="D11" t="n">
        <v>1.0375</v>
      </c>
      <c r="E11" s="47" t="n">
        <v>2.21</v>
      </c>
    </row>
  </sheetData>
  <pageMargins left="0.7" right="0.7" top="0.75" bottom="0.75" header="0.3" footer="0.3"/>
  <pageSetup orientation="portrait" paperSize="9"/>
</worksheet>
</file>

<file path=xl/worksheets/sheet28.xml><?xml version="1.0" encoding="utf-8"?>
<worksheet xmlns="http://schemas.openxmlformats.org/spreadsheetml/2006/main">
  <sheetPr codeName="Sheet23">
    <outlinePr summaryBelow="1" summaryRight="1"/>
    <pageSetUpPr/>
  </sheetPr>
  <dimension ref="A1:E10"/>
  <sheetViews>
    <sheetView workbookViewId="0">
      <selection activeCell="E5" sqref="E5"/>
    </sheetView>
  </sheetViews>
  <sheetFormatPr baseColWidth="8" defaultRowHeight="12.75"/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4">
        <f>C2*3.2</f>
        <v>0.46399999999999997</v>
      </c>
      <c r="C2" s="48" t="n">
        <v>0.145</v>
      </c>
      <c r="D2" s="48" t="n">
        <v>-0.695</v>
      </c>
      <c r="E2" s="34">
        <f>D2*1.8</f>
        <v>-1.251</v>
      </c>
    </row>
    <row r="3">
      <c r="A3" t="inlineStr">
        <is>
          <t>2W</t>
        </is>
      </c>
      <c r="B3" s="34">
        <f>C3*3.2</f>
        <v>0.4864</v>
      </c>
      <c r="C3" s="48" t="n">
        <v>0.152</v>
      </c>
      <c r="D3" s="48" t="n">
        <v>-0.65</v>
      </c>
      <c r="E3" s="34">
        <f>D3*1.8</f>
        <v>-1.1700000000000002</v>
      </c>
    </row>
    <row r="4">
      <c r="A4" t="inlineStr">
        <is>
          <t>1M</t>
        </is>
      </c>
      <c r="B4" s="34">
        <f>C4*3.2</f>
        <v>0.5056</v>
      </c>
      <c r="C4" s="48" t="n">
        <v>0.158</v>
      </c>
      <c r="D4" s="48" t="n">
        <v>-0.613</v>
      </c>
      <c r="E4" s="34">
        <f>D4*1.8</f>
        <v>-1.1034</v>
      </c>
    </row>
    <row r="5">
      <c r="A5" t="inlineStr">
        <is>
          <t>2M</t>
        </is>
      </c>
      <c r="B5" s="34">
        <f>C5*3.2</f>
        <v>0.576</v>
      </c>
      <c r="C5" s="48" t="n">
        <v>0.18</v>
      </c>
      <c r="D5" s="48" t="n">
        <v>-0.58</v>
      </c>
      <c r="E5" s="34">
        <f>D5*1.8</f>
        <v>-1.044</v>
      </c>
    </row>
    <row r="6">
      <c r="A6" t="inlineStr">
        <is>
          <t>3M</t>
        </is>
      </c>
      <c r="B6" s="34">
        <f>C6*3.2</f>
        <v>0.6176</v>
      </c>
      <c r="C6" s="48" t="n">
        <v>0.193</v>
      </c>
      <c r="D6" s="48" t="n">
        <v>-0.535</v>
      </c>
      <c r="E6" s="34">
        <f>D6*1.8</f>
        <v>-0.9630000000000001</v>
      </c>
    </row>
    <row r="7">
      <c r="A7" t="inlineStr">
        <is>
          <t>6M</t>
        </is>
      </c>
      <c r="B7" s="34">
        <f>C7*3.2</f>
        <v>0.656</v>
      </c>
      <c r="C7" s="48" t="n">
        <v>0.205</v>
      </c>
      <c r="D7" s="48" t="n">
        <v>-0.422</v>
      </c>
      <c r="E7" s="34">
        <f>D7*1.8</f>
        <v>-0.7595999999999999</v>
      </c>
    </row>
    <row r="8">
      <c r="A8" t="inlineStr">
        <is>
          <t>9M</t>
        </is>
      </c>
      <c r="B8" s="34">
        <f>C8*3.2</f>
        <v>0.656</v>
      </c>
      <c r="C8" s="48" t="n">
        <v>0.205</v>
      </c>
      <c r="D8" s="48" t="n">
        <v>-0.235</v>
      </c>
      <c r="E8" s="34">
        <f>D8*1.8</f>
        <v>-0.423</v>
      </c>
    </row>
    <row r="9">
      <c r="A9" t="inlineStr">
        <is>
          <t>1Y</t>
        </is>
      </c>
      <c r="B9" s="34">
        <f>C9*3.2</f>
        <v>0.7424000000000001</v>
      </c>
      <c r="C9" s="48" t="n">
        <v>0.232</v>
      </c>
      <c r="D9" s="48" t="n">
        <v>-0.147</v>
      </c>
      <c r="E9" s="34">
        <f>D9*1.8</f>
        <v>-0.2646</v>
      </c>
    </row>
    <row r="10">
      <c r="A10" t="inlineStr">
        <is>
          <t>2Y</t>
        </is>
      </c>
      <c r="B10" s="34">
        <f>C10*3.2</f>
        <v>0.8</v>
      </c>
      <c r="C10" s="48" t="n">
        <v>0.25</v>
      </c>
      <c r="D10" s="48" t="n">
        <v>0.008</v>
      </c>
      <c r="E10" s="34">
        <f>D10*1.8</f>
        <v>0.014400000000000001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27">
    <outlinePr summaryBelow="1" summaryRight="1"/>
    <pageSetUpPr/>
  </sheetPr>
  <dimension ref="A1:E11"/>
  <sheetViews>
    <sheetView workbookViewId="0">
      <selection activeCell="I10" sqref="I10"/>
    </sheetView>
  </sheetViews>
  <sheetFormatPr baseColWidth="8" defaultRowHeight="12.75"/>
  <cols>
    <col width="9.140625" customWidth="1" style="12" min="1" max="4"/>
    <col width="9.140625" customWidth="1" style="12" min="5" max="16384"/>
  </cols>
  <sheetData>
    <row r="1">
      <c r="A1" t="inlineStr">
        <is>
          <t>expiry</t>
        </is>
      </c>
      <c r="B1" t="inlineStr">
        <is>
          <t>ST 10D</t>
        </is>
      </c>
      <c r="C1" t="inlineStr">
        <is>
          <t>ST 25D</t>
        </is>
      </c>
      <c r="D1" t="inlineStr">
        <is>
          <t>RR 25D</t>
        </is>
      </c>
      <c r="E1" t="inlineStr">
        <is>
          <t>RR 10D</t>
        </is>
      </c>
    </row>
    <row r="2">
      <c r="A2" t="inlineStr">
        <is>
          <t>1W</t>
        </is>
      </c>
      <c r="B2" s="36" t="n">
        <v>6.3975</v>
      </c>
      <c r="C2" s="37" t="n">
        <v>1.715</v>
      </c>
      <c r="D2" s="37" t="n">
        <v>4.925</v>
      </c>
      <c r="E2" s="37" t="n">
        <v>9.83</v>
      </c>
    </row>
    <row r="3">
      <c r="A3" t="inlineStr">
        <is>
          <t>2W</t>
        </is>
      </c>
      <c r="B3" s="36" t="n">
        <v>6.2375</v>
      </c>
      <c r="C3" s="37" t="n">
        <v>1.6925</v>
      </c>
      <c r="D3" s="37" t="n">
        <v>5.12</v>
      </c>
      <c r="E3" s="37" t="n">
        <v>10.205</v>
      </c>
    </row>
    <row r="4">
      <c r="A4" t="inlineStr">
        <is>
          <t>3W</t>
        </is>
      </c>
      <c r="B4" s="36" t="n">
        <v>5.915</v>
      </c>
      <c r="C4" s="37" t="n">
        <v>1.7475</v>
      </c>
      <c r="D4" s="37" t="n">
        <v>5.415</v>
      </c>
      <c r="E4" s="37" t="n">
        <v>10.8175</v>
      </c>
    </row>
    <row r="5">
      <c r="A5" t="inlineStr">
        <is>
          <t>1M</t>
        </is>
      </c>
      <c r="B5" s="36" t="n">
        <v>5.7075</v>
      </c>
      <c r="C5" s="37" t="n">
        <v>1.79</v>
      </c>
      <c r="D5" s="37" t="n">
        <v>5.71</v>
      </c>
      <c r="E5" s="37" t="n">
        <v>11.36</v>
      </c>
    </row>
    <row r="6">
      <c r="A6" t="inlineStr">
        <is>
          <t>2M</t>
        </is>
      </c>
      <c r="B6" s="36" t="n">
        <v>6.0425</v>
      </c>
      <c r="C6" s="37" t="n">
        <v>2.0175</v>
      </c>
      <c r="D6" s="37" t="n">
        <v>6.4325</v>
      </c>
      <c r="E6" s="37" t="n">
        <v>12.8525</v>
      </c>
    </row>
    <row r="7">
      <c r="A7" t="inlineStr">
        <is>
          <t>3M</t>
        </is>
      </c>
      <c r="B7" s="36" t="n">
        <v>6.415</v>
      </c>
      <c r="C7" s="37" t="n">
        <v>2.2425</v>
      </c>
      <c r="D7" s="37" t="n">
        <v>6.86</v>
      </c>
      <c r="E7" s="37" t="n">
        <v>13.7625</v>
      </c>
    </row>
    <row r="8">
      <c r="A8" t="inlineStr">
        <is>
          <t>6M</t>
        </is>
      </c>
      <c r="B8" s="36" t="n">
        <v>7.5625</v>
      </c>
      <c r="C8" s="37" t="n">
        <v>2.7875</v>
      </c>
      <c r="D8" s="37" t="n">
        <v>7.5175</v>
      </c>
      <c r="E8" s="37" t="n">
        <v>15.265</v>
      </c>
    </row>
    <row r="9">
      <c r="A9" t="inlineStr">
        <is>
          <t>9M</t>
        </is>
      </c>
      <c r="B9" s="36" t="n">
        <v>8.7875</v>
      </c>
      <c r="C9" s="37" t="n">
        <v>3.3075</v>
      </c>
      <c r="D9" s="37" t="n">
        <v>8.015000000000001</v>
      </c>
      <c r="E9" s="37" t="n">
        <v>16.475</v>
      </c>
    </row>
    <row r="10">
      <c r="A10" t="inlineStr">
        <is>
          <t>1Y</t>
        </is>
      </c>
      <c r="B10" s="36" t="n">
        <v>9.305</v>
      </c>
      <c r="C10" s="37" t="n">
        <v>3.64</v>
      </c>
      <c r="D10" s="37" t="n">
        <v>8.51</v>
      </c>
      <c r="E10" s="37" t="n">
        <v>17.3275</v>
      </c>
    </row>
    <row r="11">
      <c r="A11" t="inlineStr">
        <is>
          <t>2Y</t>
        </is>
      </c>
      <c r="B11" s="36" t="n">
        <v>9.83</v>
      </c>
      <c r="C11" s="37" t="n">
        <v>4.0925</v>
      </c>
      <c r="D11" s="37" t="n">
        <v>8.432499999999999</v>
      </c>
      <c r="E11" s="37" t="n">
        <v>17.31</v>
      </c>
    </row>
  </sheetData>
  <pageMargins left="0.7" right="0.7" top="0.75" bottom="0.75" header="0.3" footer="0.3"/>
  <pageSetup orientation="portrait" paperSize="9"/>
</worksheet>
</file>

<file path=xl/worksheets/sheet30.xml><?xml version="1.0" encoding="utf-8"?>
<worksheet xmlns="http://schemas.openxmlformats.org/spreadsheetml/2006/main">
  <sheetPr codeName="Sheet31">
    <outlinePr summaryBelow="1" summaryRight="1"/>
    <pageSetUpPr/>
  </sheetPr>
  <dimension ref="A1:Z2"/>
  <sheetViews>
    <sheetView workbookViewId="0">
      <selection activeCell="O9" sqref="O9"/>
    </sheetView>
  </sheetViews>
  <sheetFormatPr baseColWidth="8" defaultRowHeight="12.75"/>
  <cols>
    <col width="16.7109375" bestFit="1" customWidth="1" style="12" min="1" max="1"/>
    <col width="5.5703125" bestFit="1" customWidth="1" style="12" min="2" max="2"/>
    <col width="5.140625" bestFit="1" customWidth="1" style="12" min="3" max="3"/>
    <col width="5.5703125" bestFit="1" customWidth="1" style="12" min="4" max="4"/>
    <col width="5.7109375" bestFit="1" customWidth="1" style="12" min="5" max="5"/>
    <col width="5.42578125" bestFit="1" customWidth="1" style="12" min="6" max="6"/>
    <col width="5.5703125" bestFit="1" customWidth="1" style="12" min="7" max="7"/>
    <col width="5.28515625" bestFit="1" customWidth="1" style="12" min="8" max="8"/>
    <col width="5.5703125" bestFit="1" customWidth="1" style="12" min="9" max="10"/>
    <col width="5.7109375" bestFit="1" customWidth="1" style="12" min="11" max="11"/>
    <col width="5.5703125" bestFit="1" customWidth="1" style="12" min="12" max="12"/>
  </cols>
  <sheetData>
    <row r="1">
      <c r="B1" t="inlineStr">
        <is>
          <t>GBP</t>
        </is>
      </c>
      <c r="C1" t="inlineStr">
        <is>
          <t>AUDJPY</t>
        </is>
      </c>
      <c r="D1" t="inlineStr">
        <is>
          <t>AUDNZD</t>
        </is>
      </c>
      <c r="E1" t="inlineStr">
        <is>
          <t>AUDUSD</t>
        </is>
      </c>
      <c r="F1" t="inlineStr">
        <is>
          <t>CHFJPY</t>
        </is>
      </c>
      <c r="G1" t="inlineStr">
        <is>
          <t>EURCHF</t>
        </is>
      </c>
      <c r="H1" t="inlineStr">
        <is>
          <t>EURCNH</t>
        </is>
      </c>
      <c r="I1" t="inlineStr">
        <is>
          <t>EURGBP</t>
        </is>
      </c>
      <c r="J1" t="inlineStr">
        <is>
          <t>EURJPY</t>
        </is>
      </c>
      <c r="K1" t="inlineStr">
        <is>
          <t>EURUSD</t>
        </is>
      </c>
      <c r="L1" t="inlineStr">
        <is>
          <t>GBPCNH</t>
        </is>
      </c>
      <c r="M1" t="inlineStr">
        <is>
          <t>GBPJPY</t>
        </is>
      </c>
      <c r="N1" t="inlineStr">
        <is>
          <t>GBPNZD</t>
        </is>
      </c>
      <c r="O1" t="inlineStr">
        <is>
          <t>GBPUSD</t>
        </is>
      </c>
      <c r="P1" t="inlineStr">
        <is>
          <t>NZDCAD</t>
        </is>
      </c>
      <c r="Q1" t="inlineStr">
        <is>
          <t>NZDUSD</t>
        </is>
      </c>
      <c r="R1" t="inlineStr">
        <is>
          <t>USDCAD</t>
        </is>
      </c>
      <c r="S1" t="inlineStr">
        <is>
          <t>USDCHF</t>
        </is>
      </c>
      <c r="T1" t="inlineStr">
        <is>
          <t>USDCNH</t>
        </is>
      </c>
      <c r="U1" t="inlineStr">
        <is>
          <t>USDCNY</t>
        </is>
      </c>
      <c r="V1" t="inlineStr">
        <is>
          <t>USDHKD</t>
        </is>
      </c>
      <c r="W1" t="inlineStr">
        <is>
          <t>USDJPY</t>
        </is>
      </c>
      <c r="X1" t="inlineStr">
        <is>
          <t>USDSGD</t>
        </is>
      </c>
      <c r="Y1" t="inlineStr">
        <is>
          <t>XAGUSD</t>
        </is>
      </c>
      <c r="Z1" t="inlineStr">
        <is>
          <t>XAUUSD</t>
        </is>
      </c>
    </row>
    <row r="2">
      <c r="A2" s="50" t="n">
        <v>46323.85416666666</v>
      </c>
      <c r="B2" t="n">
        <v>7.000000000000001</v>
      </c>
    </row>
  </sheetData>
  <pageMargins left="0.7" right="0.7" top="0.75" bottom="0.75" header="0.3" footer="0.3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L23" sqref="L23"/>
    </sheetView>
  </sheetViews>
  <sheetFormatPr baseColWidth="8" defaultRowHeight="12.75"/>
  <cols>
    <col width="9.140625" customWidth="1" style="14" min="1" max="2"/>
    <col width="9.140625" customWidth="1" style="14" min="3" max="16384"/>
  </cols>
  <sheetData>
    <row r="1">
      <c r="A1" s="14" t="inlineStr">
        <is>
          <t># How far each tenor moves when the anchor tenor moves one vol point.</t>
        </is>
      </c>
    </row>
    <row r="2">
      <c r="A2" s="14" t="inlineStr">
        <is>
          <t># 'default' is what every pair falls back to, cell by cell; a column headed by a pair is that pair's own shape. Only ratios matter -- the anchor's own weight cancels.</t>
        </is>
      </c>
    </row>
    <row r="3">
      <c r="A3" s="14" t="inlineStr">
        <is>
          <t># Marking screen &gt; ATM term structure &gt; bump; 'volkit vega &lt;pair&gt; --move 1'.</t>
        </is>
      </c>
    </row>
    <row r="4">
      <c r="A4" s="14" t="inlineStr">
        <is>
          <t>tenor</t>
        </is>
      </c>
      <c r="B4" s="14" t="inlineStr">
        <is>
          <t>default</t>
        </is>
      </c>
      <c r="C4" s="14" t="inlineStr">
        <is>
          <t>USDCNH</t>
        </is>
      </c>
      <c r="D4" s="14" t="inlineStr">
        <is>
          <t>note</t>
        </is>
      </c>
    </row>
    <row r="5">
      <c r="A5" s="14" t="inlineStr">
        <is>
          <t>1W</t>
        </is>
      </c>
      <c r="C5" s="14" t="n">
        <v>2.6</v>
      </c>
    </row>
    <row r="6">
      <c r="A6" s="14" t="inlineStr">
        <is>
          <t>2W</t>
        </is>
      </c>
      <c r="C6" s="14" t="n">
        <v>2.3</v>
      </c>
    </row>
    <row r="7">
      <c r="A7" s="14" t="inlineStr">
        <is>
          <t>1M</t>
        </is>
      </c>
      <c r="C7" s="14" t="n">
        <v>1.85</v>
      </c>
    </row>
    <row r="8">
      <c r="A8" s="14" t="inlineStr">
        <is>
          <t>2M</t>
        </is>
      </c>
      <c r="C8" s="14" t="n">
        <v>1.6</v>
      </c>
    </row>
    <row r="9">
      <c r="A9" s="14" t="inlineStr">
        <is>
          <t>3M</t>
        </is>
      </c>
      <c r="C9" s="14" t="n">
        <v>1.45</v>
      </c>
    </row>
    <row r="10">
      <c r="A10" s="14" t="inlineStr">
        <is>
          <t>6M</t>
        </is>
      </c>
      <c r="C10" s="14" t="n">
        <v>1.2</v>
      </c>
    </row>
    <row r="11">
      <c r="A11" s="14" t="inlineStr">
        <is>
          <t>9M</t>
        </is>
      </c>
      <c r="C11" s="14" t="n">
        <v>1.1</v>
      </c>
    </row>
    <row r="12">
      <c r="A12" s="14" t="inlineStr">
        <is>
          <t>1Y</t>
        </is>
      </c>
      <c r="C12" s="14" t="n">
        <v>1</v>
      </c>
    </row>
    <row r="13">
      <c r="A13" s="14" t="inlineStr">
        <is>
          <t>2Y</t>
        </is>
      </c>
      <c r="C13" s="14" t="n">
        <v>0.9</v>
      </c>
    </row>
    <row r="14">
      <c r="A14" s="14" t="inlineStr">
        <is>
          <t>3Y</t>
        </is>
      </c>
      <c r="C14" s="14" t="n">
        <v>0.85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 codeName="Sheet24">
    <outlinePr summaryBelow="1" summaryRight="1"/>
    <pageSetUpPr/>
  </sheetPr>
  <dimension ref="A1:Y9"/>
  <sheetViews>
    <sheetView zoomScaleNormal="100" workbookViewId="0">
      <selection activeCell="A9" sqref="A9:XFD9"/>
    </sheetView>
  </sheetViews>
  <sheetFormatPr baseColWidth="8" defaultRowHeight="12.75"/>
  <cols>
    <col width="16.140625" customWidth="1" style="1" min="1" max="1"/>
    <col width="10.85546875" customWidth="1" style="12" min="2" max="4"/>
    <col width="10.85546875" customWidth="1" style="10" min="5" max="5"/>
    <col width="10.85546875" customWidth="1" style="8" min="6" max="6"/>
    <col width="10.85546875" customWidth="1" style="12" min="7" max="15"/>
    <col width="11.5703125" customWidth="1" style="12" min="16" max="1027"/>
  </cols>
  <sheetData>
    <row r="1">
      <c r="B1" t="inlineStr">
        <is>
          <t>USDCNH</t>
        </is>
      </c>
      <c r="C1" t="inlineStr">
        <is>
          <t>USDCNY</t>
        </is>
      </c>
      <c r="D1" t="inlineStr">
        <is>
          <t>EURCNH</t>
        </is>
      </c>
      <c r="E1" s="10" t="inlineStr">
        <is>
          <t>GBPCNH</t>
        </is>
      </c>
      <c r="F1" s="8" t="inlineStr">
        <is>
          <t>USDJPY</t>
        </is>
      </c>
      <c r="G1" t="inlineStr">
        <is>
          <t>EURUSD</t>
        </is>
      </c>
      <c r="H1" t="inlineStr">
        <is>
          <t>AUDUSD</t>
        </is>
      </c>
      <c r="I1" t="inlineStr">
        <is>
          <t>GBPUSD</t>
        </is>
      </c>
      <c r="J1" t="inlineStr">
        <is>
          <t>NZDUSD</t>
        </is>
      </c>
      <c r="K1" t="inlineStr">
        <is>
          <t>AUDNZD</t>
        </is>
      </c>
      <c r="L1" t="inlineStr">
        <is>
          <t>AUDJPY</t>
        </is>
      </c>
      <c r="M1" t="inlineStr">
        <is>
          <t>EURJPY</t>
        </is>
      </c>
      <c r="N1" t="inlineStr">
        <is>
          <t>GBPNZD</t>
        </is>
      </c>
      <c r="O1" t="inlineStr">
        <is>
          <t>EURGBP</t>
        </is>
      </c>
      <c r="P1" t="inlineStr">
        <is>
          <t>USDCHF</t>
        </is>
      </c>
      <c r="Q1" t="inlineStr">
        <is>
          <t>USDCAD</t>
        </is>
      </c>
      <c r="R1" t="inlineStr">
        <is>
          <t>NZDCAD</t>
        </is>
      </c>
      <c r="S1" t="inlineStr">
        <is>
          <t>USDSGD</t>
        </is>
      </c>
      <c r="T1" t="inlineStr">
        <is>
          <t>USDHKD</t>
        </is>
      </c>
      <c r="U1" t="inlineStr">
        <is>
          <t>XAUUSD</t>
        </is>
      </c>
      <c r="V1" t="inlineStr">
        <is>
          <t>XAGUSD</t>
        </is>
      </c>
      <c r="W1" t="inlineStr">
        <is>
          <t>GBPJPY</t>
        </is>
      </c>
      <c r="X1" t="inlineStr">
        <is>
          <t>CHFJPY</t>
        </is>
      </c>
      <c r="Y1" t="inlineStr">
        <is>
          <t>EURCHF</t>
        </is>
      </c>
    </row>
    <row r="2">
      <c r="A2" s="2" t="inlineStr">
        <is>
          <t>initial</t>
        </is>
      </c>
      <c r="B2" s="11" t="n">
        <v>1.775</v>
      </c>
      <c r="C2" t="n">
        <v>2.6</v>
      </c>
      <c r="D2" t="n">
        <v>0.55</v>
      </c>
      <c r="E2" s="10" t="n">
        <v>0.5</v>
      </c>
      <c r="F2" s="8" t="n">
        <v>12</v>
      </c>
      <c r="G2" t="n">
        <v>5.4</v>
      </c>
      <c r="H2" t="n">
        <v>7.5</v>
      </c>
      <c r="I2" t="n">
        <v>5.6</v>
      </c>
      <c r="J2" t="n">
        <v>8.5</v>
      </c>
      <c r="K2" t="n">
        <v>0.79</v>
      </c>
      <c r="L2" t="n">
        <v>-0.48</v>
      </c>
      <c r="M2" t="n">
        <v>0.405</v>
      </c>
      <c r="N2" t="n">
        <v>0.705</v>
      </c>
      <c r="O2" t="n">
        <v>0.85</v>
      </c>
      <c r="P2" t="n">
        <v>7.3</v>
      </c>
      <c r="Q2" t="n">
        <v>5</v>
      </c>
      <c r="R2" t="n">
        <v>0.72</v>
      </c>
      <c r="S2" t="n">
        <v>3.87</v>
      </c>
      <c r="T2" t="n">
        <v>0.8250000000000001</v>
      </c>
      <c r="U2" t="n">
        <v>27</v>
      </c>
      <c r="V2" t="n">
        <v>30</v>
      </c>
      <c r="W2" t="n">
        <v>-0.5</v>
      </c>
      <c r="X2" t="n">
        <v>0</v>
      </c>
      <c r="Y2" t="n">
        <v>-0.83</v>
      </c>
    </row>
    <row r="3">
      <c r="A3" s="2" t="inlineStr">
        <is>
          <t>long term</t>
        </is>
      </c>
      <c r="B3" t="n">
        <v>4.3</v>
      </c>
      <c r="C3" t="n">
        <v>4.8</v>
      </c>
      <c r="D3" t="n">
        <v>0.49</v>
      </c>
      <c r="E3" s="10" t="n">
        <v>0.375</v>
      </c>
      <c r="F3" s="8" t="n">
        <v>9.4</v>
      </c>
      <c r="G3" t="n">
        <v>7.55</v>
      </c>
      <c r="H3" t="n">
        <v>10.1</v>
      </c>
      <c r="I3" t="n">
        <v>9.300000000000001</v>
      </c>
      <c r="J3" t="n">
        <v>10.5</v>
      </c>
      <c r="K3" t="n">
        <v>0.845</v>
      </c>
      <c r="L3" t="n">
        <v>-0.3</v>
      </c>
      <c r="M3" t="n">
        <v>0.395</v>
      </c>
      <c r="N3" t="n">
        <v>0.54</v>
      </c>
      <c r="O3" t="n">
        <v>0.75</v>
      </c>
      <c r="P3" t="n">
        <v>8.6</v>
      </c>
      <c r="Q3" t="n">
        <v>6</v>
      </c>
      <c r="R3" t="n">
        <v>0.66</v>
      </c>
      <c r="S3" t="n">
        <v>5.05</v>
      </c>
      <c r="T3" t="n">
        <v>0.95</v>
      </c>
      <c r="U3" t="n">
        <v>25.5</v>
      </c>
      <c r="V3" t="n">
        <v>30</v>
      </c>
      <c r="W3" t="n">
        <v>-0.38</v>
      </c>
      <c r="X3" t="n">
        <v>0</v>
      </c>
      <c r="Y3" t="n">
        <v>-0.7</v>
      </c>
    </row>
    <row r="4">
      <c r="A4" s="2" t="inlineStr">
        <is>
          <t>ratevol</t>
        </is>
      </c>
      <c r="B4" t="n">
        <v>0</v>
      </c>
      <c r="C4" t="n">
        <v>0</v>
      </c>
      <c r="D4" t="n">
        <v>0</v>
      </c>
      <c r="E4" s="10" t="n">
        <v>0</v>
      </c>
      <c r="F4" s="8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2" t="inlineStr">
        <is>
          <t>addon</t>
        </is>
      </c>
      <c r="B5" s="11" t="n">
        <v>-0.25</v>
      </c>
      <c r="C5" s="11" t="n">
        <v>-0.2</v>
      </c>
      <c r="D5" t="n">
        <v>0.8</v>
      </c>
      <c r="E5" s="10" t="n">
        <v>0.6</v>
      </c>
      <c r="F5" s="8" t="n">
        <v>1.5</v>
      </c>
      <c r="G5" t="n">
        <v>-0.2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-0.2</v>
      </c>
      <c r="N5" t="n">
        <v>0.6</v>
      </c>
      <c r="O5" t="n">
        <v>-0.5</v>
      </c>
      <c r="P5" t="n">
        <v>0</v>
      </c>
      <c r="Q5" t="n">
        <v>0</v>
      </c>
      <c r="R5" t="n">
        <v>0.2</v>
      </c>
      <c r="S5" t="n">
        <v>0</v>
      </c>
      <c r="T5" s="11" t="n">
        <v>0</v>
      </c>
      <c r="U5" s="11" t="n">
        <v>1</v>
      </c>
      <c r="V5" s="11" t="n">
        <v>0</v>
      </c>
      <c r="W5" s="11" t="n">
        <v>0</v>
      </c>
      <c r="X5" s="11" t="n">
        <v>0</v>
      </c>
      <c r="Y5" s="11" t="n">
        <v>0</v>
      </c>
    </row>
    <row r="6">
      <c r="A6" s="2" t="inlineStr">
        <is>
          <t>MR</t>
        </is>
      </c>
      <c r="B6" s="13" t="n">
        <v>3.3</v>
      </c>
      <c r="C6" s="11" t="n">
        <v>3.5</v>
      </c>
      <c r="D6" t="n">
        <v>5</v>
      </c>
      <c r="E6" s="10" t="n">
        <v>3</v>
      </c>
      <c r="F6" s="8" t="n">
        <v>5</v>
      </c>
      <c r="G6" t="n">
        <v>3.5</v>
      </c>
      <c r="H6" t="n">
        <v>4</v>
      </c>
      <c r="I6" t="n">
        <v>2.9</v>
      </c>
      <c r="J6" t="n">
        <v>3</v>
      </c>
      <c r="K6" t="n">
        <v>3.5</v>
      </c>
      <c r="L6" t="n">
        <v>4.75</v>
      </c>
      <c r="M6" t="n">
        <v>5</v>
      </c>
      <c r="N6" t="n">
        <v>4</v>
      </c>
      <c r="O6" t="n">
        <v>5</v>
      </c>
      <c r="P6" t="n">
        <v>4</v>
      </c>
      <c r="Q6" t="n">
        <v>3.75</v>
      </c>
      <c r="R6" t="n">
        <v>5</v>
      </c>
      <c r="S6" t="n">
        <v>3.5</v>
      </c>
      <c r="T6" s="13" t="n">
        <v>6</v>
      </c>
      <c r="U6" t="n">
        <v>5</v>
      </c>
      <c r="V6" t="n">
        <v>5</v>
      </c>
      <c r="W6" t="n">
        <v>3.5</v>
      </c>
      <c r="X6" t="n">
        <v>3.5</v>
      </c>
      <c r="Y6" t="n">
        <v>2</v>
      </c>
    </row>
    <row r="7">
      <c r="A7" s="2" t="inlineStr">
        <is>
          <t>rate corr</t>
        </is>
      </c>
      <c r="B7" t="n">
        <v>0</v>
      </c>
      <c r="C7" t="n">
        <v>0</v>
      </c>
      <c r="D7" t="n">
        <v>0</v>
      </c>
      <c r="E7" s="10" t="n">
        <v>0</v>
      </c>
      <c r="F7" s="8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2" t="inlineStr">
        <is>
          <t>short decay</t>
        </is>
      </c>
      <c r="B8" t="n">
        <v>50</v>
      </c>
      <c r="C8" t="n">
        <v>50</v>
      </c>
      <c r="D8" t="n">
        <v>50</v>
      </c>
      <c r="E8" s="10" t="n">
        <v>50</v>
      </c>
      <c r="F8" t="n">
        <v>50</v>
      </c>
      <c r="G8" t="n">
        <v>50</v>
      </c>
      <c r="H8" t="n">
        <v>50</v>
      </c>
      <c r="I8" t="n">
        <v>50</v>
      </c>
      <c r="J8" t="n">
        <v>50</v>
      </c>
      <c r="K8" t="n">
        <v>50</v>
      </c>
      <c r="L8" t="n">
        <v>50</v>
      </c>
      <c r="M8" t="n">
        <v>50</v>
      </c>
      <c r="N8" t="n">
        <v>50</v>
      </c>
      <c r="O8" t="n">
        <v>50</v>
      </c>
      <c r="P8" t="n">
        <v>50</v>
      </c>
      <c r="Q8" t="n">
        <v>50</v>
      </c>
      <c r="R8" t="n">
        <v>50</v>
      </c>
      <c r="S8" t="n">
        <v>50</v>
      </c>
      <c r="T8" t="n">
        <v>100</v>
      </c>
      <c r="U8" t="n">
        <v>50</v>
      </c>
      <c r="V8" t="n">
        <v>50</v>
      </c>
      <c r="W8" t="n">
        <v>50</v>
      </c>
      <c r="X8" t="n">
        <v>50</v>
      </c>
      <c r="Y8" t="n">
        <v>50</v>
      </c>
    </row>
    <row r="9">
      <c r="A9" t="inlineStr">
        <is>
          <t>anchor</t>
        </is>
      </c>
    </row>
  </sheetData>
  <pageMargins left="0.7875" right="0.7875" top="1.05277777777778" bottom="1.05277777777778" header="0.7875" footer="0.7875"/>
  <pageSetup orientation="portrait" firstPageNumber="0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 codeName="Sheet32"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2.75"/>
  <sheetData>
    <row r="1">
      <c r="A1" t="inlineStr">
        <is>
          <t>pair</t>
        </is>
      </c>
      <c r="B1" t="inlineStr">
        <is>
          <t>mode</t>
        </is>
      </c>
      <c r="C1" t="inlineStr">
        <is>
          <t>hazard</t>
        </is>
      </c>
      <c r="D1" t="inlineStr">
        <is>
          <t>weak_share</t>
        </is>
      </c>
      <c r="E1" t="inlineStr">
        <is>
          <t>weak_jump</t>
        </is>
      </c>
      <c r="F1" t="inlineStr">
        <is>
          <t>weak_vol</t>
        </is>
      </c>
      <c r="G1" t="inlineStr">
        <is>
          <t>strong_jump</t>
        </is>
      </c>
      <c r="H1" t="inlineStr">
        <is>
          <t>strong_vol</t>
        </is>
      </c>
      <c r="I1" t="inlineStr">
        <is>
          <t>lower</t>
        </is>
      </c>
      <c r="J1" t="inlineStr">
        <is>
          <t>upper</t>
        </is>
      </c>
      <c r="K1" t="inlineStr">
        <is>
          <t>blend</t>
        </is>
      </c>
      <c r="L1" t="inlineStr">
        <is>
          <t>delta</t>
        </is>
      </c>
      <c r="M1" t="inlineStr">
        <is>
          <t>solve_hazard</t>
        </is>
      </c>
    </row>
    <row r="2">
      <c r="A2" t="inlineStr">
        <is>
          <t>USDHKD</t>
        </is>
      </c>
      <c r="B2" t="inlineStr">
        <is>
          <t>mixture</t>
        </is>
      </c>
      <c r="C2" t="n">
        <v>8.148187671115876</v>
      </c>
      <c r="D2" t="n">
        <v>60.32748480490444</v>
      </c>
      <c r="E2" t="n">
        <v>2</v>
      </c>
      <c r="F2" t="n">
        <v>2</v>
      </c>
      <c r="G2" t="n">
        <v>7.000000000000001</v>
      </c>
      <c r="H2" t="n">
        <v>5</v>
      </c>
      <c r="K2" t="n">
        <v>100</v>
      </c>
      <c r="L2" t="n">
        <v>25</v>
      </c>
      <c r="M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2" topLeftCell="A13" activePane="bottomLeft" state="frozen"/>
      <selection pane="bottomLeft" activeCell="D32" sqref="D32"/>
    </sheetView>
  </sheetViews>
  <sheetFormatPr baseColWidth="8" defaultRowHeight="12.75"/>
  <cols>
    <col width="12" customWidth="1" style="14" min="1" max="1"/>
    <col width="10" customWidth="1" style="14" min="2" max="3"/>
    <col width="78" customWidth="1" style="14" min="4" max="4"/>
    <col width="9.140625" customWidth="1" style="14" min="5" max="6"/>
    <col width="9.140625" customWidth="1" style="14" min="7" max="16384"/>
  </cols>
  <sheetData>
    <row r="1">
      <c r="A1" s="14" t="inlineStr">
        <is>
          <t># Managed / pegged trading bands: pair, lower, upper, note.</t>
        </is>
      </c>
    </row>
    <row r="2">
      <c r="A2" s="14" t="inlineStr">
        <is>
          <t>#</t>
        </is>
      </c>
    </row>
    <row r="3">
      <c r="A3" s="14" t="inlineStr">
        <is>
          <t># These are policy settings, not market data. Check them against the central</t>
        </is>
      </c>
    </row>
    <row r="4">
      <c r="A4" s="14" t="inlineStr">
        <is>
          <t># bank before use, and delete a pair whose regime changes.</t>
        </is>
      </c>
    </row>
    <row r="5">
      <c r="A5" s="14" t="inlineStr">
        <is>
          <t>#</t>
        </is>
      </c>
    </row>
    <row r="6">
      <c r="A6" s="14" t="inlineStr">
        <is>
          <t># A band here means a HARD, defended range for the spot. Only list a pair on</t>
        </is>
      </c>
    </row>
    <row r="7">
      <c r="A7" s="14" t="inlineStr">
        <is>
          <t># this tab if that is true: the model gives strikes outside the band zero</t>
        </is>
      </c>
    </row>
    <row r="8">
      <c r="A8" s="14" t="inlineStr">
        <is>
          <t># in-band value, which is right for a defended peg and wrong for anything else.</t>
        </is>
      </c>
    </row>
    <row r="9">
      <c r="A9" s="14" t="inlineStr">
        <is>
          <t>#</t>
        </is>
      </c>
    </row>
    <row r="10">
      <c r="A10" s="14" t="inlineStr">
        <is>
          <t># Not to be confused with the BANDS tab, which is the marking *treatment* for a</t>
        </is>
      </c>
    </row>
    <row r="11">
      <c r="A11" s="14" t="inlineStr">
        <is>
          <t># pegged pair -- hazard, jump sizes, blend. The defended range itself is here.</t>
        </is>
      </c>
    </row>
    <row r="12">
      <c r="A12" s="14" t="inlineStr">
        <is>
          <t>pair</t>
        </is>
      </c>
      <c r="B12" s="14" t="inlineStr">
        <is>
          <t>lower</t>
        </is>
      </c>
      <c r="C12" s="14" t="inlineStr">
        <is>
          <t>upper</t>
        </is>
      </c>
      <c r="D12" s="14" t="inlineStr">
        <is>
          <t>note</t>
        </is>
      </c>
    </row>
    <row r="13">
      <c r="A13" s="14" t="inlineStr">
        <is>
          <t>USDHKD</t>
        </is>
      </c>
      <c r="B13" s="14" t="n">
        <v>7.75</v>
      </c>
      <c r="C13" s="14" t="n">
        <v>7.85</v>
      </c>
      <c r="D13" s="14" t="inlineStr">
        <is>
          <t>HKMA Convertibility Undertakings under the Linked Exchange Rate System</t>
        </is>
      </c>
    </row>
    <row r="14">
      <c r="A14" s="14" t="inlineStr">
        <is>
          <t>#</t>
        </is>
      </c>
    </row>
    <row r="15">
      <c r="A15" s="14" t="inlineStr">
        <is>
          <t># Deliberately NOT listed:</t>
        </is>
      </c>
    </row>
    <row r="16">
      <c r="A16" s="14" t="inlineStr">
        <is>
          <t>#   USDCNY - the +/-2% limit is around a daily fixing, so the band moves every</t>
        </is>
      </c>
    </row>
    <row r="17">
      <c r="A17" s="14" t="inlineStr">
        <is>
          <t>#            day and is not a fixed range for a multi-month option.</t>
        </is>
      </c>
    </row>
    <row r="18">
      <c r="A18" s="14" t="inlineStr">
        <is>
          <t>#   USDCNH - offshore, not subject to the onshore limit at all.</t>
        </is>
      </c>
    </row>
    <row r="19">
      <c r="A19" s="14" t="inlineStr">
        <is>
          <t>#   DKK    - ERM II central rate 7.46038 with a +/-2.25% formal band, but the</t>
        </is>
      </c>
    </row>
    <row r="20">
      <c r="A20" s="14" t="inlineStr">
        <is>
          <t>#            Nationalbank runs a far tighter de facto range; add it only with</t>
        </is>
      </c>
    </row>
    <row r="21">
      <c r="A21" s="14" t="inlineStr">
        <is>
          <t>#            a range you are prepared to defend.</t>
        </is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8" topLeftCell="A9" activePane="bottomLeft" state="frozen"/>
      <selection pane="bottomLeft" activeCell="K18" sqref="K18"/>
    </sheetView>
  </sheetViews>
  <sheetFormatPr baseColWidth="8" defaultRowHeight="12.75"/>
  <cols>
    <col width="12" customWidth="1" style="15" min="1" max="1"/>
    <col width="14" customWidth="1" style="15" min="2" max="2"/>
    <col width="10" customWidth="1" style="15" min="3" max="3"/>
    <col width="9.140625" customWidth="1" style="15" min="4" max="5"/>
    <col width="9.140625" customWidth="1" style="15" min="6" max="16384"/>
  </cols>
  <sheetData>
    <row r="1">
      <c r="A1" s="15" t="inlineStr">
        <is>
          <t># Holiday dates no rule derives: country, date, remove.</t>
        </is>
      </c>
    </row>
    <row r="2">
      <c r="A2" s="15" t="inlineStr">
        <is>
          <t>#</t>
        </is>
      </c>
    </row>
    <row r="3">
      <c r="A3" s="15" t="inlineStr">
        <is>
          <t># Lunar-calendar holidays are published annually and cannot be worked out from</t>
        </is>
      </c>
    </row>
    <row r="4">
      <c r="A4" s="15" t="inlineStr">
        <is>
          <t># rules, so they are listed here. A row with remove = yes takes a date away</t>
        </is>
      </c>
    </row>
    <row r="5">
      <c r="A5" s="15" t="inlineStr">
        <is>
          <t># that the built-in rules would otherwise make a holiday.</t>
        </is>
      </c>
    </row>
    <row r="6">
      <c r="A6" s="15" t="inlineStr">
        <is>
          <t>#</t>
        </is>
      </c>
    </row>
    <row r="7">
      <c r="A7" s="15" t="inlineStr">
        <is>
          <t># Dates are YYYY-MM-DD. A '#' in the first column makes the whole row a note.</t>
        </is>
      </c>
    </row>
    <row r="8">
      <c r="A8" s="15" t="inlineStr">
        <is>
          <t>country</t>
        </is>
      </c>
      <c r="B8" s="15" t="inlineStr">
        <is>
          <t>date</t>
        </is>
      </c>
      <c r="C8" s="15" t="inlineStr">
        <is>
          <t>remove</t>
        </is>
      </c>
    </row>
    <row r="9">
      <c r="A9" s="15" t="inlineStr">
        <is>
          <t># Chinese New Year 2025</t>
        </is>
      </c>
    </row>
    <row r="10">
      <c r="A10" s="15" t="inlineStr">
        <is>
          <t>CN</t>
        </is>
      </c>
      <c r="B10" s="15" t="inlineStr">
        <is>
          <t>2025-01-28</t>
        </is>
      </c>
    </row>
    <row r="11">
      <c r="A11" s="15" t="inlineStr">
        <is>
          <t>CN</t>
        </is>
      </c>
      <c r="B11" s="15" t="inlineStr">
        <is>
          <t>2025-01-29</t>
        </is>
      </c>
    </row>
    <row r="12">
      <c r="A12" s="15" t="inlineStr">
        <is>
          <t>CN</t>
        </is>
      </c>
      <c r="B12" s="15" t="inlineStr">
        <is>
          <t>2025-01-30</t>
        </is>
      </c>
    </row>
    <row r="13">
      <c r="A13" s="15" t="inlineStr">
        <is>
          <t>CN</t>
        </is>
      </c>
      <c r="B13" s="15" t="inlineStr">
        <is>
          <t>2025-01-31</t>
        </is>
      </c>
    </row>
    <row r="14">
      <c r="A14" s="15" t="inlineStr">
        <is>
          <t>CN</t>
        </is>
      </c>
      <c r="B14" s="15" t="inlineStr">
        <is>
          <t>2025-02-03</t>
        </is>
      </c>
    </row>
    <row r="15">
      <c r="A15" s="15" t="inlineStr">
        <is>
          <t>CN</t>
        </is>
      </c>
      <c r="B15" s="15" t="inlineStr">
        <is>
          <t>2025-02-04</t>
        </is>
      </c>
    </row>
    <row r="16">
      <c r="A16" s="15" t="inlineStr">
        <is>
          <t># Chinese New Year 2026</t>
        </is>
      </c>
    </row>
    <row r="17">
      <c r="A17" s="15" t="inlineStr">
        <is>
          <t>CN</t>
        </is>
      </c>
      <c r="B17" s="15" t="inlineStr">
        <is>
          <t>2026-02-16</t>
        </is>
      </c>
    </row>
    <row r="18">
      <c r="A18" s="15" t="inlineStr">
        <is>
          <t>CN</t>
        </is>
      </c>
      <c r="B18" s="15" t="inlineStr">
        <is>
          <t>2026-02-17</t>
        </is>
      </c>
    </row>
    <row r="19">
      <c r="A19" s="15" t="inlineStr">
        <is>
          <t>CN</t>
        </is>
      </c>
      <c r="B19" s="15" t="inlineStr">
        <is>
          <t>2026-02-18</t>
        </is>
      </c>
    </row>
    <row r="20">
      <c r="A20" s="15" t="inlineStr">
        <is>
          <t>CN</t>
        </is>
      </c>
      <c r="B20" s="15" t="inlineStr">
        <is>
          <t>2026-02-19</t>
        </is>
      </c>
    </row>
    <row r="21">
      <c r="A21" s="15" t="inlineStr">
        <is>
          <t>CN</t>
        </is>
      </c>
      <c r="B21" s="15" t="inlineStr">
        <is>
          <t>2026-02-20</t>
        </is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how each tenor's 10-delta wings follow its 25-delta ones: ST 10d = ST 25d x st, RR 10d = RR 25d x rr. A blank is no multiple -- that wing is quoted itself.</t>
        </is>
      </c>
    </row>
    <row r="2">
      <c r="A2" t="inlineStr">
        <is>
          <t>pair</t>
        </is>
      </c>
      <c r="B2" t="inlineStr">
        <is>
          <t>tenor</t>
        </is>
      </c>
      <c r="C2" t="inlineStr">
        <is>
          <t>st</t>
        </is>
      </c>
      <c r="D2" t="inlineStr">
        <is>
          <t>rr</t>
        </is>
      </c>
    </row>
    <row r="3">
      <c r="A3" t="inlineStr">
        <is>
          <t>USDCNH</t>
        </is>
      </c>
      <c r="B3" t="inlineStr">
        <is>
          <t>1D</t>
        </is>
      </c>
      <c r="C3" t="n">
        <v>3.2</v>
      </c>
      <c r="D3" t="n">
        <v>1.8</v>
      </c>
    </row>
    <row r="4">
      <c r="A4" t="inlineStr">
        <is>
          <t>USDCNH</t>
        </is>
      </c>
      <c r="B4" t="inlineStr">
        <is>
          <t>1M</t>
        </is>
      </c>
      <c r="C4" t="n">
        <v>3.2</v>
      </c>
      <c r="D4" t="n">
        <v>1.8</v>
      </c>
    </row>
    <row r="5">
      <c r="A5" t="inlineStr">
        <is>
          <t>USDCNH</t>
        </is>
      </c>
      <c r="B5" t="inlineStr">
        <is>
          <t>1W</t>
        </is>
      </c>
      <c r="C5" t="n">
        <v>3.2</v>
      </c>
      <c r="D5" t="n">
        <v>1.8</v>
      </c>
    </row>
    <row r="6">
      <c r="A6" t="inlineStr">
        <is>
          <t>USDCNH</t>
        </is>
      </c>
      <c r="B6" t="inlineStr">
        <is>
          <t>1Y</t>
        </is>
      </c>
      <c r="C6" t="n">
        <v>3.4</v>
      </c>
      <c r="D6" t="n">
        <v>1.8</v>
      </c>
    </row>
    <row r="7">
      <c r="A7" t="inlineStr">
        <is>
          <t>USDCNH</t>
        </is>
      </c>
      <c r="B7" t="inlineStr">
        <is>
          <t>2M</t>
        </is>
      </c>
      <c r="C7" t="n">
        <v>3.2</v>
      </c>
      <c r="D7" t="n">
        <v>1.8</v>
      </c>
    </row>
    <row r="8">
      <c r="A8" t="inlineStr">
        <is>
          <t>USDCNH</t>
        </is>
      </c>
      <c r="B8" t="inlineStr">
        <is>
          <t>2W</t>
        </is>
      </c>
      <c r="C8" t="n">
        <v>3.2</v>
      </c>
      <c r="D8" t="n">
        <v>1.8</v>
      </c>
    </row>
    <row r="9">
      <c r="A9" t="inlineStr">
        <is>
          <t>USDCNH</t>
        </is>
      </c>
      <c r="B9" t="inlineStr">
        <is>
          <t>3M</t>
        </is>
      </c>
      <c r="C9" t="n">
        <v>3.2</v>
      </c>
      <c r="D9" t="n">
        <v>1.8</v>
      </c>
    </row>
    <row r="10">
      <c r="A10" t="inlineStr">
        <is>
          <t>USDCNH</t>
        </is>
      </c>
      <c r="B10" t="inlineStr">
        <is>
          <t>6M</t>
        </is>
      </c>
      <c r="C10" t="n">
        <v>3.3</v>
      </c>
      <c r="D10" t="n">
        <v>1.8</v>
      </c>
    </row>
    <row r="11">
      <c r="A11" t="inlineStr">
        <is>
          <t>USDCNH</t>
        </is>
      </c>
      <c r="B11" t="inlineStr">
        <is>
          <t>9M</t>
        </is>
      </c>
      <c r="C11" t="n">
        <v>3.35</v>
      </c>
      <c r="D11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2021-01-25T13:32:54Z</dcterms:created>
  <dcterms:modified xsi:type="dcterms:W3CDTF">2026-09-09T05:18:16Z</dcterms:modified>
  <cp:lastModifiedBy>毛潤思</cp:lastModifiedBy>
  <cp:revision>192</cp:revision>
  <cp:lastPrinted>2020-10-26T03:48:28Z</cp:lastPrinted>
</cp:coreProperties>
</file>