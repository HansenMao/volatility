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lay" sheetId="1" state="visible" r:id="rId1"/>
    <sheet name="bbg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666666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>
        <f>"# volkit overlay from Bloomberg: "&amp;settings!$B$6&amp;" of "&amp;settings!$B$7&amp;" quotes in -- save after they arrive. List: "&amp;settings!$B$9&amp;" pairs x "&amp;settings!$B$10&amp;" tenors from "&amp;settings!$B$2&amp;", "&amp;settings!$B$8</f>
        <v/>
      </c>
    </row>
    <row r="2">
      <c r="A2" s="2" t="inlineStr">
        <is>
          <t>pair</t>
        </is>
      </c>
      <c r="B2" s="2" t="inlineStr">
        <is>
          <t>tenor</t>
        </is>
      </c>
      <c r="C2" s="2" t="inlineStr">
        <is>
          <t>atm</t>
        </is>
      </c>
      <c r="D2" s="2" t="inlineStr">
        <is>
          <t>rr25</t>
        </is>
      </c>
      <c r="E2" s="2" t="inlineStr">
        <is>
          <t>rr10</t>
        </is>
      </c>
      <c r="F2" s="2" t="inlineStr">
        <is>
          <t>bf25</t>
        </is>
      </c>
      <c r="G2" s="2" t="inlineStr">
        <is>
          <t>bf10</t>
        </is>
      </c>
    </row>
    <row r="3">
      <c r="A3" t="inlineStr">
        <is>
          <t>USDJPY</t>
        </is>
      </c>
      <c r="B3" t="inlineStr">
        <is>
          <t>1w</t>
        </is>
      </c>
      <c r="C3">
        <f>IF(ISNUMBER(bbg!I3),bbg!I3,"")</f>
        <v/>
      </c>
      <c r="D3">
        <f>IF(ISNUMBER(bbg!J3),bbg!J3,"")</f>
        <v/>
      </c>
      <c r="E3">
        <f>IF(ISNUMBER(bbg!K3),bbg!K3,"")</f>
        <v/>
      </c>
      <c r="F3">
        <f>IF(ISNUMBER(bbg!L3),bbg!L3,"")</f>
        <v/>
      </c>
      <c r="G3">
        <f>IF(ISNUMBER(bbg!M3),bbg!M3,"")</f>
        <v/>
      </c>
    </row>
    <row r="4">
      <c r="A4" t="inlineStr">
        <is>
          <t>USDJPY</t>
        </is>
      </c>
      <c r="B4" t="inlineStr">
        <is>
          <t>2w</t>
        </is>
      </c>
      <c r="C4">
        <f>IF(ISNUMBER(bbg!I4),bbg!I4,"")</f>
        <v/>
      </c>
      <c r="D4">
        <f>IF(ISNUMBER(bbg!J4),bbg!J4,"")</f>
        <v/>
      </c>
      <c r="E4">
        <f>IF(ISNUMBER(bbg!K4),bbg!K4,"")</f>
        <v/>
      </c>
      <c r="F4">
        <f>IF(ISNUMBER(bbg!L4),bbg!L4,"")</f>
        <v/>
      </c>
      <c r="G4">
        <f>IF(ISNUMBER(bbg!M4),bbg!M4,"")</f>
        <v/>
      </c>
    </row>
    <row r="5">
      <c r="A5" t="inlineStr">
        <is>
          <t>USDJPY</t>
        </is>
      </c>
      <c r="B5" t="inlineStr">
        <is>
          <t>3w</t>
        </is>
      </c>
      <c r="C5">
        <f>IF(ISNUMBER(bbg!I5),bbg!I5,"")</f>
        <v/>
      </c>
      <c r="D5">
        <f>IF(ISNUMBER(bbg!J5),bbg!J5,"")</f>
        <v/>
      </c>
      <c r="E5">
        <f>IF(ISNUMBER(bbg!K5),bbg!K5,"")</f>
        <v/>
      </c>
      <c r="F5">
        <f>IF(ISNUMBER(bbg!L5),bbg!L5,"")</f>
        <v/>
      </c>
      <c r="G5">
        <f>IF(ISNUMBER(bbg!M5),bbg!M5,"")</f>
        <v/>
      </c>
    </row>
    <row r="6">
      <c r="A6" t="inlineStr">
        <is>
          <t>USDJPY</t>
        </is>
      </c>
      <c r="B6" t="inlineStr">
        <is>
          <t>1m</t>
        </is>
      </c>
      <c r="C6">
        <f>IF(ISNUMBER(bbg!I6),bbg!I6,"")</f>
        <v/>
      </c>
      <c r="D6">
        <f>IF(ISNUMBER(bbg!J6),bbg!J6,"")</f>
        <v/>
      </c>
      <c r="E6">
        <f>IF(ISNUMBER(bbg!K6),bbg!K6,"")</f>
        <v/>
      </c>
      <c r="F6">
        <f>IF(ISNUMBER(bbg!L6),bbg!L6,"")</f>
        <v/>
      </c>
      <c r="G6">
        <f>IF(ISNUMBER(bbg!M6),bbg!M6,"")</f>
        <v/>
      </c>
    </row>
    <row r="7">
      <c r="A7" t="inlineStr">
        <is>
          <t>USDJPY</t>
        </is>
      </c>
      <c r="B7" t="inlineStr">
        <is>
          <t>2m</t>
        </is>
      </c>
      <c r="C7">
        <f>IF(ISNUMBER(bbg!I7),bbg!I7,"")</f>
        <v/>
      </c>
      <c r="D7">
        <f>IF(ISNUMBER(bbg!J7),bbg!J7,"")</f>
        <v/>
      </c>
      <c r="E7">
        <f>IF(ISNUMBER(bbg!K7),bbg!K7,"")</f>
        <v/>
      </c>
      <c r="F7">
        <f>IF(ISNUMBER(bbg!L7),bbg!L7,"")</f>
        <v/>
      </c>
      <c r="G7">
        <f>IF(ISNUMBER(bbg!M7),bbg!M7,"")</f>
        <v/>
      </c>
    </row>
    <row r="8">
      <c r="A8" t="inlineStr">
        <is>
          <t>USDJPY</t>
        </is>
      </c>
      <c r="B8" t="inlineStr">
        <is>
          <t>3m</t>
        </is>
      </c>
      <c r="C8">
        <f>IF(ISNUMBER(bbg!I8),bbg!I8,"")</f>
        <v/>
      </c>
      <c r="D8">
        <f>IF(ISNUMBER(bbg!J8),bbg!J8,"")</f>
        <v/>
      </c>
      <c r="E8">
        <f>IF(ISNUMBER(bbg!K8),bbg!K8,"")</f>
        <v/>
      </c>
      <c r="F8">
        <f>IF(ISNUMBER(bbg!L8),bbg!L8,"")</f>
        <v/>
      </c>
      <c r="G8">
        <f>IF(ISNUMBER(bbg!M8),bbg!M8,"")</f>
        <v/>
      </c>
    </row>
    <row r="9">
      <c r="A9" t="inlineStr">
        <is>
          <t>USDJPY</t>
        </is>
      </c>
      <c r="B9" t="inlineStr">
        <is>
          <t>6m</t>
        </is>
      </c>
      <c r="C9">
        <f>IF(ISNUMBER(bbg!I9),bbg!I9,"")</f>
        <v/>
      </c>
      <c r="D9">
        <f>IF(ISNUMBER(bbg!J9),bbg!J9,"")</f>
        <v/>
      </c>
      <c r="E9">
        <f>IF(ISNUMBER(bbg!K9),bbg!K9,"")</f>
        <v/>
      </c>
      <c r="F9">
        <f>IF(ISNUMBER(bbg!L9),bbg!L9,"")</f>
        <v/>
      </c>
      <c r="G9">
        <f>IF(ISNUMBER(bbg!M9),bbg!M9,"")</f>
        <v/>
      </c>
    </row>
    <row r="10">
      <c r="A10" t="inlineStr">
        <is>
          <t>USDJPY</t>
        </is>
      </c>
      <c r="B10" t="inlineStr">
        <is>
          <t>9m</t>
        </is>
      </c>
      <c r="C10">
        <f>IF(ISNUMBER(bbg!I10),bbg!I10,"")</f>
        <v/>
      </c>
      <c r="D10">
        <f>IF(ISNUMBER(bbg!J10),bbg!J10,"")</f>
        <v/>
      </c>
      <c r="E10">
        <f>IF(ISNUMBER(bbg!K10),bbg!K10,"")</f>
        <v/>
      </c>
      <c r="F10">
        <f>IF(ISNUMBER(bbg!L10),bbg!L10,"")</f>
        <v/>
      </c>
      <c r="G10">
        <f>IF(ISNUMBER(bbg!M10),bbg!M10,"")</f>
        <v/>
      </c>
    </row>
    <row r="11">
      <c r="A11" t="inlineStr">
        <is>
          <t>USDJPY</t>
        </is>
      </c>
      <c r="B11" t="inlineStr">
        <is>
          <t>1y</t>
        </is>
      </c>
      <c r="C11">
        <f>IF(ISNUMBER(bbg!I11),bbg!I11,"")</f>
        <v/>
      </c>
      <c r="D11">
        <f>IF(ISNUMBER(bbg!J11),bbg!J11,"")</f>
        <v/>
      </c>
      <c r="E11">
        <f>IF(ISNUMBER(bbg!K11),bbg!K11,"")</f>
        <v/>
      </c>
      <c r="F11">
        <f>IF(ISNUMBER(bbg!L11),bbg!L11,"")</f>
        <v/>
      </c>
      <c r="G11">
        <f>IF(ISNUMBER(bbg!M11),bbg!M11,"")</f>
        <v/>
      </c>
    </row>
    <row r="12">
      <c r="A12" t="inlineStr">
        <is>
          <t>USDCNH</t>
        </is>
      </c>
      <c r="B12" t="inlineStr">
        <is>
          <t>1w</t>
        </is>
      </c>
      <c r="C12">
        <f>IF(ISNUMBER(bbg!I12),bbg!I12,"")</f>
        <v/>
      </c>
      <c r="D12">
        <f>IF(ISNUMBER(bbg!J12),bbg!J12,"")</f>
        <v/>
      </c>
      <c r="E12">
        <f>IF(ISNUMBER(bbg!K12),bbg!K12,"")</f>
        <v/>
      </c>
      <c r="F12">
        <f>IF(ISNUMBER(bbg!L12),bbg!L12,"")</f>
        <v/>
      </c>
      <c r="G12">
        <f>IF(ISNUMBER(bbg!M12),bbg!M12,"")</f>
        <v/>
      </c>
    </row>
    <row r="13">
      <c r="A13" t="inlineStr">
        <is>
          <t>USDCNH</t>
        </is>
      </c>
      <c r="B13" t="inlineStr">
        <is>
          <t>2w</t>
        </is>
      </c>
      <c r="C13">
        <f>IF(ISNUMBER(bbg!I13),bbg!I13,"")</f>
        <v/>
      </c>
      <c r="D13">
        <f>IF(ISNUMBER(bbg!J13),bbg!J13,"")</f>
        <v/>
      </c>
      <c r="E13">
        <f>IF(ISNUMBER(bbg!K13),bbg!K13,"")</f>
        <v/>
      </c>
      <c r="F13">
        <f>IF(ISNUMBER(bbg!L13),bbg!L13,"")</f>
        <v/>
      </c>
      <c r="G13">
        <f>IF(ISNUMBER(bbg!M13),bbg!M13,"")</f>
        <v/>
      </c>
    </row>
    <row r="14">
      <c r="A14" t="inlineStr">
        <is>
          <t>USDCNH</t>
        </is>
      </c>
      <c r="B14" t="inlineStr">
        <is>
          <t>3w</t>
        </is>
      </c>
      <c r="C14">
        <f>IF(ISNUMBER(bbg!I14),bbg!I14,"")</f>
        <v/>
      </c>
      <c r="D14">
        <f>IF(ISNUMBER(bbg!J14),bbg!J14,"")</f>
        <v/>
      </c>
      <c r="E14">
        <f>IF(ISNUMBER(bbg!K14),bbg!K14,"")</f>
        <v/>
      </c>
      <c r="F14">
        <f>IF(ISNUMBER(bbg!L14),bbg!L14,"")</f>
        <v/>
      </c>
      <c r="G14">
        <f>IF(ISNUMBER(bbg!M14),bbg!M14,"")</f>
        <v/>
      </c>
    </row>
    <row r="15">
      <c r="A15" t="inlineStr">
        <is>
          <t>USDCNH</t>
        </is>
      </c>
      <c r="B15" t="inlineStr">
        <is>
          <t>1m</t>
        </is>
      </c>
      <c r="C15">
        <f>IF(ISNUMBER(bbg!I15),bbg!I15,"")</f>
        <v/>
      </c>
      <c r="D15">
        <f>IF(ISNUMBER(bbg!J15),bbg!J15,"")</f>
        <v/>
      </c>
      <c r="E15">
        <f>IF(ISNUMBER(bbg!K15),bbg!K15,"")</f>
        <v/>
      </c>
      <c r="F15">
        <f>IF(ISNUMBER(bbg!L15),bbg!L15,"")</f>
        <v/>
      </c>
      <c r="G15">
        <f>IF(ISNUMBER(bbg!M15),bbg!M15,"")</f>
        <v/>
      </c>
    </row>
    <row r="16">
      <c r="A16" t="inlineStr">
        <is>
          <t>USDCNH</t>
        </is>
      </c>
      <c r="B16" t="inlineStr">
        <is>
          <t>2m</t>
        </is>
      </c>
      <c r="C16">
        <f>IF(ISNUMBER(bbg!I16),bbg!I16,"")</f>
        <v/>
      </c>
      <c r="D16">
        <f>IF(ISNUMBER(bbg!J16),bbg!J16,"")</f>
        <v/>
      </c>
      <c r="E16">
        <f>IF(ISNUMBER(bbg!K16),bbg!K16,"")</f>
        <v/>
      </c>
      <c r="F16">
        <f>IF(ISNUMBER(bbg!L16),bbg!L16,"")</f>
        <v/>
      </c>
      <c r="G16">
        <f>IF(ISNUMBER(bbg!M16),bbg!M16,"")</f>
        <v/>
      </c>
    </row>
    <row r="17">
      <c r="A17" t="inlineStr">
        <is>
          <t>USDCNH</t>
        </is>
      </c>
      <c r="B17" t="inlineStr">
        <is>
          <t>3m</t>
        </is>
      </c>
      <c r="C17">
        <f>IF(ISNUMBER(bbg!I17),bbg!I17,"")</f>
        <v/>
      </c>
      <c r="D17">
        <f>IF(ISNUMBER(bbg!J17),bbg!J17,"")</f>
        <v/>
      </c>
      <c r="E17">
        <f>IF(ISNUMBER(bbg!K17),bbg!K17,"")</f>
        <v/>
      </c>
      <c r="F17">
        <f>IF(ISNUMBER(bbg!L17),bbg!L17,"")</f>
        <v/>
      </c>
      <c r="G17">
        <f>IF(ISNUMBER(bbg!M17),bbg!M17,"")</f>
        <v/>
      </c>
    </row>
    <row r="18">
      <c r="A18" t="inlineStr">
        <is>
          <t>USDCNH</t>
        </is>
      </c>
      <c r="B18" t="inlineStr">
        <is>
          <t>6m</t>
        </is>
      </c>
      <c r="C18">
        <f>IF(ISNUMBER(bbg!I18),bbg!I18,"")</f>
        <v/>
      </c>
      <c r="D18">
        <f>IF(ISNUMBER(bbg!J18),bbg!J18,"")</f>
        <v/>
      </c>
      <c r="E18">
        <f>IF(ISNUMBER(bbg!K18),bbg!K18,"")</f>
        <v/>
      </c>
      <c r="F18">
        <f>IF(ISNUMBER(bbg!L18),bbg!L18,"")</f>
        <v/>
      </c>
      <c r="G18">
        <f>IF(ISNUMBER(bbg!M18),bbg!M18,"")</f>
        <v/>
      </c>
    </row>
    <row r="19">
      <c r="A19" t="inlineStr">
        <is>
          <t>USDCNH</t>
        </is>
      </c>
      <c r="B19" t="inlineStr">
        <is>
          <t>9m</t>
        </is>
      </c>
      <c r="C19">
        <f>IF(ISNUMBER(bbg!I19),bbg!I19,"")</f>
        <v/>
      </c>
      <c r="D19">
        <f>IF(ISNUMBER(bbg!J19),bbg!J19,"")</f>
        <v/>
      </c>
      <c r="E19">
        <f>IF(ISNUMBER(bbg!K19),bbg!K19,"")</f>
        <v/>
      </c>
      <c r="F19">
        <f>IF(ISNUMBER(bbg!L19),bbg!L19,"")</f>
        <v/>
      </c>
      <c r="G19">
        <f>IF(ISNUMBER(bbg!M19),bbg!M19,"")</f>
        <v/>
      </c>
    </row>
    <row r="20">
      <c r="A20" t="inlineStr">
        <is>
          <t>USDCNH</t>
        </is>
      </c>
      <c r="B20" t="inlineStr">
        <is>
          <t>1y</t>
        </is>
      </c>
      <c r="C20">
        <f>IF(ISNUMBER(bbg!I20),bbg!I20,"")</f>
        <v/>
      </c>
      <c r="D20">
        <f>IF(ISNUMBER(bbg!J20),bbg!J20,"")</f>
        <v/>
      </c>
      <c r="E20">
        <f>IF(ISNUMBER(bbg!K20),bbg!K20,"")</f>
        <v/>
      </c>
      <c r="F20">
        <f>IF(ISNUMBER(bbg!L20),bbg!L20,"")</f>
        <v/>
      </c>
      <c r="G20">
        <f>IF(ISNUMBER(bbg!M20),bbg!M20,"")</f>
        <v/>
      </c>
    </row>
    <row r="21">
      <c r="A21" t="inlineStr">
        <is>
          <t>USDCNY</t>
        </is>
      </c>
      <c r="B21" t="inlineStr">
        <is>
          <t>1w</t>
        </is>
      </c>
      <c r="C21">
        <f>IF(ISNUMBER(bbg!I21),bbg!I21,"")</f>
        <v/>
      </c>
      <c r="D21">
        <f>IF(ISNUMBER(bbg!J21),bbg!J21,"")</f>
        <v/>
      </c>
      <c r="E21">
        <f>IF(ISNUMBER(bbg!K21),bbg!K21,"")</f>
        <v/>
      </c>
      <c r="F21">
        <f>IF(ISNUMBER(bbg!L21),bbg!L21,"")</f>
        <v/>
      </c>
      <c r="G21">
        <f>IF(ISNUMBER(bbg!M21),bbg!M21,"")</f>
        <v/>
      </c>
    </row>
    <row r="22">
      <c r="A22" t="inlineStr">
        <is>
          <t>USDCNY</t>
        </is>
      </c>
      <c r="B22" t="inlineStr">
        <is>
          <t>2w</t>
        </is>
      </c>
      <c r="C22">
        <f>IF(ISNUMBER(bbg!I22),bbg!I22,"")</f>
        <v/>
      </c>
      <c r="D22">
        <f>IF(ISNUMBER(bbg!J22),bbg!J22,"")</f>
        <v/>
      </c>
      <c r="E22">
        <f>IF(ISNUMBER(bbg!K22),bbg!K22,"")</f>
        <v/>
      </c>
      <c r="F22">
        <f>IF(ISNUMBER(bbg!L22),bbg!L22,"")</f>
        <v/>
      </c>
      <c r="G22">
        <f>IF(ISNUMBER(bbg!M22),bbg!M22,"")</f>
        <v/>
      </c>
    </row>
    <row r="23">
      <c r="A23" t="inlineStr">
        <is>
          <t>USDCNY</t>
        </is>
      </c>
      <c r="B23" t="inlineStr">
        <is>
          <t>3w</t>
        </is>
      </c>
      <c r="C23">
        <f>IF(ISNUMBER(bbg!I23),bbg!I23,"")</f>
        <v/>
      </c>
      <c r="D23">
        <f>IF(ISNUMBER(bbg!J23),bbg!J23,"")</f>
        <v/>
      </c>
      <c r="E23">
        <f>IF(ISNUMBER(bbg!K23),bbg!K23,"")</f>
        <v/>
      </c>
      <c r="F23">
        <f>IF(ISNUMBER(bbg!L23),bbg!L23,"")</f>
        <v/>
      </c>
      <c r="G23">
        <f>IF(ISNUMBER(bbg!M23),bbg!M23,"")</f>
        <v/>
      </c>
    </row>
    <row r="24">
      <c r="A24" t="inlineStr">
        <is>
          <t>USDCNY</t>
        </is>
      </c>
      <c r="B24" t="inlineStr">
        <is>
          <t>1m</t>
        </is>
      </c>
      <c r="C24">
        <f>IF(ISNUMBER(bbg!I24),bbg!I24,"")</f>
        <v/>
      </c>
      <c r="D24">
        <f>IF(ISNUMBER(bbg!J24),bbg!J24,"")</f>
        <v/>
      </c>
      <c r="E24">
        <f>IF(ISNUMBER(bbg!K24),bbg!K24,"")</f>
        <v/>
      </c>
      <c r="F24">
        <f>IF(ISNUMBER(bbg!L24),bbg!L24,"")</f>
        <v/>
      </c>
      <c r="G24">
        <f>IF(ISNUMBER(bbg!M24),bbg!M24,"")</f>
        <v/>
      </c>
    </row>
    <row r="25">
      <c r="A25" t="inlineStr">
        <is>
          <t>USDCNY</t>
        </is>
      </c>
      <c r="B25" t="inlineStr">
        <is>
          <t>2m</t>
        </is>
      </c>
      <c r="C25">
        <f>IF(ISNUMBER(bbg!I25),bbg!I25,"")</f>
        <v/>
      </c>
      <c r="D25">
        <f>IF(ISNUMBER(bbg!J25),bbg!J25,"")</f>
        <v/>
      </c>
      <c r="E25">
        <f>IF(ISNUMBER(bbg!K25),bbg!K25,"")</f>
        <v/>
      </c>
      <c r="F25">
        <f>IF(ISNUMBER(bbg!L25),bbg!L25,"")</f>
        <v/>
      </c>
      <c r="G25">
        <f>IF(ISNUMBER(bbg!M25),bbg!M25,"")</f>
        <v/>
      </c>
    </row>
    <row r="26">
      <c r="A26" t="inlineStr">
        <is>
          <t>USDCNY</t>
        </is>
      </c>
      <c r="B26" t="inlineStr">
        <is>
          <t>3m</t>
        </is>
      </c>
      <c r="C26">
        <f>IF(ISNUMBER(bbg!I26),bbg!I26,"")</f>
        <v/>
      </c>
      <c r="D26">
        <f>IF(ISNUMBER(bbg!J26),bbg!J26,"")</f>
        <v/>
      </c>
      <c r="E26">
        <f>IF(ISNUMBER(bbg!K26),bbg!K26,"")</f>
        <v/>
      </c>
      <c r="F26">
        <f>IF(ISNUMBER(bbg!L26),bbg!L26,"")</f>
        <v/>
      </c>
      <c r="G26">
        <f>IF(ISNUMBER(bbg!M26),bbg!M26,"")</f>
        <v/>
      </c>
    </row>
    <row r="27">
      <c r="A27" t="inlineStr">
        <is>
          <t>USDCNY</t>
        </is>
      </c>
      <c r="B27" t="inlineStr">
        <is>
          <t>6m</t>
        </is>
      </c>
      <c r="C27">
        <f>IF(ISNUMBER(bbg!I27),bbg!I27,"")</f>
        <v/>
      </c>
      <c r="D27">
        <f>IF(ISNUMBER(bbg!J27),bbg!J27,"")</f>
        <v/>
      </c>
      <c r="E27">
        <f>IF(ISNUMBER(bbg!K27),bbg!K27,"")</f>
        <v/>
      </c>
      <c r="F27">
        <f>IF(ISNUMBER(bbg!L27),bbg!L27,"")</f>
        <v/>
      </c>
      <c r="G27">
        <f>IF(ISNUMBER(bbg!M27),bbg!M27,"")</f>
        <v/>
      </c>
    </row>
    <row r="28">
      <c r="A28" t="inlineStr">
        <is>
          <t>USDCNY</t>
        </is>
      </c>
      <c r="B28" t="inlineStr">
        <is>
          <t>9m</t>
        </is>
      </c>
      <c r="C28">
        <f>IF(ISNUMBER(bbg!I28),bbg!I28,"")</f>
        <v/>
      </c>
      <c r="D28">
        <f>IF(ISNUMBER(bbg!J28),bbg!J28,"")</f>
        <v/>
      </c>
      <c r="E28">
        <f>IF(ISNUMBER(bbg!K28),bbg!K28,"")</f>
        <v/>
      </c>
      <c r="F28">
        <f>IF(ISNUMBER(bbg!L28),bbg!L28,"")</f>
        <v/>
      </c>
      <c r="G28">
        <f>IF(ISNUMBER(bbg!M28),bbg!M28,"")</f>
        <v/>
      </c>
    </row>
    <row r="29">
      <c r="A29" t="inlineStr">
        <is>
          <t>USDCNY</t>
        </is>
      </c>
      <c r="B29" t="inlineStr">
        <is>
          <t>1y</t>
        </is>
      </c>
      <c r="C29">
        <f>IF(ISNUMBER(bbg!I29),bbg!I29,"")</f>
        <v/>
      </c>
      <c r="D29">
        <f>IF(ISNUMBER(bbg!J29),bbg!J29,"")</f>
        <v/>
      </c>
      <c r="E29">
        <f>IF(ISNUMBER(bbg!K29),bbg!K29,"")</f>
        <v/>
      </c>
      <c r="F29">
        <f>IF(ISNUMBER(bbg!L29),bbg!L29,"")</f>
        <v/>
      </c>
      <c r="G29">
        <f>IF(ISNUMBER(bbg!M29),bbg!M29,"")</f>
        <v/>
      </c>
    </row>
    <row r="30">
      <c r="A30" t="inlineStr">
        <is>
          <t>EURUSD</t>
        </is>
      </c>
      <c r="B30" t="inlineStr">
        <is>
          <t>1w</t>
        </is>
      </c>
      <c r="C30">
        <f>IF(ISNUMBER(bbg!I30),bbg!I30,"")</f>
        <v/>
      </c>
      <c r="D30">
        <f>IF(ISNUMBER(bbg!J30),bbg!J30,"")</f>
        <v/>
      </c>
      <c r="E30">
        <f>IF(ISNUMBER(bbg!K30),bbg!K30,"")</f>
        <v/>
      </c>
      <c r="F30">
        <f>IF(ISNUMBER(bbg!L30),bbg!L30,"")</f>
        <v/>
      </c>
      <c r="G30">
        <f>IF(ISNUMBER(bbg!M30),bbg!M30,"")</f>
        <v/>
      </c>
    </row>
    <row r="31">
      <c r="A31" t="inlineStr">
        <is>
          <t>EURUSD</t>
        </is>
      </c>
      <c r="B31" t="inlineStr">
        <is>
          <t>2w</t>
        </is>
      </c>
      <c r="C31">
        <f>IF(ISNUMBER(bbg!I31),bbg!I31,"")</f>
        <v/>
      </c>
      <c r="D31">
        <f>IF(ISNUMBER(bbg!J31),bbg!J31,"")</f>
        <v/>
      </c>
      <c r="E31">
        <f>IF(ISNUMBER(bbg!K31),bbg!K31,"")</f>
        <v/>
      </c>
      <c r="F31">
        <f>IF(ISNUMBER(bbg!L31),bbg!L31,"")</f>
        <v/>
      </c>
      <c r="G31">
        <f>IF(ISNUMBER(bbg!M31),bbg!M31,"")</f>
        <v/>
      </c>
    </row>
    <row r="32">
      <c r="A32" t="inlineStr">
        <is>
          <t>EURUSD</t>
        </is>
      </c>
      <c r="B32" t="inlineStr">
        <is>
          <t>3w</t>
        </is>
      </c>
      <c r="C32">
        <f>IF(ISNUMBER(bbg!I32),bbg!I32,"")</f>
        <v/>
      </c>
      <c r="D32">
        <f>IF(ISNUMBER(bbg!J32),bbg!J32,"")</f>
        <v/>
      </c>
      <c r="E32">
        <f>IF(ISNUMBER(bbg!K32),bbg!K32,"")</f>
        <v/>
      </c>
      <c r="F32">
        <f>IF(ISNUMBER(bbg!L32),bbg!L32,"")</f>
        <v/>
      </c>
      <c r="G32">
        <f>IF(ISNUMBER(bbg!M32),bbg!M32,"")</f>
        <v/>
      </c>
    </row>
    <row r="33">
      <c r="A33" t="inlineStr">
        <is>
          <t>EURUSD</t>
        </is>
      </c>
      <c r="B33" t="inlineStr">
        <is>
          <t>1m</t>
        </is>
      </c>
      <c r="C33">
        <f>IF(ISNUMBER(bbg!I33),bbg!I33,"")</f>
        <v/>
      </c>
      <c r="D33">
        <f>IF(ISNUMBER(bbg!J33),bbg!J33,"")</f>
        <v/>
      </c>
      <c r="E33">
        <f>IF(ISNUMBER(bbg!K33),bbg!K33,"")</f>
        <v/>
      </c>
      <c r="F33">
        <f>IF(ISNUMBER(bbg!L33),bbg!L33,"")</f>
        <v/>
      </c>
      <c r="G33">
        <f>IF(ISNUMBER(bbg!M33),bbg!M33,"")</f>
        <v/>
      </c>
    </row>
    <row r="34">
      <c r="A34" t="inlineStr">
        <is>
          <t>EURUSD</t>
        </is>
      </c>
      <c r="B34" t="inlineStr">
        <is>
          <t>2m</t>
        </is>
      </c>
      <c r="C34">
        <f>IF(ISNUMBER(bbg!I34),bbg!I34,"")</f>
        <v/>
      </c>
      <c r="D34">
        <f>IF(ISNUMBER(bbg!J34),bbg!J34,"")</f>
        <v/>
      </c>
      <c r="E34">
        <f>IF(ISNUMBER(bbg!K34),bbg!K34,"")</f>
        <v/>
      </c>
      <c r="F34">
        <f>IF(ISNUMBER(bbg!L34),bbg!L34,"")</f>
        <v/>
      </c>
      <c r="G34">
        <f>IF(ISNUMBER(bbg!M34),bbg!M34,"")</f>
        <v/>
      </c>
    </row>
    <row r="35">
      <c r="A35" t="inlineStr">
        <is>
          <t>EURUSD</t>
        </is>
      </c>
      <c r="B35" t="inlineStr">
        <is>
          <t>3m</t>
        </is>
      </c>
      <c r="C35">
        <f>IF(ISNUMBER(bbg!I35),bbg!I35,"")</f>
        <v/>
      </c>
      <c r="D35">
        <f>IF(ISNUMBER(bbg!J35),bbg!J35,"")</f>
        <v/>
      </c>
      <c r="E35">
        <f>IF(ISNUMBER(bbg!K35),bbg!K35,"")</f>
        <v/>
      </c>
      <c r="F35">
        <f>IF(ISNUMBER(bbg!L35),bbg!L35,"")</f>
        <v/>
      </c>
      <c r="G35">
        <f>IF(ISNUMBER(bbg!M35),bbg!M35,"")</f>
        <v/>
      </c>
    </row>
    <row r="36">
      <c r="A36" t="inlineStr">
        <is>
          <t>EURUSD</t>
        </is>
      </c>
      <c r="B36" t="inlineStr">
        <is>
          <t>6m</t>
        </is>
      </c>
      <c r="C36">
        <f>IF(ISNUMBER(bbg!I36),bbg!I36,"")</f>
        <v/>
      </c>
      <c r="D36">
        <f>IF(ISNUMBER(bbg!J36),bbg!J36,"")</f>
        <v/>
      </c>
      <c r="E36">
        <f>IF(ISNUMBER(bbg!K36),bbg!K36,"")</f>
        <v/>
      </c>
      <c r="F36">
        <f>IF(ISNUMBER(bbg!L36),bbg!L36,"")</f>
        <v/>
      </c>
      <c r="G36">
        <f>IF(ISNUMBER(bbg!M36),bbg!M36,"")</f>
        <v/>
      </c>
    </row>
    <row r="37">
      <c r="A37" t="inlineStr">
        <is>
          <t>EURUSD</t>
        </is>
      </c>
      <c r="B37" t="inlineStr">
        <is>
          <t>9m</t>
        </is>
      </c>
      <c r="C37">
        <f>IF(ISNUMBER(bbg!I37),bbg!I37,"")</f>
        <v/>
      </c>
      <c r="D37">
        <f>IF(ISNUMBER(bbg!J37),bbg!J37,"")</f>
        <v/>
      </c>
      <c r="E37">
        <f>IF(ISNUMBER(bbg!K37),bbg!K37,"")</f>
        <v/>
      </c>
      <c r="F37">
        <f>IF(ISNUMBER(bbg!L37),bbg!L37,"")</f>
        <v/>
      </c>
      <c r="G37">
        <f>IF(ISNUMBER(bbg!M37),bbg!M37,"")</f>
        <v/>
      </c>
    </row>
    <row r="38">
      <c r="A38" t="inlineStr">
        <is>
          <t>EURUSD</t>
        </is>
      </c>
      <c r="B38" t="inlineStr">
        <is>
          <t>1y</t>
        </is>
      </c>
      <c r="C38">
        <f>IF(ISNUMBER(bbg!I38),bbg!I38,"")</f>
        <v/>
      </c>
      <c r="D38">
        <f>IF(ISNUMBER(bbg!J38),bbg!J38,"")</f>
        <v/>
      </c>
      <c r="E38">
        <f>IF(ISNUMBER(bbg!K38),bbg!K38,"")</f>
        <v/>
      </c>
      <c r="F38">
        <f>IF(ISNUMBER(bbg!L38),bbg!L38,"")</f>
        <v/>
      </c>
      <c r="G38">
        <f>IF(ISNUMBER(bbg!M38),bbg!M38,"")</f>
        <v/>
      </c>
    </row>
    <row r="39">
      <c r="A39" t="inlineStr">
        <is>
          <t>GBPUSD</t>
        </is>
      </c>
      <c r="B39" t="inlineStr">
        <is>
          <t>1w</t>
        </is>
      </c>
      <c r="C39">
        <f>IF(ISNUMBER(bbg!I39),bbg!I39,"")</f>
        <v/>
      </c>
      <c r="D39">
        <f>IF(ISNUMBER(bbg!J39),bbg!J39,"")</f>
        <v/>
      </c>
      <c r="E39">
        <f>IF(ISNUMBER(bbg!K39),bbg!K39,"")</f>
        <v/>
      </c>
      <c r="F39">
        <f>IF(ISNUMBER(bbg!L39),bbg!L39,"")</f>
        <v/>
      </c>
      <c r="G39">
        <f>IF(ISNUMBER(bbg!M39),bbg!M39,"")</f>
        <v/>
      </c>
    </row>
    <row r="40">
      <c r="A40" t="inlineStr">
        <is>
          <t>GBPUSD</t>
        </is>
      </c>
      <c r="B40" t="inlineStr">
        <is>
          <t>2w</t>
        </is>
      </c>
      <c r="C40">
        <f>IF(ISNUMBER(bbg!I40),bbg!I40,"")</f>
        <v/>
      </c>
      <c r="D40">
        <f>IF(ISNUMBER(bbg!J40),bbg!J40,"")</f>
        <v/>
      </c>
      <c r="E40">
        <f>IF(ISNUMBER(bbg!K40),bbg!K40,"")</f>
        <v/>
      </c>
      <c r="F40">
        <f>IF(ISNUMBER(bbg!L40),bbg!L40,"")</f>
        <v/>
      </c>
      <c r="G40">
        <f>IF(ISNUMBER(bbg!M40),bbg!M40,"")</f>
        <v/>
      </c>
    </row>
    <row r="41">
      <c r="A41" t="inlineStr">
        <is>
          <t>GBPUSD</t>
        </is>
      </c>
      <c r="B41" t="inlineStr">
        <is>
          <t>3w</t>
        </is>
      </c>
      <c r="C41">
        <f>IF(ISNUMBER(bbg!I41),bbg!I41,"")</f>
        <v/>
      </c>
      <c r="D41">
        <f>IF(ISNUMBER(bbg!J41),bbg!J41,"")</f>
        <v/>
      </c>
      <c r="E41">
        <f>IF(ISNUMBER(bbg!K41),bbg!K41,"")</f>
        <v/>
      </c>
      <c r="F41">
        <f>IF(ISNUMBER(bbg!L41),bbg!L41,"")</f>
        <v/>
      </c>
      <c r="G41">
        <f>IF(ISNUMBER(bbg!M41),bbg!M41,"")</f>
        <v/>
      </c>
    </row>
    <row r="42">
      <c r="A42" t="inlineStr">
        <is>
          <t>GBPUSD</t>
        </is>
      </c>
      <c r="B42" t="inlineStr">
        <is>
          <t>1m</t>
        </is>
      </c>
      <c r="C42">
        <f>IF(ISNUMBER(bbg!I42),bbg!I42,"")</f>
        <v/>
      </c>
      <c r="D42">
        <f>IF(ISNUMBER(bbg!J42),bbg!J42,"")</f>
        <v/>
      </c>
      <c r="E42">
        <f>IF(ISNUMBER(bbg!K42),bbg!K42,"")</f>
        <v/>
      </c>
      <c r="F42">
        <f>IF(ISNUMBER(bbg!L42),bbg!L42,"")</f>
        <v/>
      </c>
      <c r="G42">
        <f>IF(ISNUMBER(bbg!M42),bbg!M42,"")</f>
        <v/>
      </c>
    </row>
    <row r="43">
      <c r="A43" t="inlineStr">
        <is>
          <t>GBPUSD</t>
        </is>
      </c>
      <c r="B43" t="inlineStr">
        <is>
          <t>2m</t>
        </is>
      </c>
      <c r="C43">
        <f>IF(ISNUMBER(bbg!I43),bbg!I43,"")</f>
        <v/>
      </c>
      <c r="D43">
        <f>IF(ISNUMBER(bbg!J43),bbg!J43,"")</f>
        <v/>
      </c>
      <c r="E43">
        <f>IF(ISNUMBER(bbg!K43),bbg!K43,"")</f>
        <v/>
      </c>
      <c r="F43">
        <f>IF(ISNUMBER(bbg!L43),bbg!L43,"")</f>
        <v/>
      </c>
      <c r="G43">
        <f>IF(ISNUMBER(bbg!M43),bbg!M43,"")</f>
        <v/>
      </c>
    </row>
    <row r="44">
      <c r="A44" t="inlineStr">
        <is>
          <t>GBPUSD</t>
        </is>
      </c>
      <c r="B44" t="inlineStr">
        <is>
          <t>3m</t>
        </is>
      </c>
      <c r="C44">
        <f>IF(ISNUMBER(bbg!I44),bbg!I44,"")</f>
        <v/>
      </c>
      <c r="D44">
        <f>IF(ISNUMBER(bbg!J44),bbg!J44,"")</f>
        <v/>
      </c>
      <c r="E44">
        <f>IF(ISNUMBER(bbg!K44),bbg!K44,"")</f>
        <v/>
      </c>
      <c r="F44">
        <f>IF(ISNUMBER(bbg!L44),bbg!L44,"")</f>
        <v/>
      </c>
      <c r="G44">
        <f>IF(ISNUMBER(bbg!M44),bbg!M44,"")</f>
        <v/>
      </c>
    </row>
    <row r="45">
      <c r="A45" t="inlineStr">
        <is>
          <t>GBPUSD</t>
        </is>
      </c>
      <c r="B45" t="inlineStr">
        <is>
          <t>6m</t>
        </is>
      </c>
      <c r="C45">
        <f>IF(ISNUMBER(bbg!I45),bbg!I45,"")</f>
        <v/>
      </c>
      <c r="D45">
        <f>IF(ISNUMBER(bbg!J45),bbg!J45,"")</f>
        <v/>
      </c>
      <c r="E45">
        <f>IF(ISNUMBER(bbg!K45),bbg!K45,"")</f>
        <v/>
      </c>
      <c r="F45">
        <f>IF(ISNUMBER(bbg!L45),bbg!L45,"")</f>
        <v/>
      </c>
      <c r="G45">
        <f>IF(ISNUMBER(bbg!M45),bbg!M45,"")</f>
        <v/>
      </c>
    </row>
    <row r="46">
      <c r="A46" t="inlineStr">
        <is>
          <t>GBPUSD</t>
        </is>
      </c>
      <c r="B46" t="inlineStr">
        <is>
          <t>9m</t>
        </is>
      </c>
      <c r="C46">
        <f>IF(ISNUMBER(bbg!I46),bbg!I46,"")</f>
        <v/>
      </c>
      <c r="D46">
        <f>IF(ISNUMBER(bbg!J46),bbg!J46,"")</f>
        <v/>
      </c>
      <c r="E46">
        <f>IF(ISNUMBER(bbg!K46),bbg!K46,"")</f>
        <v/>
      </c>
      <c r="F46">
        <f>IF(ISNUMBER(bbg!L46),bbg!L46,"")</f>
        <v/>
      </c>
      <c r="G46">
        <f>IF(ISNUMBER(bbg!M46),bbg!M46,"")</f>
        <v/>
      </c>
    </row>
    <row r="47">
      <c r="A47" t="inlineStr">
        <is>
          <t>GBPUSD</t>
        </is>
      </c>
      <c r="B47" t="inlineStr">
        <is>
          <t>1y</t>
        </is>
      </c>
      <c r="C47">
        <f>IF(ISNUMBER(bbg!I47),bbg!I47,"")</f>
        <v/>
      </c>
      <c r="D47">
        <f>IF(ISNUMBER(bbg!J47),bbg!J47,"")</f>
        <v/>
      </c>
      <c r="E47">
        <f>IF(ISNUMBER(bbg!K47),bbg!K47,"")</f>
        <v/>
      </c>
      <c r="F47">
        <f>IF(ISNUMBER(bbg!L47),bbg!L47,"")</f>
        <v/>
      </c>
      <c r="G47">
        <f>IF(ISNUMBER(bbg!M47),bbg!M47,"")</f>
        <v/>
      </c>
    </row>
    <row r="48">
      <c r="A48" t="inlineStr">
        <is>
          <t>AUDUSD</t>
        </is>
      </c>
      <c r="B48" t="inlineStr">
        <is>
          <t>1w</t>
        </is>
      </c>
      <c r="C48">
        <f>IF(ISNUMBER(bbg!I48),bbg!I48,"")</f>
        <v/>
      </c>
      <c r="D48">
        <f>IF(ISNUMBER(bbg!J48),bbg!J48,"")</f>
        <v/>
      </c>
      <c r="E48">
        <f>IF(ISNUMBER(bbg!K48),bbg!K48,"")</f>
        <v/>
      </c>
      <c r="F48">
        <f>IF(ISNUMBER(bbg!L48),bbg!L48,"")</f>
        <v/>
      </c>
      <c r="G48">
        <f>IF(ISNUMBER(bbg!M48),bbg!M48,"")</f>
        <v/>
      </c>
    </row>
    <row r="49">
      <c r="A49" t="inlineStr">
        <is>
          <t>AUDUSD</t>
        </is>
      </c>
      <c r="B49" t="inlineStr">
        <is>
          <t>2w</t>
        </is>
      </c>
      <c r="C49">
        <f>IF(ISNUMBER(bbg!I49),bbg!I49,"")</f>
        <v/>
      </c>
      <c r="D49">
        <f>IF(ISNUMBER(bbg!J49),bbg!J49,"")</f>
        <v/>
      </c>
      <c r="E49">
        <f>IF(ISNUMBER(bbg!K49),bbg!K49,"")</f>
        <v/>
      </c>
      <c r="F49">
        <f>IF(ISNUMBER(bbg!L49),bbg!L49,"")</f>
        <v/>
      </c>
      <c r="G49">
        <f>IF(ISNUMBER(bbg!M49),bbg!M49,"")</f>
        <v/>
      </c>
    </row>
    <row r="50">
      <c r="A50" t="inlineStr">
        <is>
          <t>AUDUSD</t>
        </is>
      </c>
      <c r="B50" t="inlineStr">
        <is>
          <t>3w</t>
        </is>
      </c>
      <c r="C50">
        <f>IF(ISNUMBER(bbg!I50),bbg!I50,"")</f>
        <v/>
      </c>
      <c r="D50">
        <f>IF(ISNUMBER(bbg!J50),bbg!J50,"")</f>
        <v/>
      </c>
      <c r="E50">
        <f>IF(ISNUMBER(bbg!K50),bbg!K50,"")</f>
        <v/>
      </c>
      <c r="F50">
        <f>IF(ISNUMBER(bbg!L50),bbg!L50,"")</f>
        <v/>
      </c>
      <c r="G50">
        <f>IF(ISNUMBER(bbg!M50),bbg!M50,"")</f>
        <v/>
      </c>
    </row>
    <row r="51">
      <c r="A51" t="inlineStr">
        <is>
          <t>AUDUSD</t>
        </is>
      </c>
      <c r="B51" t="inlineStr">
        <is>
          <t>1m</t>
        </is>
      </c>
      <c r="C51">
        <f>IF(ISNUMBER(bbg!I51),bbg!I51,"")</f>
        <v/>
      </c>
      <c r="D51">
        <f>IF(ISNUMBER(bbg!J51),bbg!J51,"")</f>
        <v/>
      </c>
      <c r="E51">
        <f>IF(ISNUMBER(bbg!K51),bbg!K51,"")</f>
        <v/>
      </c>
      <c r="F51">
        <f>IF(ISNUMBER(bbg!L51),bbg!L51,"")</f>
        <v/>
      </c>
      <c r="G51">
        <f>IF(ISNUMBER(bbg!M51),bbg!M51,"")</f>
        <v/>
      </c>
    </row>
    <row r="52">
      <c r="A52" t="inlineStr">
        <is>
          <t>AUDUSD</t>
        </is>
      </c>
      <c r="B52" t="inlineStr">
        <is>
          <t>2m</t>
        </is>
      </c>
      <c r="C52">
        <f>IF(ISNUMBER(bbg!I52),bbg!I52,"")</f>
        <v/>
      </c>
      <c r="D52">
        <f>IF(ISNUMBER(bbg!J52),bbg!J52,"")</f>
        <v/>
      </c>
      <c r="E52">
        <f>IF(ISNUMBER(bbg!K52),bbg!K52,"")</f>
        <v/>
      </c>
      <c r="F52">
        <f>IF(ISNUMBER(bbg!L52),bbg!L52,"")</f>
        <v/>
      </c>
      <c r="G52">
        <f>IF(ISNUMBER(bbg!M52),bbg!M52,"")</f>
        <v/>
      </c>
    </row>
    <row r="53">
      <c r="A53" t="inlineStr">
        <is>
          <t>AUDUSD</t>
        </is>
      </c>
      <c r="B53" t="inlineStr">
        <is>
          <t>3m</t>
        </is>
      </c>
      <c r="C53">
        <f>IF(ISNUMBER(bbg!I53),bbg!I53,"")</f>
        <v/>
      </c>
      <c r="D53">
        <f>IF(ISNUMBER(bbg!J53),bbg!J53,"")</f>
        <v/>
      </c>
      <c r="E53">
        <f>IF(ISNUMBER(bbg!K53),bbg!K53,"")</f>
        <v/>
      </c>
      <c r="F53">
        <f>IF(ISNUMBER(bbg!L53),bbg!L53,"")</f>
        <v/>
      </c>
      <c r="G53">
        <f>IF(ISNUMBER(bbg!M53),bbg!M53,"")</f>
        <v/>
      </c>
    </row>
    <row r="54">
      <c r="A54" t="inlineStr">
        <is>
          <t>AUDUSD</t>
        </is>
      </c>
      <c r="B54" t="inlineStr">
        <is>
          <t>6m</t>
        </is>
      </c>
      <c r="C54">
        <f>IF(ISNUMBER(bbg!I54),bbg!I54,"")</f>
        <v/>
      </c>
      <c r="D54">
        <f>IF(ISNUMBER(bbg!J54),bbg!J54,"")</f>
        <v/>
      </c>
      <c r="E54">
        <f>IF(ISNUMBER(bbg!K54),bbg!K54,"")</f>
        <v/>
      </c>
      <c r="F54">
        <f>IF(ISNUMBER(bbg!L54),bbg!L54,"")</f>
        <v/>
      </c>
      <c r="G54">
        <f>IF(ISNUMBER(bbg!M54),bbg!M54,"")</f>
        <v/>
      </c>
    </row>
    <row r="55">
      <c r="A55" t="inlineStr">
        <is>
          <t>AUDUSD</t>
        </is>
      </c>
      <c r="B55" t="inlineStr">
        <is>
          <t>9m</t>
        </is>
      </c>
      <c r="C55">
        <f>IF(ISNUMBER(bbg!I55),bbg!I55,"")</f>
        <v/>
      </c>
      <c r="D55">
        <f>IF(ISNUMBER(bbg!J55),bbg!J55,"")</f>
        <v/>
      </c>
      <c r="E55">
        <f>IF(ISNUMBER(bbg!K55),bbg!K55,"")</f>
        <v/>
      </c>
      <c r="F55">
        <f>IF(ISNUMBER(bbg!L55),bbg!L55,"")</f>
        <v/>
      </c>
      <c r="G55">
        <f>IF(ISNUMBER(bbg!M55),bbg!M55,"")</f>
        <v/>
      </c>
    </row>
    <row r="56">
      <c r="A56" t="inlineStr">
        <is>
          <t>AUDUSD</t>
        </is>
      </c>
      <c r="B56" t="inlineStr">
        <is>
          <t>1y</t>
        </is>
      </c>
      <c r="C56">
        <f>IF(ISNUMBER(bbg!I56),bbg!I56,"")</f>
        <v/>
      </c>
      <c r="D56">
        <f>IF(ISNUMBER(bbg!J56),bbg!J56,"")</f>
        <v/>
      </c>
      <c r="E56">
        <f>IF(ISNUMBER(bbg!K56),bbg!K56,"")</f>
        <v/>
      </c>
      <c r="F56">
        <f>IF(ISNUMBER(bbg!L56),bbg!L56,"")</f>
        <v/>
      </c>
      <c r="G56">
        <f>IF(ISNUMBER(bbg!M56),bbg!M56,"")</f>
        <v/>
      </c>
    </row>
    <row r="57">
      <c r="A57" t="inlineStr">
        <is>
          <t>NZDUSD</t>
        </is>
      </c>
      <c r="B57" t="inlineStr">
        <is>
          <t>1w</t>
        </is>
      </c>
      <c r="C57">
        <f>IF(ISNUMBER(bbg!I57),bbg!I57,"")</f>
        <v/>
      </c>
      <c r="D57">
        <f>IF(ISNUMBER(bbg!J57),bbg!J57,"")</f>
        <v/>
      </c>
      <c r="E57">
        <f>IF(ISNUMBER(bbg!K57),bbg!K57,"")</f>
        <v/>
      </c>
      <c r="F57">
        <f>IF(ISNUMBER(bbg!L57),bbg!L57,"")</f>
        <v/>
      </c>
      <c r="G57">
        <f>IF(ISNUMBER(bbg!M57),bbg!M57,"")</f>
        <v/>
      </c>
    </row>
    <row r="58">
      <c r="A58" t="inlineStr">
        <is>
          <t>NZDUSD</t>
        </is>
      </c>
      <c r="B58" t="inlineStr">
        <is>
          <t>2w</t>
        </is>
      </c>
      <c r="C58">
        <f>IF(ISNUMBER(bbg!I58),bbg!I58,"")</f>
        <v/>
      </c>
      <c r="D58">
        <f>IF(ISNUMBER(bbg!J58),bbg!J58,"")</f>
        <v/>
      </c>
      <c r="E58">
        <f>IF(ISNUMBER(bbg!K58),bbg!K58,"")</f>
        <v/>
      </c>
      <c r="F58">
        <f>IF(ISNUMBER(bbg!L58),bbg!L58,"")</f>
        <v/>
      </c>
      <c r="G58">
        <f>IF(ISNUMBER(bbg!M58),bbg!M58,"")</f>
        <v/>
      </c>
    </row>
    <row r="59">
      <c r="A59" t="inlineStr">
        <is>
          <t>NZDUSD</t>
        </is>
      </c>
      <c r="B59" t="inlineStr">
        <is>
          <t>3w</t>
        </is>
      </c>
      <c r="C59">
        <f>IF(ISNUMBER(bbg!I59),bbg!I59,"")</f>
        <v/>
      </c>
      <c r="D59">
        <f>IF(ISNUMBER(bbg!J59),bbg!J59,"")</f>
        <v/>
      </c>
      <c r="E59">
        <f>IF(ISNUMBER(bbg!K59),bbg!K59,"")</f>
        <v/>
      </c>
      <c r="F59">
        <f>IF(ISNUMBER(bbg!L59),bbg!L59,"")</f>
        <v/>
      </c>
      <c r="G59">
        <f>IF(ISNUMBER(bbg!M59),bbg!M59,"")</f>
        <v/>
      </c>
    </row>
    <row r="60">
      <c r="A60" t="inlineStr">
        <is>
          <t>NZDUSD</t>
        </is>
      </c>
      <c r="B60" t="inlineStr">
        <is>
          <t>1m</t>
        </is>
      </c>
      <c r="C60">
        <f>IF(ISNUMBER(bbg!I60),bbg!I60,"")</f>
        <v/>
      </c>
      <c r="D60">
        <f>IF(ISNUMBER(bbg!J60),bbg!J60,"")</f>
        <v/>
      </c>
      <c r="E60">
        <f>IF(ISNUMBER(bbg!K60),bbg!K60,"")</f>
        <v/>
      </c>
      <c r="F60">
        <f>IF(ISNUMBER(bbg!L60),bbg!L60,"")</f>
        <v/>
      </c>
      <c r="G60">
        <f>IF(ISNUMBER(bbg!M60),bbg!M60,"")</f>
        <v/>
      </c>
    </row>
    <row r="61">
      <c r="A61" t="inlineStr">
        <is>
          <t>NZDUSD</t>
        </is>
      </c>
      <c r="B61" t="inlineStr">
        <is>
          <t>2m</t>
        </is>
      </c>
      <c r="C61">
        <f>IF(ISNUMBER(bbg!I61),bbg!I61,"")</f>
        <v/>
      </c>
      <c r="D61">
        <f>IF(ISNUMBER(bbg!J61),bbg!J61,"")</f>
        <v/>
      </c>
      <c r="E61">
        <f>IF(ISNUMBER(bbg!K61),bbg!K61,"")</f>
        <v/>
      </c>
      <c r="F61">
        <f>IF(ISNUMBER(bbg!L61),bbg!L61,"")</f>
        <v/>
      </c>
      <c r="G61">
        <f>IF(ISNUMBER(bbg!M61),bbg!M61,"")</f>
        <v/>
      </c>
    </row>
    <row r="62">
      <c r="A62" t="inlineStr">
        <is>
          <t>NZDUSD</t>
        </is>
      </c>
      <c r="B62" t="inlineStr">
        <is>
          <t>3m</t>
        </is>
      </c>
      <c r="C62">
        <f>IF(ISNUMBER(bbg!I62),bbg!I62,"")</f>
        <v/>
      </c>
      <c r="D62">
        <f>IF(ISNUMBER(bbg!J62),bbg!J62,"")</f>
        <v/>
      </c>
      <c r="E62">
        <f>IF(ISNUMBER(bbg!K62),bbg!K62,"")</f>
        <v/>
      </c>
      <c r="F62">
        <f>IF(ISNUMBER(bbg!L62),bbg!L62,"")</f>
        <v/>
      </c>
      <c r="G62">
        <f>IF(ISNUMBER(bbg!M62),bbg!M62,"")</f>
        <v/>
      </c>
    </row>
    <row r="63">
      <c r="A63" t="inlineStr">
        <is>
          <t>NZDUSD</t>
        </is>
      </c>
      <c r="B63" t="inlineStr">
        <is>
          <t>6m</t>
        </is>
      </c>
      <c r="C63">
        <f>IF(ISNUMBER(bbg!I63),bbg!I63,"")</f>
        <v/>
      </c>
      <c r="D63">
        <f>IF(ISNUMBER(bbg!J63),bbg!J63,"")</f>
        <v/>
      </c>
      <c r="E63">
        <f>IF(ISNUMBER(bbg!K63),bbg!K63,"")</f>
        <v/>
      </c>
      <c r="F63">
        <f>IF(ISNUMBER(bbg!L63),bbg!L63,"")</f>
        <v/>
      </c>
      <c r="G63">
        <f>IF(ISNUMBER(bbg!M63),bbg!M63,"")</f>
        <v/>
      </c>
    </row>
    <row r="64">
      <c r="A64" t="inlineStr">
        <is>
          <t>NZDUSD</t>
        </is>
      </c>
      <c r="B64" t="inlineStr">
        <is>
          <t>9m</t>
        </is>
      </c>
      <c r="C64">
        <f>IF(ISNUMBER(bbg!I64),bbg!I64,"")</f>
        <v/>
      </c>
      <c r="D64">
        <f>IF(ISNUMBER(bbg!J64),bbg!J64,"")</f>
        <v/>
      </c>
      <c r="E64">
        <f>IF(ISNUMBER(bbg!K64),bbg!K64,"")</f>
        <v/>
      </c>
      <c r="F64">
        <f>IF(ISNUMBER(bbg!L64),bbg!L64,"")</f>
        <v/>
      </c>
      <c r="G64">
        <f>IF(ISNUMBER(bbg!M64),bbg!M64,"")</f>
        <v/>
      </c>
    </row>
    <row r="65">
      <c r="A65" t="inlineStr">
        <is>
          <t>NZDUSD</t>
        </is>
      </c>
      <c r="B65" t="inlineStr">
        <is>
          <t>1y</t>
        </is>
      </c>
      <c r="C65">
        <f>IF(ISNUMBER(bbg!I65),bbg!I65,"")</f>
        <v/>
      </c>
      <c r="D65">
        <f>IF(ISNUMBER(bbg!J65),bbg!J65,"")</f>
        <v/>
      </c>
      <c r="E65">
        <f>IF(ISNUMBER(bbg!K65),bbg!K65,"")</f>
        <v/>
      </c>
      <c r="F65">
        <f>IF(ISNUMBER(bbg!L65),bbg!L65,"")</f>
        <v/>
      </c>
      <c r="G65">
        <f>IF(ISNUMBER(bbg!M65),bbg!M65,"")</f>
        <v/>
      </c>
    </row>
    <row r="66">
      <c r="A66" t="inlineStr">
        <is>
          <t>EURJPY</t>
        </is>
      </c>
      <c r="B66" t="inlineStr">
        <is>
          <t>1w</t>
        </is>
      </c>
      <c r="C66">
        <f>IF(ISNUMBER(bbg!I66),bbg!I66,"")</f>
        <v/>
      </c>
      <c r="D66">
        <f>IF(ISNUMBER(bbg!J66),bbg!J66,"")</f>
        <v/>
      </c>
      <c r="E66">
        <f>IF(ISNUMBER(bbg!K66),bbg!K66,"")</f>
        <v/>
      </c>
      <c r="F66">
        <f>IF(ISNUMBER(bbg!L66),bbg!L66,"")</f>
        <v/>
      </c>
      <c r="G66">
        <f>IF(ISNUMBER(bbg!M66),bbg!M66,"")</f>
        <v/>
      </c>
    </row>
    <row r="67">
      <c r="A67" t="inlineStr">
        <is>
          <t>EURJPY</t>
        </is>
      </c>
      <c r="B67" t="inlineStr">
        <is>
          <t>2w</t>
        </is>
      </c>
      <c r="C67">
        <f>IF(ISNUMBER(bbg!I67),bbg!I67,"")</f>
        <v/>
      </c>
      <c r="D67">
        <f>IF(ISNUMBER(bbg!J67),bbg!J67,"")</f>
        <v/>
      </c>
      <c r="E67">
        <f>IF(ISNUMBER(bbg!K67),bbg!K67,"")</f>
        <v/>
      </c>
      <c r="F67">
        <f>IF(ISNUMBER(bbg!L67),bbg!L67,"")</f>
        <v/>
      </c>
      <c r="G67">
        <f>IF(ISNUMBER(bbg!M67),bbg!M67,"")</f>
        <v/>
      </c>
    </row>
    <row r="68">
      <c r="A68" t="inlineStr">
        <is>
          <t>EURJPY</t>
        </is>
      </c>
      <c r="B68" t="inlineStr">
        <is>
          <t>3w</t>
        </is>
      </c>
      <c r="C68">
        <f>IF(ISNUMBER(bbg!I68),bbg!I68,"")</f>
        <v/>
      </c>
      <c r="D68">
        <f>IF(ISNUMBER(bbg!J68),bbg!J68,"")</f>
        <v/>
      </c>
      <c r="E68">
        <f>IF(ISNUMBER(bbg!K68),bbg!K68,"")</f>
        <v/>
      </c>
      <c r="F68">
        <f>IF(ISNUMBER(bbg!L68),bbg!L68,"")</f>
        <v/>
      </c>
      <c r="G68">
        <f>IF(ISNUMBER(bbg!M68),bbg!M68,"")</f>
        <v/>
      </c>
    </row>
    <row r="69">
      <c r="A69" t="inlineStr">
        <is>
          <t>EURJPY</t>
        </is>
      </c>
      <c r="B69" t="inlineStr">
        <is>
          <t>1m</t>
        </is>
      </c>
      <c r="C69">
        <f>IF(ISNUMBER(bbg!I69),bbg!I69,"")</f>
        <v/>
      </c>
      <c r="D69">
        <f>IF(ISNUMBER(bbg!J69),bbg!J69,"")</f>
        <v/>
      </c>
      <c r="E69">
        <f>IF(ISNUMBER(bbg!K69),bbg!K69,"")</f>
        <v/>
      </c>
      <c r="F69">
        <f>IF(ISNUMBER(bbg!L69),bbg!L69,"")</f>
        <v/>
      </c>
      <c r="G69">
        <f>IF(ISNUMBER(bbg!M69),bbg!M69,"")</f>
        <v/>
      </c>
    </row>
    <row r="70">
      <c r="A70" t="inlineStr">
        <is>
          <t>EURJPY</t>
        </is>
      </c>
      <c r="B70" t="inlineStr">
        <is>
          <t>2m</t>
        </is>
      </c>
      <c r="C70">
        <f>IF(ISNUMBER(bbg!I70),bbg!I70,"")</f>
        <v/>
      </c>
      <c r="D70">
        <f>IF(ISNUMBER(bbg!J70),bbg!J70,"")</f>
        <v/>
      </c>
      <c r="E70">
        <f>IF(ISNUMBER(bbg!K70),bbg!K70,"")</f>
        <v/>
      </c>
      <c r="F70">
        <f>IF(ISNUMBER(bbg!L70),bbg!L70,"")</f>
        <v/>
      </c>
      <c r="G70">
        <f>IF(ISNUMBER(bbg!M70),bbg!M70,"")</f>
        <v/>
      </c>
    </row>
    <row r="71">
      <c r="A71" t="inlineStr">
        <is>
          <t>EURJPY</t>
        </is>
      </c>
      <c r="B71" t="inlineStr">
        <is>
          <t>3m</t>
        </is>
      </c>
      <c r="C71">
        <f>IF(ISNUMBER(bbg!I71),bbg!I71,"")</f>
        <v/>
      </c>
      <c r="D71">
        <f>IF(ISNUMBER(bbg!J71),bbg!J71,"")</f>
        <v/>
      </c>
      <c r="E71">
        <f>IF(ISNUMBER(bbg!K71),bbg!K71,"")</f>
        <v/>
      </c>
      <c r="F71">
        <f>IF(ISNUMBER(bbg!L71),bbg!L71,"")</f>
        <v/>
      </c>
      <c r="G71">
        <f>IF(ISNUMBER(bbg!M71),bbg!M71,"")</f>
        <v/>
      </c>
    </row>
    <row r="72">
      <c r="A72" t="inlineStr">
        <is>
          <t>EURJPY</t>
        </is>
      </c>
      <c r="B72" t="inlineStr">
        <is>
          <t>6m</t>
        </is>
      </c>
      <c r="C72">
        <f>IF(ISNUMBER(bbg!I72),bbg!I72,"")</f>
        <v/>
      </c>
      <c r="D72">
        <f>IF(ISNUMBER(bbg!J72),bbg!J72,"")</f>
        <v/>
      </c>
      <c r="E72">
        <f>IF(ISNUMBER(bbg!K72),bbg!K72,"")</f>
        <v/>
      </c>
      <c r="F72">
        <f>IF(ISNUMBER(bbg!L72),bbg!L72,"")</f>
        <v/>
      </c>
      <c r="G72">
        <f>IF(ISNUMBER(bbg!M72),bbg!M72,"")</f>
        <v/>
      </c>
    </row>
    <row r="73">
      <c r="A73" t="inlineStr">
        <is>
          <t>EURJPY</t>
        </is>
      </c>
      <c r="B73" t="inlineStr">
        <is>
          <t>9m</t>
        </is>
      </c>
      <c r="C73">
        <f>IF(ISNUMBER(bbg!I73),bbg!I73,"")</f>
        <v/>
      </c>
      <c r="D73">
        <f>IF(ISNUMBER(bbg!J73),bbg!J73,"")</f>
        <v/>
      </c>
      <c r="E73">
        <f>IF(ISNUMBER(bbg!K73),bbg!K73,"")</f>
        <v/>
      </c>
      <c r="F73">
        <f>IF(ISNUMBER(bbg!L73),bbg!L73,"")</f>
        <v/>
      </c>
      <c r="G73">
        <f>IF(ISNUMBER(bbg!M73),bbg!M73,"")</f>
        <v/>
      </c>
    </row>
    <row r="74">
      <c r="A74" t="inlineStr">
        <is>
          <t>EURJPY</t>
        </is>
      </c>
      <c r="B74" t="inlineStr">
        <is>
          <t>1y</t>
        </is>
      </c>
      <c r="C74">
        <f>IF(ISNUMBER(bbg!I74),bbg!I74,"")</f>
        <v/>
      </c>
      <c r="D74">
        <f>IF(ISNUMBER(bbg!J74),bbg!J74,"")</f>
        <v/>
      </c>
      <c r="E74">
        <f>IF(ISNUMBER(bbg!K74),bbg!K74,"")</f>
        <v/>
      </c>
      <c r="F74">
        <f>IF(ISNUMBER(bbg!L74),bbg!L74,"")</f>
        <v/>
      </c>
      <c r="G74">
        <f>IF(ISNUMBER(bbg!M74),bbg!M74,"")</f>
        <v/>
      </c>
    </row>
    <row r="75">
      <c r="A75" t="inlineStr">
        <is>
          <t>AUDJPY</t>
        </is>
      </c>
      <c r="B75" t="inlineStr">
        <is>
          <t>1w</t>
        </is>
      </c>
      <c r="C75">
        <f>IF(ISNUMBER(bbg!I75),bbg!I75,"")</f>
        <v/>
      </c>
      <c r="D75">
        <f>IF(ISNUMBER(bbg!J75),bbg!J75,"")</f>
        <v/>
      </c>
      <c r="E75">
        <f>IF(ISNUMBER(bbg!K75),bbg!K75,"")</f>
        <v/>
      </c>
      <c r="F75">
        <f>IF(ISNUMBER(bbg!L75),bbg!L75,"")</f>
        <v/>
      </c>
      <c r="G75">
        <f>IF(ISNUMBER(bbg!M75),bbg!M75,"")</f>
        <v/>
      </c>
    </row>
    <row r="76">
      <c r="A76" t="inlineStr">
        <is>
          <t>AUDJPY</t>
        </is>
      </c>
      <c r="B76" t="inlineStr">
        <is>
          <t>2w</t>
        </is>
      </c>
      <c r="C76">
        <f>IF(ISNUMBER(bbg!I76),bbg!I76,"")</f>
        <v/>
      </c>
      <c r="D76">
        <f>IF(ISNUMBER(bbg!J76),bbg!J76,"")</f>
        <v/>
      </c>
      <c r="E76">
        <f>IF(ISNUMBER(bbg!K76),bbg!K76,"")</f>
        <v/>
      </c>
      <c r="F76">
        <f>IF(ISNUMBER(bbg!L76),bbg!L76,"")</f>
        <v/>
      </c>
      <c r="G76">
        <f>IF(ISNUMBER(bbg!M76),bbg!M76,"")</f>
        <v/>
      </c>
    </row>
    <row r="77">
      <c r="A77" t="inlineStr">
        <is>
          <t>AUDJPY</t>
        </is>
      </c>
      <c r="B77" t="inlineStr">
        <is>
          <t>3w</t>
        </is>
      </c>
      <c r="C77">
        <f>IF(ISNUMBER(bbg!I77),bbg!I77,"")</f>
        <v/>
      </c>
      <c r="D77">
        <f>IF(ISNUMBER(bbg!J77),bbg!J77,"")</f>
        <v/>
      </c>
      <c r="E77">
        <f>IF(ISNUMBER(bbg!K77),bbg!K77,"")</f>
        <v/>
      </c>
      <c r="F77">
        <f>IF(ISNUMBER(bbg!L77),bbg!L77,"")</f>
        <v/>
      </c>
      <c r="G77">
        <f>IF(ISNUMBER(bbg!M77),bbg!M77,"")</f>
        <v/>
      </c>
    </row>
    <row r="78">
      <c r="A78" t="inlineStr">
        <is>
          <t>AUDJPY</t>
        </is>
      </c>
      <c r="B78" t="inlineStr">
        <is>
          <t>1m</t>
        </is>
      </c>
      <c r="C78">
        <f>IF(ISNUMBER(bbg!I78),bbg!I78,"")</f>
        <v/>
      </c>
      <c r="D78">
        <f>IF(ISNUMBER(bbg!J78),bbg!J78,"")</f>
        <v/>
      </c>
      <c r="E78">
        <f>IF(ISNUMBER(bbg!K78),bbg!K78,"")</f>
        <v/>
      </c>
      <c r="F78">
        <f>IF(ISNUMBER(bbg!L78),bbg!L78,"")</f>
        <v/>
      </c>
      <c r="G78">
        <f>IF(ISNUMBER(bbg!M78),bbg!M78,"")</f>
        <v/>
      </c>
    </row>
    <row r="79">
      <c r="A79" t="inlineStr">
        <is>
          <t>AUDJPY</t>
        </is>
      </c>
      <c r="B79" t="inlineStr">
        <is>
          <t>2m</t>
        </is>
      </c>
      <c r="C79">
        <f>IF(ISNUMBER(bbg!I79),bbg!I79,"")</f>
        <v/>
      </c>
      <c r="D79">
        <f>IF(ISNUMBER(bbg!J79),bbg!J79,"")</f>
        <v/>
      </c>
      <c r="E79">
        <f>IF(ISNUMBER(bbg!K79),bbg!K79,"")</f>
        <v/>
      </c>
      <c r="F79">
        <f>IF(ISNUMBER(bbg!L79),bbg!L79,"")</f>
        <v/>
      </c>
      <c r="G79">
        <f>IF(ISNUMBER(bbg!M79),bbg!M79,"")</f>
        <v/>
      </c>
    </row>
    <row r="80">
      <c r="A80" t="inlineStr">
        <is>
          <t>AUDJPY</t>
        </is>
      </c>
      <c r="B80" t="inlineStr">
        <is>
          <t>3m</t>
        </is>
      </c>
      <c r="C80">
        <f>IF(ISNUMBER(bbg!I80),bbg!I80,"")</f>
        <v/>
      </c>
      <c r="D80">
        <f>IF(ISNUMBER(bbg!J80),bbg!J80,"")</f>
        <v/>
      </c>
      <c r="E80">
        <f>IF(ISNUMBER(bbg!K80),bbg!K80,"")</f>
        <v/>
      </c>
      <c r="F80">
        <f>IF(ISNUMBER(bbg!L80),bbg!L80,"")</f>
        <v/>
      </c>
      <c r="G80">
        <f>IF(ISNUMBER(bbg!M80),bbg!M80,"")</f>
        <v/>
      </c>
    </row>
    <row r="81">
      <c r="A81" t="inlineStr">
        <is>
          <t>AUDJPY</t>
        </is>
      </c>
      <c r="B81" t="inlineStr">
        <is>
          <t>6m</t>
        </is>
      </c>
      <c r="C81">
        <f>IF(ISNUMBER(bbg!I81),bbg!I81,"")</f>
        <v/>
      </c>
      <c r="D81">
        <f>IF(ISNUMBER(bbg!J81),bbg!J81,"")</f>
        <v/>
      </c>
      <c r="E81">
        <f>IF(ISNUMBER(bbg!K81),bbg!K81,"")</f>
        <v/>
      </c>
      <c r="F81">
        <f>IF(ISNUMBER(bbg!L81),bbg!L81,"")</f>
        <v/>
      </c>
      <c r="G81">
        <f>IF(ISNUMBER(bbg!M81),bbg!M81,"")</f>
        <v/>
      </c>
    </row>
    <row r="82">
      <c r="A82" t="inlineStr">
        <is>
          <t>AUDJPY</t>
        </is>
      </c>
      <c r="B82" t="inlineStr">
        <is>
          <t>9m</t>
        </is>
      </c>
      <c r="C82">
        <f>IF(ISNUMBER(bbg!I82),bbg!I82,"")</f>
        <v/>
      </c>
      <c r="D82">
        <f>IF(ISNUMBER(bbg!J82),bbg!J82,"")</f>
        <v/>
      </c>
      <c r="E82">
        <f>IF(ISNUMBER(bbg!K82),bbg!K82,"")</f>
        <v/>
      </c>
      <c r="F82">
        <f>IF(ISNUMBER(bbg!L82),bbg!L82,"")</f>
        <v/>
      </c>
      <c r="G82">
        <f>IF(ISNUMBER(bbg!M82),bbg!M82,"")</f>
        <v/>
      </c>
    </row>
    <row r="83">
      <c r="A83" t="inlineStr">
        <is>
          <t>AUDJPY</t>
        </is>
      </c>
      <c r="B83" t="inlineStr">
        <is>
          <t>1y</t>
        </is>
      </c>
      <c r="C83">
        <f>IF(ISNUMBER(bbg!I83),bbg!I83,"")</f>
        <v/>
      </c>
      <c r="D83">
        <f>IF(ISNUMBER(bbg!J83),bbg!J83,"")</f>
        <v/>
      </c>
      <c r="E83">
        <f>IF(ISNUMBER(bbg!K83),bbg!K83,"")</f>
        <v/>
      </c>
      <c r="F83">
        <f>IF(ISNUMBER(bbg!L83),bbg!L83,"")</f>
        <v/>
      </c>
      <c r="G83">
        <f>IF(ISNUMBER(bbg!M83),bbg!M83,"")</f>
        <v/>
      </c>
    </row>
    <row r="84">
      <c r="A84" t="inlineStr">
        <is>
          <t>EURGBP</t>
        </is>
      </c>
      <c r="B84" t="inlineStr">
        <is>
          <t>1w</t>
        </is>
      </c>
      <c r="C84">
        <f>IF(ISNUMBER(bbg!I84),bbg!I84,"")</f>
        <v/>
      </c>
      <c r="D84">
        <f>IF(ISNUMBER(bbg!J84),bbg!J84,"")</f>
        <v/>
      </c>
      <c r="E84">
        <f>IF(ISNUMBER(bbg!K84),bbg!K84,"")</f>
        <v/>
      </c>
      <c r="F84">
        <f>IF(ISNUMBER(bbg!L84),bbg!L84,"")</f>
        <v/>
      </c>
      <c r="G84">
        <f>IF(ISNUMBER(bbg!M84),bbg!M84,"")</f>
        <v/>
      </c>
    </row>
    <row r="85">
      <c r="A85" t="inlineStr">
        <is>
          <t>EURGBP</t>
        </is>
      </c>
      <c r="B85" t="inlineStr">
        <is>
          <t>2w</t>
        </is>
      </c>
      <c r="C85">
        <f>IF(ISNUMBER(bbg!I85),bbg!I85,"")</f>
        <v/>
      </c>
      <c r="D85">
        <f>IF(ISNUMBER(bbg!J85),bbg!J85,"")</f>
        <v/>
      </c>
      <c r="E85">
        <f>IF(ISNUMBER(bbg!K85),bbg!K85,"")</f>
        <v/>
      </c>
      <c r="F85">
        <f>IF(ISNUMBER(bbg!L85),bbg!L85,"")</f>
        <v/>
      </c>
      <c r="G85">
        <f>IF(ISNUMBER(bbg!M85),bbg!M85,"")</f>
        <v/>
      </c>
    </row>
    <row r="86">
      <c r="A86" t="inlineStr">
        <is>
          <t>EURGBP</t>
        </is>
      </c>
      <c r="B86" t="inlineStr">
        <is>
          <t>3w</t>
        </is>
      </c>
      <c r="C86">
        <f>IF(ISNUMBER(bbg!I86),bbg!I86,"")</f>
        <v/>
      </c>
      <c r="D86">
        <f>IF(ISNUMBER(bbg!J86),bbg!J86,"")</f>
        <v/>
      </c>
      <c r="E86">
        <f>IF(ISNUMBER(bbg!K86),bbg!K86,"")</f>
        <v/>
      </c>
      <c r="F86">
        <f>IF(ISNUMBER(bbg!L86),bbg!L86,"")</f>
        <v/>
      </c>
      <c r="G86">
        <f>IF(ISNUMBER(bbg!M86),bbg!M86,"")</f>
        <v/>
      </c>
    </row>
    <row r="87">
      <c r="A87" t="inlineStr">
        <is>
          <t>EURGBP</t>
        </is>
      </c>
      <c r="B87" t="inlineStr">
        <is>
          <t>1m</t>
        </is>
      </c>
      <c r="C87">
        <f>IF(ISNUMBER(bbg!I87),bbg!I87,"")</f>
        <v/>
      </c>
      <c r="D87">
        <f>IF(ISNUMBER(bbg!J87),bbg!J87,"")</f>
        <v/>
      </c>
      <c r="E87">
        <f>IF(ISNUMBER(bbg!K87),bbg!K87,"")</f>
        <v/>
      </c>
      <c r="F87">
        <f>IF(ISNUMBER(bbg!L87),bbg!L87,"")</f>
        <v/>
      </c>
      <c r="G87">
        <f>IF(ISNUMBER(bbg!M87),bbg!M87,"")</f>
        <v/>
      </c>
    </row>
    <row r="88">
      <c r="A88" t="inlineStr">
        <is>
          <t>EURGBP</t>
        </is>
      </c>
      <c r="B88" t="inlineStr">
        <is>
          <t>2m</t>
        </is>
      </c>
      <c r="C88">
        <f>IF(ISNUMBER(bbg!I88),bbg!I88,"")</f>
        <v/>
      </c>
      <c r="D88">
        <f>IF(ISNUMBER(bbg!J88),bbg!J88,"")</f>
        <v/>
      </c>
      <c r="E88">
        <f>IF(ISNUMBER(bbg!K88),bbg!K88,"")</f>
        <v/>
      </c>
      <c r="F88">
        <f>IF(ISNUMBER(bbg!L88),bbg!L88,"")</f>
        <v/>
      </c>
      <c r="G88">
        <f>IF(ISNUMBER(bbg!M88),bbg!M88,"")</f>
        <v/>
      </c>
    </row>
    <row r="89">
      <c r="A89" t="inlineStr">
        <is>
          <t>EURGBP</t>
        </is>
      </c>
      <c r="B89" t="inlineStr">
        <is>
          <t>3m</t>
        </is>
      </c>
      <c r="C89">
        <f>IF(ISNUMBER(bbg!I89),bbg!I89,"")</f>
        <v/>
      </c>
      <c r="D89">
        <f>IF(ISNUMBER(bbg!J89),bbg!J89,"")</f>
        <v/>
      </c>
      <c r="E89">
        <f>IF(ISNUMBER(bbg!K89),bbg!K89,"")</f>
        <v/>
      </c>
      <c r="F89">
        <f>IF(ISNUMBER(bbg!L89),bbg!L89,"")</f>
        <v/>
      </c>
      <c r="G89">
        <f>IF(ISNUMBER(bbg!M89),bbg!M89,"")</f>
        <v/>
      </c>
    </row>
    <row r="90">
      <c r="A90" t="inlineStr">
        <is>
          <t>EURGBP</t>
        </is>
      </c>
      <c r="B90" t="inlineStr">
        <is>
          <t>6m</t>
        </is>
      </c>
      <c r="C90">
        <f>IF(ISNUMBER(bbg!I90),bbg!I90,"")</f>
        <v/>
      </c>
      <c r="D90">
        <f>IF(ISNUMBER(bbg!J90),bbg!J90,"")</f>
        <v/>
      </c>
      <c r="E90">
        <f>IF(ISNUMBER(bbg!K90),bbg!K90,"")</f>
        <v/>
      </c>
      <c r="F90">
        <f>IF(ISNUMBER(bbg!L90),bbg!L90,"")</f>
        <v/>
      </c>
      <c r="G90">
        <f>IF(ISNUMBER(bbg!M90),bbg!M90,"")</f>
        <v/>
      </c>
    </row>
    <row r="91">
      <c r="A91" t="inlineStr">
        <is>
          <t>EURGBP</t>
        </is>
      </c>
      <c r="B91" t="inlineStr">
        <is>
          <t>9m</t>
        </is>
      </c>
      <c r="C91">
        <f>IF(ISNUMBER(bbg!I91),bbg!I91,"")</f>
        <v/>
      </c>
      <c r="D91">
        <f>IF(ISNUMBER(bbg!J91),bbg!J91,"")</f>
        <v/>
      </c>
      <c r="E91">
        <f>IF(ISNUMBER(bbg!K91),bbg!K91,"")</f>
        <v/>
      </c>
      <c r="F91">
        <f>IF(ISNUMBER(bbg!L91),bbg!L91,"")</f>
        <v/>
      </c>
      <c r="G91">
        <f>IF(ISNUMBER(bbg!M91),bbg!M91,"")</f>
        <v/>
      </c>
    </row>
    <row r="92">
      <c r="A92" t="inlineStr">
        <is>
          <t>EURGBP</t>
        </is>
      </c>
      <c r="B92" t="inlineStr">
        <is>
          <t>1y</t>
        </is>
      </c>
      <c r="C92">
        <f>IF(ISNUMBER(bbg!I92),bbg!I92,"")</f>
        <v/>
      </c>
      <c r="D92">
        <f>IF(ISNUMBER(bbg!J92),bbg!J92,"")</f>
        <v/>
      </c>
      <c r="E92">
        <f>IF(ISNUMBER(bbg!K92),bbg!K92,"")</f>
        <v/>
      </c>
      <c r="F92">
        <f>IF(ISNUMBER(bbg!L92),bbg!L92,"")</f>
        <v/>
      </c>
      <c r="G92">
        <f>IF(ISNUMBER(bbg!M92),bbg!M92,"")</f>
        <v/>
      </c>
    </row>
    <row r="93">
      <c r="A93" t="inlineStr">
        <is>
          <t>GBPNZD</t>
        </is>
      </c>
      <c r="B93" t="inlineStr">
        <is>
          <t>1w</t>
        </is>
      </c>
      <c r="C93">
        <f>IF(ISNUMBER(bbg!I93),bbg!I93,"")</f>
        <v/>
      </c>
      <c r="D93">
        <f>IF(ISNUMBER(bbg!J93),bbg!J93,"")</f>
        <v/>
      </c>
      <c r="E93">
        <f>IF(ISNUMBER(bbg!K93),bbg!K93,"")</f>
        <v/>
      </c>
      <c r="F93">
        <f>IF(ISNUMBER(bbg!L93),bbg!L93,"")</f>
        <v/>
      </c>
      <c r="G93">
        <f>IF(ISNUMBER(bbg!M93),bbg!M93,"")</f>
        <v/>
      </c>
    </row>
    <row r="94">
      <c r="A94" t="inlineStr">
        <is>
          <t>GBPNZD</t>
        </is>
      </c>
      <c r="B94" t="inlineStr">
        <is>
          <t>2w</t>
        </is>
      </c>
      <c r="C94">
        <f>IF(ISNUMBER(bbg!I94),bbg!I94,"")</f>
        <v/>
      </c>
      <c r="D94">
        <f>IF(ISNUMBER(bbg!J94),bbg!J94,"")</f>
        <v/>
      </c>
      <c r="E94">
        <f>IF(ISNUMBER(bbg!K94),bbg!K94,"")</f>
        <v/>
      </c>
      <c r="F94">
        <f>IF(ISNUMBER(bbg!L94),bbg!L94,"")</f>
        <v/>
      </c>
      <c r="G94">
        <f>IF(ISNUMBER(bbg!M94),bbg!M94,"")</f>
        <v/>
      </c>
    </row>
    <row r="95">
      <c r="A95" t="inlineStr">
        <is>
          <t>GBPNZD</t>
        </is>
      </c>
      <c r="B95" t="inlineStr">
        <is>
          <t>3w</t>
        </is>
      </c>
      <c r="C95">
        <f>IF(ISNUMBER(bbg!I95),bbg!I95,"")</f>
        <v/>
      </c>
      <c r="D95">
        <f>IF(ISNUMBER(bbg!J95),bbg!J95,"")</f>
        <v/>
      </c>
      <c r="E95">
        <f>IF(ISNUMBER(bbg!K95),bbg!K95,"")</f>
        <v/>
      </c>
      <c r="F95">
        <f>IF(ISNUMBER(bbg!L95),bbg!L95,"")</f>
        <v/>
      </c>
      <c r="G95">
        <f>IF(ISNUMBER(bbg!M95),bbg!M95,"")</f>
        <v/>
      </c>
    </row>
    <row r="96">
      <c r="A96" t="inlineStr">
        <is>
          <t>GBPNZD</t>
        </is>
      </c>
      <c r="B96" t="inlineStr">
        <is>
          <t>1m</t>
        </is>
      </c>
      <c r="C96">
        <f>IF(ISNUMBER(bbg!I96),bbg!I96,"")</f>
        <v/>
      </c>
      <c r="D96">
        <f>IF(ISNUMBER(bbg!J96),bbg!J96,"")</f>
        <v/>
      </c>
      <c r="E96">
        <f>IF(ISNUMBER(bbg!K96),bbg!K96,"")</f>
        <v/>
      </c>
      <c r="F96">
        <f>IF(ISNUMBER(bbg!L96),bbg!L96,"")</f>
        <v/>
      </c>
      <c r="G96">
        <f>IF(ISNUMBER(bbg!M96),bbg!M96,"")</f>
        <v/>
      </c>
    </row>
    <row r="97">
      <c r="A97" t="inlineStr">
        <is>
          <t>GBPNZD</t>
        </is>
      </c>
      <c r="B97" t="inlineStr">
        <is>
          <t>2m</t>
        </is>
      </c>
      <c r="C97">
        <f>IF(ISNUMBER(bbg!I97),bbg!I97,"")</f>
        <v/>
      </c>
      <c r="D97">
        <f>IF(ISNUMBER(bbg!J97),bbg!J97,"")</f>
        <v/>
      </c>
      <c r="E97">
        <f>IF(ISNUMBER(bbg!K97),bbg!K97,"")</f>
        <v/>
      </c>
      <c r="F97">
        <f>IF(ISNUMBER(bbg!L97),bbg!L97,"")</f>
        <v/>
      </c>
      <c r="G97">
        <f>IF(ISNUMBER(bbg!M97),bbg!M97,"")</f>
        <v/>
      </c>
    </row>
    <row r="98">
      <c r="A98" t="inlineStr">
        <is>
          <t>GBPNZD</t>
        </is>
      </c>
      <c r="B98" t="inlineStr">
        <is>
          <t>3m</t>
        </is>
      </c>
      <c r="C98">
        <f>IF(ISNUMBER(bbg!I98),bbg!I98,"")</f>
        <v/>
      </c>
      <c r="D98">
        <f>IF(ISNUMBER(bbg!J98),bbg!J98,"")</f>
        <v/>
      </c>
      <c r="E98">
        <f>IF(ISNUMBER(bbg!K98),bbg!K98,"")</f>
        <v/>
      </c>
      <c r="F98">
        <f>IF(ISNUMBER(bbg!L98),bbg!L98,"")</f>
        <v/>
      </c>
      <c r="G98">
        <f>IF(ISNUMBER(bbg!M98),bbg!M98,"")</f>
        <v/>
      </c>
    </row>
    <row r="99">
      <c r="A99" t="inlineStr">
        <is>
          <t>GBPNZD</t>
        </is>
      </c>
      <c r="B99" t="inlineStr">
        <is>
          <t>6m</t>
        </is>
      </c>
      <c r="C99">
        <f>IF(ISNUMBER(bbg!I99),bbg!I99,"")</f>
        <v/>
      </c>
      <c r="D99">
        <f>IF(ISNUMBER(bbg!J99),bbg!J99,"")</f>
        <v/>
      </c>
      <c r="E99">
        <f>IF(ISNUMBER(bbg!K99),bbg!K99,"")</f>
        <v/>
      </c>
      <c r="F99">
        <f>IF(ISNUMBER(bbg!L99),bbg!L99,"")</f>
        <v/>
      </c>
      <c r="G99">
        <f>IF(ISNUMBER(bbg!M99),bbg!M99,"")</f>
        <v/>
      </c>
    </row>
    <row r="100">
      <c r="A100" t="inlineStr">
        <is>
          <t>GBPNZD</t>
        </is>
      </c>
      <c r="B100" t="inlineStr">
        <is>
          <t>9m</t>
        </is>
      </c>
      <c r="C100">
        <f>IF(ISNUMBER(bbg!I100),bbg!I100,"")</f>
        <v/>
      </c>
      <c r="D100">
        <f>IF(ISNUMBER(bbg!J100),bbg!J100,"")</f>
        <v/>
      </c>
      <c r="E100">
        <f>IF(ISNUMBER(bbg!K100),bbg!K100,"")</f>
        <v/>
      </c>
      <c r="F100">
        <f>IF(ISNUMBER(bbg!L100),bbg!L100,"")</f>
        <v/>
      </c>
      <c r="G100">
        <f>IF(ISNUMBER(bbg!M100),bbg!M100,"")</f>
        <v/>
      </c>
    </row>
    <row r="101">
      <c r="A101" t="inlineStr">
        <is>
          <t>GBPNZD</t>
        </is>
      </c>
      <c r="B101" t="inlineStr">
        <is>
          <t>1y</t>
        </is>
      </c>
      <c r="C101">
        <f>IF(ISNUMBER(bbg!I101),bbg!I101,"")</f>
        <v/>
      </c>
      <c r="D101">
        <f>IF(ISNUMBER(bbg!J101),bbg!J101,"")</f>
        <v/>
      </c>
      <c r="E101">
        <f>IF(ISNUMBER(bbg!K101),bbg!K101,"")</f>
        <v/>
      </c>
      <c r="F101">
        <f>IF(ISNUMBER(bbg!L101),bbg!L101,"")</f>
        <v/>
      </c>
      <c r="G101">
        <f>IF(ISNUMBER(bbg!M101),bbg!M101,"")</f>
        <v/>
      </c>
    </row>
    <row r="102">
      <c r="A102" t="inlineStr">
        <is>
          <t>EURCNH</t>
        </is>
      </c>
      <c r="B102" t="inlineStr">
        <is>
          <t>1w</t>
        </is>
      </c>
      <c r="C102">
        <f>IF(ISNUMBER(bbg!I102),bbg!I102,"")</f>
        <v/>
      </c>
      <c r="D102">
        <f>IF(ISNUMBER(bbg!J102),bbg!J102,"")</f>
        <v/>
      </c>
      <c r="E102">
        <f>IF(ISNUMBER(bbg!K102),bbg!K102,"")</f>
        <v/>
      </c>
      <c r="F102">
        <f>IF(ISNUMBER(bbg!L102),bbg!L102,"")</f>
        <v/>
      </c>
      <c r="G102">
        <f>IF(ISNUMBER(bbg!M102),bbg!M102,"")</f>
        <v/>
      </c>
    </row>
    <row r="103">
      <c r="A103" t="inlineStr">
        <is>
          <t>EURCNH</t>
        </is>
      </c>
      <c r="B103" t="inlineStr">
        <is>
          <t>2w</t>
        </is>
      </c>
      <c r="C103">
        <f>IF(ISNUMBER(bbg!I103),bbg!I103,"")</f>
        <v/>
      </c>
      <c r="D103">
        <f>IF(ISNUMBER(bbg!J103),bbg!J103,"")</f>
        <v/>
      </c>
      <c r="E103">
        <f>IF(ISNUMBER(bbg!K103),bbg!K103,"")</f>
        <v/>
      </c>
      <c r="F103">
        <f>IF(ISNUMBER(bbg!L103),bbg!L103,"")</f>
        <v/>
      </c>
      <c r="G103">
        <f>IF(ISNUMBER(bbg!M103),bbg!M103,"")</f>
        <v/>
      </c>
    </row>
    <row r="104">
      <c r="A104" t="inlineStr">
        <is>
          <t>EURCNH</t>
        </is>
      </c>
      <c r="B104" t="inlineStr">
        <is>
          <t>3w</t>
        </is>
      </c>
      <c r="C104">
        <f>IF(ISNUMBER(bbg!I104),bbg!I104,"")</f>
        <v/>
      </c>
      <c r="D104">
        <f>IF(ISNUMBER(bbg!J104),bbg!J104,"")</f>
        <v/>
      </c>
      <c r="E104">
        <f>IF(ISNUMBER(bbg!K104),bbg!K104,"")</f>
        <v/>
      </c>
      <c r="F104">
        <f>IF(ISNUMBER(bbg!L104),bbg!L104,"")</f>
        <v/>
      </c>
      <c r="G104">
        <f>IF(ISNUMBER(bbg!M104),bbg!M104,"")</f>
        <v/>
      </c>
    </row>
    <row r="105">
      <c r="A105" t="inlineStr">
        <is>
          <t>EURCNH</t>
        </is>
      </c>
      <c r="B105" t="inlineStr">
        <is>
          <t>1m</t>
        </is>
      </c>
      <c r="C105">
        <f>IF(ISNUMBER(bbg!I105),bbg!I105,"")</f>
        <v/>
      </c>
      <c r="D105">
        <f>IF(ISNUMBER(bbg!J105),bbg!J105,"")</f>
        <v/>
      </c>
      <c r="E105">
        <f>IF(ISNUMBER(bbg!K105),bbg!K105,"")</f>
        <v/>
      </c>
      <c r="F105">
        <f>IF(ISNUMBER(bbg!L105),bbg!L105,"")</f>
        <v/>
      </c>
      <c r="G105">
        <f>IF(ISNUMBER(bbg!M105),bbg!M105,"")</f>
        <v/>
      </c>
    </row>
    <row r="106">
      <c r="A106" t="inlineStr">
        <is>
          <t>EURCNH</t>
        </is>
      </c>
      <c r="B106" t="inlineStr">
        <is>
          <t>2m</t>
        </is>
      </c>
      <c r="C106">
        <f>IF(ISNUMBER(bbg!I106),bbg!I106,"")</f>
        <v/>
      </c>
      <c r="D106">
        <f>IF(ISNUMBER(bbg!J106),bbg!J106,"")</f>
        <v/>
      </c>
      <c r="E106">
        <f>IF(ISNUMBER(bbg!K106),bbg!K106,"")</f>
        <v/>
      </c>
      <c r="F106">
        <f>IF(ISNUMBER(bbg!L106),bbg!L106,"")</f>
        <v/>
      </c>
      <c r="G106">
        <f>IF(ISNUMBER(bbg!M106),bbg!M106,"")</f>
        <v/>
      </c>
    </row>
    <row r="107">
      <c r="A107" t="inlineStr">
        <is>
          <t>EURCNH</t>
        </is>
      </c>
      <c r="B107" t="inlineStr">
        <is>
          <t>3m</t>
        </is>
      </c>
      <c r="C107">
        <f>IF(ISNUMBER(bbg!I107),bbg!I107,"")</f>
        <v/>
      </c>
      <c r="D107">
        <f>IF(ISNUMBER(bbg!J107),bbg!J107,"")</f>
        <v/>
      </c>
      <c r="E107">
        <f>IF(ISNUMBER(bbg!K107),bbg!K107,"")</f>
        <v/>
      </c>
      <c r="F107">
        <f>IF(ISNUMBER(bbg!L107),bbg!L107,"")</f>
        <v/>
      </c>
      <c r="G107">
        <f>IF(ISNUMBER(bbg!M107),bbg!M107,"")</f>
        <v/>
      </c>
    </row>
    <row r="108">
      <c r="A108" t="inlineStr">
        <is>
          <t>EURCNH</t>
        </is>
      </c>
      <c r="B108" t="inlineStr">
        <is>
          <t>6m</t>
        </is>
      </c>
      <c r="C108">
        <f>IF(ISNUMBER(bbg!I108),bbg!I108,"")</f>
        <v/>
      </c>
      <c r="D108">
        <f>IF(ISNUMBER(bbg!J108),bbg!J108,"")</f>
        <v/>
      </c>
      <c r="E108">
        <f>IF(ISNUMBER(bbg!K108),bbg!K108,"")</f>
        <v/>
      </c>
      <c r="F108">
        <f>IF(ISNUMBER(bbg!L108),bbg!L108,"")</f>
        <v/>
      </c>
      <c r="G108">
        <f>IF(ISNUMBER(bbg!M108),bbg!M108,"")</f>
        <v/>
      </c>
    </row>
    <row r="109">
      <c r="A109" t="inlineStr">
        <is>
          <t>EURCNH</t>
        </is>
      </c>
      <c r="B109" t="inlineStr">
        <is>
          <t>9m</t>
        </is>
      </c>
      <c r="C109">
        <f>IF(ISNUMBER(bbg!I109),bbg!I109,"")</f>
        <v/>
      </c>
      <c r="D109">
        <f>IF(ISNUMBER(bbg!J109),bbg!J109,"")</f>
        <v/>
      </c>
      <c r="E109">
        <f>IF(ISNUMBER(bbg!K109),bbg!K109,"")</f>
        <v/>
      </c>
      <c r="F109">
        <f>IF(ISNUMBER(bbg!L109),bbg!L109,"")</f>
        <v/>
      </c>
      <c r="G109">
        <f>IF(ISNUMBER(bbg!M109),bbg!M109,"")</f>
        <v/>
      </c>
    </row>
    <row r="110">
      <c r="A110" t="inlineStr">
        <is>
          <t>EURCNH</t>
        </is>
      </c>
      <c r="B110" t="inlineStr">
        <is>
          <t>1y</t>
        </is>
      </c>
      <c r="C110">
        <f>IF(ISNUMBER(bbg!I110),bbg!I110,"")</f>
        <v/>
      </c>
      <c r="D110">
        <f>IF(ISNUMBER(bbg!J110),bbg!J110,"")</f>
        <v/>
      </c>
      <c r="E110">
        <f>IF(ISNUMBER(bbg!K110),bbg!K110,"")</f>
        <v/>
      </c>
      <c r="F110">
        <f>IF(ISNUMBER(bbg!L110),bbg!L110,"")</f>
        <v/>
      </c>
      <c r="G110">
        <f>IF(ISNUMBER(bbg!M110),bbg!M110,"")</f>
        <v/>
      </c>
    </row>
    <row r="111">
      <c r="A111" t="inlineStr">
        <is>
          <t>GBPCNH</t>
        </is>
      </c>
      <c r="B111" t="inlineStr">
        <is>
          <t>1w</t>
        </is>
      </c>
      <c r="C111">
        <f>IF(ISNUMBER(bbg!I111),bbg!I111,"")</f>
        <v/>
      </c>
      <c r="D111">
        <f>IF(ISNUMBER(bbg!J111),bbg!J111,"")</f>
        <v/>
      </c>
      <c r="E111">
        <f>IF(ISNUMBER(bbg!K111),bbg!K111,"")</f>
        <v/>
      </c>
      <c r="F111">
        <f>IF(ISNUMBER(bbg!L111),bbg!L111,"")</f>
        <v/>
      </c>
      <c r="G111">
        <f>IF(ISNUMBER(bbg!M111),bbg!M111,"")</f>
        <v/>
      </c>
    </row>
    <row r="112">
      <c r="A112" t="inlineStr">
        <is>
          <t>GBPCNH</t>
        </is>
      </c>
      <c r="B112" t="inlineStr">
        <is>
          <t>2w</t>
        </is>
      </c>
      <c r="C112">
        <f>IF(ISNUMBER(bbg!I112),bbg!I112,"")</f>
        <v/>
      </c>
      <c r="D112">
        <f>IF(ISNUMBER(bbg!J112),bbg!J112,"")</f>
        <v/>
      </c>
      <c r="E112">
        <f>IF(ISNUMBER(bbg!K112),bbg!K112,"")</f>
        <v/>
      </c>
      <c r="F112">
        <f>IF(ISNUMBER(bbg!L112),bbg!L112,"")</f>
        <v/>
      </c>
      <c r="G112">
        <f>IF(ISNUMBER(bbg!M112),bbg!M112,"")</f>
        <v/>
      </c>
    </row>
    <row r="113">
      <c r="A113" t="inlineStr">
        <is>
          <t>GBPCNH</t>
        </is>
      </c>
      <c r="B113" t="inlineStr">
        <is>
          <t>3w</t>
        </is>
      </c>
      <c r="C113">
        <f>IF(ISNUMBER(bbg!I113),bbg!I113,"")</f>
        <v/>
      </c>
      <c r="D113">
        <f>IF(ISNUMBER(bbg!J113),bbg!J113,"")</f>
        <v/>
      </c>
      <c r="E113">
        <f>IF(ISNUMBER(bbg!K113),bbg!K113,"")</f>
        <v/>
      </c>
      <c r="F113">
        <f>IF(ISNUMBER(bbg!L113),bbg!L113,"")</f>
        <v/>
      </c>
      <c r="G113">
        <f>IF(ISNUMBER(bbg!M113),bbg!M113,"")</f>
        <v/>
      </c>
    </row>
    <row r="114">
      <c r="A114" t="inlineStr">
        <is>
          <t>GBPCNH</t>
        </is>
      </c>
      <c r="B114" t="inlineStr">
        <is>
          <t>1m</t>
        </is>
      </c>
      <c r="C114">
        <f>IF(ISNUMBER(bbg!I114),bbg!I114,"")</f>
        <v/>
      </c>
      <c r="D114">
        <f>IF(ISNUMBER(bbg!J114),bbg!J114,"")</f>
        <v/>
      </c>
      <c r="E114">
        <f>IF(ISNUMBER(bbg!K114),bbg!K114,"")</f>
        <v/>
      </c>
      <c r="F114">
        <f>IF(ISNUMBER(bbg!L114),bbg!L114,"")</f>
        <v/>
      </c>
      <c r="G114">
        <f>IF(ISNUMBER(bbg!M114),bbg!M114,"")</f>
        <v/>
      </c>
    </row>
    <row r="115">
      <c r="A115" t="inlineStr">
        <is>
          <t>GBPCNH</t>
        </is>
      </c>
      <c r="B115" t="inlineStr">
        <is>
          <t>2m</t>
        </is>
      </c>
      <c r="C115">
        <f>IF(ISNUMBER(bbg!I115),bbg!I115,"")</f>
        <v/>
      </c>
      <c r="D115">
        <f>IF(ISNUMBER(bbg!J115),bbg!J115,"")</f>
        <v/>
      </c>
      <c r="E115">
        <f>IF(ISNUMBER(bbg!K115),bbg!K115,"")</f>
        <v/>
      </c>
      <c r="F115">
        <f>IF(ISNUMBER(bbg!L115),bbg!L115,"")</f>
        <v/>
      </c>
      <c r="G115">
        <f>IF(ISNUMBER(bbg!M115),bbg!M115,"")</f>
        <v/>
      </c>
    </row>
    <row r="116">
      <c r="A116" t="inlineStr">
        <is>
          <t>GBPCNH</t>
        </is>
      </c>
      <c r="B116" t="inlineStr">
        <is>
          <t>3m</t>
        </is>
      </c>
      <c r="C116">
        <f>IF(ISNUMBER(bbg!I116),bbg!I116,"")</f>
        <v/>
      </c>
      <c r="D116">
        <f>IF(ISNUMBER(bbg!J116),bbg!J116,"")</f>
        <v/>
      </c>
      <c r="E116">
        <f>IF(ISNUMBER(bbg!K116),bbg!K116,"")</f>
        <v/>
      </c>
      <c r="F116">
        <f>IF(ISNUMBER(bbg!L116),bbg!L116,"")</f>
        <v/>
      </c>
      <c r="G116">
        <f>IF(ISNUMBER(bbg!M116),bbg!M116,"")</f>
        <v/>
      </c>
    </row>
    <row r="117">
      <c r="A117" t="inlineStr">
        <is>
          <t>GBPCNH</t>
        </is>
      </c>
      <c r="B117" t="inlineStr">
        <is>
          <t>6m</t>
        </is>
      </c>
      <c r="C117">
        <f>IF(ISNUMBER(bbg!I117),bbg!I117,"")</f>
        <v/>
      </c>
      <c r="D117">
        <f>IF(ISNUMBER(bbg!J117),bbg!J117,"")</f>
        <v/>
      </c>
      <c r="E117">
        <f>IF(ISNUMBER(bbg!K117),bbg!K117,"")</f>
        <v/>
      </c>
      <c r="F117">
        <f>IF(ISNUMBER(bbg!L117),bbg!L117,"")</f>
        <v/>
      </c>
      <c r="G117">
        <f>IF(ISNUMBER(bbg!M117),bbg!M117,"")</f>
        <v/>
      </c>
    </row>
    <row r="118">
      <c r="A118" t="inlineStr">
        <is>
          <t>GBPCNH</t>
        </is>
      </c>
      <c r="B118" t="inlineStr">
        <is>
          <t>9m</t>
        </is>
      </c>
      <c r="C118">
        <f>IF(ISNUMBER(bbg!I118),bbg!I118,"")</f>
        <v/>
      </c>
      <c r="D118">
        <f>IF(ISNUMBER(bbg!J118),bbg!J118,"")</f>
        <v/>
      </c>
      <c r="E118">
        <f>IF(ISNUMBER(bbg!K118),bbg!K118,"")</f>
        <v/>
      </c>
      <c r="F118">
        <f>IF(ISNUMBER(bbg!L118),bbg!L118,"")</f>
        <v/>
      </c>
      <c r="G118">
        <f>IF(ISNUMBER(bbg!M118),bbg!M118,"")</f>
        <v/>
      </c>
    </row>
    <row r="119">
      <c r="A119" t="inlineStr">
        <is>
          <t>GBPCNH</t>
        </is>
      </c>
      <c r="B119" t="inlineStr">
        <is>
          <t>1y</t>
        </is>
      </c>
      <c r="C119">
        <f>IF(ISNUMBER(bbg!I119),bbg!I119,"")</f>
        <v/>
      </c>
      <c r="D119">
        <f>IF(ISNUMBER(bbg!J119),bbg!J119,"")</f>
        <v/>
      </c>
      <c r="E119">
        <f>IF(ISNUMBER(bbg!K119),bbg!K119,"")</f>
        <v/>
      </c>
      <c r="F119">
        <f>IF(ISNUMBER(bbg!L119),bbg!L119,"")</f>
        <v/>
      </c>
      <c r="G119">
        <f>IF(ISNUMBER(bbg!M119),bbg!M119,"")</f>
        <v/>
      </c>
    </row>
    <row r="120">
      <c r="A120" t="inlineStr">
        <is>
          <t>USDHKD</t>
        </is>
      </c>
      <c r="B120" t="inlineStr">
        <is>
          <t>1w</t>
        </is>
      </c>
      <c r="C120">
        <f>IF(ISNUMBER(bbg!I120),bbg!I120,"")</f>
        <v/>
      </c>
      <c r="D120">
        <f>IF(ISNUMBER(bbg!J120),bbg!J120,"")</f>
        <v/>
      </c>
      <c r="E120">
        <f>IF(ISNUMBER(bbg!K120),bbg!K120,"")</f>
        <v/>
      </c>
      <c r="F120">
        <f>IF(ISNUMBER(bbg!L120),bbg!L120,"")</f>
        <v/>
      </c>
      <c r="G120">
        <f>IF(ISNUMBER(bbg!M120),bbg!M120,"")</f>
        <v/>
      </c>
    </row>
    <row r="121">
      <c r="A121" t="inlineStr">
        <is>
          <t>USDHKD</t>
        </is>
      </c>
      <c r="B121" t="inlineStr">
        <is>
          <t>2w</t>
        </is>
      </c>
      <c r="C121">
        <f>IF(ISNUMBER(bbg!I121),bbg!I121,"")</f>
        <v/>
      </c>
      <c r="D121">
        <f>IF(ISNUMBER(bbg!J121),bbg!J121,"")</f>
        <v/>
      </c>
      <c r="E121">
        <f>IF(ISNUMBER(bbg!K121),bbg!K121,"")</f>
        <v/>
      </c>
      <c r="F121">
        <f>IF(ISNUMBER(bbg!L121),bbg!L121,"")</f>
        <v/>
      </c>
      <c r="G121">
        <f>IF(ISNUMBER(bbg!M121),bbg!M121,"")</f>
        <v/>
      </c>
    </row>
    <row r="122">
      <c r="A122" t="inlineStr">
        <is>
          <t>USDHKD</t>
        </is>
      </c>
      <c r="B122" t="inlineStr">
        <is>
          <t>3w</t>
        </is>
      </c>
      <c r="C122">
        <f>IF(ISNUMBER(bbg!I122),bbg!I122,"")</f>
        <v/>
      </c>
      <c r="D122">
        <f>IF(ISNUMBER(bbg!J122),bbg!J122,"")</f>
        <v/>
      </c>
      <c r="E122">
        <f>IF(ISNUMBER(bbg!K122),bbg!K122,"")</f>
        <v/>
      </c>
      <c r="F122">
        <f>IF(ISNUMBER(bbg!L122),bbg!L122,"")</f>
        <v/>
      </c>
      <c r="G122">
        <f>IF(ISNUMBER(bbg!M122),bbg!M122,"")</f>
        <v/>
      </c>
    </row>
    <row r="123">
      <c r="A123" t="inlineStr">
        <is>
          <t>USDHKD</t>
        </is>
      </c>
      <c r="B123" t="inlineStr">
        <is>
          <t>1m</t>
        </is>
      </c>
      <c r="C123">
        <f>IF(ISNUMBER(bbg!I123),bbg!I123,"")</f>
        <v/>
      </c>
      <c r="D123">
        <f>IF(ISNUMBER(bbg!J123),bbg!J123,"")</f>
        <v/>
      </c>
      <c r="E123">
        <f>IF(ISNUMBER(bbg!K123),bbg!K123,"")</f>
        <v/>
      </c>
      <c r="F123">
        <f>IF(ISNUMBER(bbg!L123),bbg!L123,"")</f>
        <v/>
      </c>
      <c r="G123">
        <f>IF(ISNUMBER(bbg!M123),bbg!M123,"")</f>
        <v/>
      </c>
    </row>
    <row r="124">
      <c r="A124" t="inlineStr">
        <is>
          <t>USDHKD</t>
        </is>
      </c>
      <c r="B124" t="inlineStr">
        <is>
          <t>2m</t>
        </is>
      </c>
      <c r="C124">
        <f>IF(ISNUMBER(bbg!I124),bbg!I124,"")</f>
        <v/>
      </c>
      <c r="D124">
        <f>IF(ISNUMBER(bbg!J124),bbg!J124,"")</f>
        <v/>
      </c>
      <c r="E124">
        <f>IF(ISNUMBER(bbg!K124),bbg!K124,"")</f>
        <v/>
      </c>
      <c r="F124">
        <f>IF(ISNUMBER(bbg!L124),bbg!L124,"")</f>
        <v/>
      </c>
      <c r="G124">
        <f>IF(ISNUMBER(bbg!M124),bbg!M124,"")</f>
        <v/>
      </c>
    </row>
    <row r="125">
      <c r="A125" t="inlineStr">
        <is>
          <t>USDHKD</t>
        </is>
      </c>
      <c r="B125" t="inlineStr">
        <is>
          <t>3m</t>
        </is>
      </c>
      <c r="C125">
        <f>IF(ISNUMBER(bbg!I125),bbg!I125,"")</f>
        <v/>
      </c>
      <c r="D125">
        <f>IF(ISNUMBER(bbg!J125),bbg!J125,"")</f>
        <v/>
      </c>
      <c r="E125">
        <f>IF(ISNUMBER(bbg!K125),bbg!K125,"")</f>
        <v/>
      </c>
      <c r="F125">
        <f>IF(ISNUMBER(bbg!L125),bbg!L125,"")</f>
        <v/>
      </c>
      <c r="G125">
        <f>IF(ISNUMBER(bbg!M125),bbg!M125,"")</f>
        <v/>
      </c>
    </row>
    <row r="126">
      <c r="A126" t="inlineStr">
        <is>
          <t>USDHKD</t>
        </is>
      </c>
      <c r="B126" t="inlineStr">
        <is>
          <t>6m</t>
        </is>
      </c>
      <c r="C126">
        <f>IF(ISNUMBER(bbg!I126),bbg!I126,"")</f>
        <v/>
      </c>
      <c r="D126">
        <f>IF(ISNUMBER(bbg!J126),bbg!J126,"")</f>
        <v/>
      </c>
      <c r="E126">
        <f>IF(ISNUMBER(bbg!K126),bbg!K126,"")</f>
        <v/>
      </c>
      <c r="F126">
        <f>IF(ISNUMBER(bbg!L126),bbg!L126,"")</f>
        <v/>
      </c>
      <c r="G126">
        <f>IF(ISNUMBER(bbg!M126),bbg!M126,"")</f>
        <v/>
      </c>
    </row>
    <row r="127">
      <c r="A127" t="inlineStr">
        <is>
          <t>USDHKD</t>
        </is>
      </c>
      <c r="B127" t="inlineStr">
        <is>
          <t>9m</t>
        </is>
      </c>
      <c r="C127">
        <f>IF(ISNUMBER(bbg!I127),bbg!I127,"")</f>
        <v/>
      </c>
      <c r="D127">
        <f>IF(ISNUMBER(bbg!J127),bbg!J127,"")</f>
        <v/>
      </c>
      <c r="E127">
        <f>IF(ISNUMBER(bbg!K127),bbg!K127,"")</f>
        <v/>
      </c>
      <c r="F127">
        <f>IF(ISNUMBER(bbg!L127),bbg!L127,"")</f>
        <v/>
      </c>
      <c r="G127">
        <f>IF(ISNUMBER(bbg!M127),bbg!M127,"")</f>
        <v/>
      </c>
    </row>
    <row r="128">
      <c r="A128" t="inlineStr">
        <is>
          <t>USDHKD</t>
        </is>
      </c>
      <c r="B128" t="inlineStr">
        <is>
          <t>1y</t>
        </is>
      </c>
      <c r="C128">
        <f>IF(ISNUMBER(bbg!I128),bbg!I128,"")</f>
        <v/>
      </c>
      <c r="D128">
        <f>IF(ISNUMBER(bbg!J128),bbg!J128,"")</f>
        <v/>
      </c>
      <c r="E128">
        <f>IF(ISNUMBER(bbg!K128),bbg!K128,"")</f>
        <v/>
      </c>
      <c r="F128">
        <f>IF(ISNUMBER(bbg!L128),bbg!L128,"")</f>
        <v/>
      </c>
      <c r="G128">
        <f>IF(ISNUMBER(bbg!M128),bbg!M128,"")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9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# the pulls behind the overlay sheet; the macro keeps these rows in step with it</t>
        </is>
      </c>
    </row>
    <row r="2">
      <c r="A2" s="2" t="inlineStr">
        <is>
          <t>pair</t>
        </is>
      </c>
      <c r="B2" s="2" t="inlineStr">
        <is>
          <t>tenor</t>
        </is>
      </c>
      <c r="C2" s="2" t="inlineStr">
        <is>
          <t>bbg tenor</t>
        </is>
      </c>
      <c r="D2" s="2" t="inlineStr">
        <is>
          <t>atm ticker</t>
        </is>
      </c>
      <c r="E2" s="2" t="inlineStr">
        <is>
          <t>rr25 ticker</t>
        </is>
      </c>
      <c r="F2" s="2" t="inlineStr">
        <is>
          <t>rr10 ticker</t>
        </is>
      </c>
      <c r="G2" s="2" t="inlineStr">
        <is>
          <t>bf25 ticker</t>
        </is>
      </c>
      <c r="H2" s="2" t="inlineStr">
        <is>
          <t>bf10 ticker</t>
        </is>
      </c>
      <c r="I2" s="2" t="inlineStr">
        <is>
          <t>atm PX_LAST</t>
        </is>
      </c>
      <c r="J2" s="2" t="inlineStr">
        <is>
          <t>rr25 PX_LAST</t>
        </is>
      </c>
      <c r="K2" s="2" t="inlineStr">
        <is>
          <t>rr10 PX_LAST</t>
        </is>
      </c>
      <c r="L2" s="2" t="inlineStr">
        <is>
          <t>bf25 PX_LAST</t>
        </is>
      </c>
      <c r="M2" s="2" t="inlineStr">
        <is>
          <t>bf10 PX_LAST</t>
        </is>
      </c>
    </row>
    <row r="3">
      <c r="A3">
        <f>IF(overlay!$A3="","",overlay!$A3)</f>
        <v/>
      </c>
      <c r="B3">
        <f>IF(overlay!$B3="","",overlay!$B3)</f>
        <v/>
      </c>
      <c r="C3">
        <f>IF($B3="","",IFERROR(VLOOKUP(UPPER(TRIM($B3)),settings!$D$3:$E$60,2,FALSE),UPPER(TRIM($B3))))</f>
        <v/>
      </c>
      <c r="D3">
        <f>IF($A3="","",$A3&amp;"V"&amp;$C3&amp;settings!$B$5&amp;" Curncy")</f>
        <v/>
      </c>
      <c r="E3">
        <f>IF($A3="","",$A3&amp;"25R"&amp;$C3&amp;settings!$B$5&amp;" Curncy")</f>
        <v/>
      </c>
      <c r="F3">
        <f>IF($A3="","",$A3&amp;"10R"&amp;$C3&amp;settings!$B$5&amp;" Curncy")</f>
        <v/>
      </c>
      <c r="G3">
        <f>IF($A3="","",$A3&amp;"25B"&amp;$C3&amp;settings!$B$5&amp;" Curncy")</f>
        <v/>
      </c>
      <c r="H3">
        <f>IF($A3="","",$A3&amp;"10B"&amp;$C3&amp;settings!$B$5&amp;" Curncy")</f>
        <v/>
      </c>
      <c r="I3">
        <f>IF(D3="","",BDP(D3,settings!$B$4))</f>
        <v/>
      </c>
      <c r="J3">
        <f>IF(E3="","",BDP(E3,settings!$B$4))</f>
        <v/>
      </c>
      <c r="K3">
        <f>IF(F3="","",BDP(F3,settings!$B$4))</f>
        <v/>
      </c>
      <c r="L3">
        <f>IF(G3="","",BDP(G3,settings!$B$4))</f>
        <v/>
      </c>
      <c r="M3">
        <f>IF(H3="","",BDP(H3,settings!$B$4))</f>
        <v/>
      </c>
    </row>
    <row r="4">
      <c r="A4">
        <f>IF(overlay!$A4="","",overlay!$A4)</f>
        <v/>
      </c>
      <c r="B4">
        <f>IF(overlay!$B4="","",overlay!$B4)</f>
        <v/>
      </c>
      <c r="C4">
        <f>IF($B4="","",IFERROR(VLOOKUP(UPPER(TRIM($B4)),settings!$D$3:$E$60,2,FALSE),UPPER(TRIM($B4))))</f>
        <v/>
      </c>
      <c r="D4">
        <f>IF($A4="","",$A4&amp;"V"&amp;$C4&amp;settings!$B$5&amp;" Curncy")</f>
        <v/>
      </c>
      <c r="E4">
        <f>IF($A4="","",$A4&amp;"25R"&amp;$C4&amp;settings!$B$5&amp;" Curncy")</f>
        <v/>
      </c>
      <c r="F4">
        <f>IF($A4="","",$A4&amp;"10R"&amp;$C4&amp;settings!$B$5&amp;" Curncy")</f>
        <v/>
      </c>
      <c r="G4">
        <f>IF($A4="","",$A4&amp;"25B"&amp;$C4&amp;settings!$B$5&amp;" Curncy")</f>
        <v/>
      </c>
      <c r="H4">
        <f>IF($A4="","",$A4&amp;"10B"&amp;$C4&amp;settings!$B$5&amp;" Curncy")</f>
        <v/>
      </c>
      <c r="I4">
        <f>IF(D4="","",BDP(D4,settings!$B$4))</f>
        <v/>
      </c>
      <c r="J4">
        <f>IF(E4="","",BDP(E4,settings!$B$4))</f>
        <v/>
      </c>
      <c r="K4">
        <f>IF(F4="","",BDP(F4,settings!$B$4))</f>
        <v/>
      </c>
      <c r="L4">
        <f>IF(G4="","",BDP(G4,settings!$B$4))</f>
        <v/>
      </c>
      <c r="M4">
        <f>IF(H4="","",BDP(H4,settings!$B$4))</f>
        <v/>
      </c>
    </row>
    <row r="5">
      <c r="A5">
        <f>IF(overlay!$A5="","",overlay!$A5)</f>
        <v/>
      </c>
      <c r="B5">
        <f>IF(overlay!$B5="","",overlay!$B5)</f>
        <v/>
      </c>
      <c r="C5">
        <f>IF($B5="","",IFERROR(VLOOKUP(UPPER(TRIM($B5)),settings!$D$3:$E$60,2,FALSE),UPPER(TRIM($B5))))</f>
        <v/>
      </c>
      <c r="D5">
        <f>IF($A5="","",$A5&amp;"V"&amp;$C5&amp;settings!$B$5&amp;" Curncy")</f>
        <v/>
      </c>
      <c r="E5">
        <f>IF($A5="","",$A5&amp;"25R"&amp;$C5&amp;settings!$B$5&amp;" Curncy")</f>
        <v/>
      </c>
      <c r="F5">
        <f>IF($A5="","",$A5&amp;"10R"&amp;$C5&amp;settings!$B$5&amp;" Curncy")</f>
        <v/>
      </c>
      <c r="G5">
        <f>IF($A5="","",$A5&amp;"25B"&amp;$C5&amp;settings!$B$5&amp;" Curncy")</f>
        <v/>
      </c>
      <c r="H5">
        <f>IF($A5="","",$A5&amp;"10B"&amp;$C5&amp;settings!$B$5&amp;" Curncy")</f>
        <v/>
      </c>
      <c r="I5">
        <f>IF(D5="","",BDP(D5,settings!$B$4))</f>
        <v/>
      </c>
      <c r="J5">
        <f>IF(E5="","",BDP(E5,settings!$B$4))</f>
        <v/>
      </c>
      <c r="K5">
        <f>IF(F5="","",BDP(F5,settings!$B$4))</f>
        <v/>
      </c>
      <c r="L5">
        <f>IF(G5="","",BDP(G5,settings!$B$4))</f>
        <v/>
      </c>
      <c r="M5">
        <f>IF(H5="","",BDP(H5,settings!$B$4))</f>
        <v/>
      </c>
    </row>
    <row r="6">
      <c r="A6">
        <f>IF(overlay!$A6="","",overlay!$A6)</f>
        <v/>
      </c>
      <c r="B6">
        <f>IF(overlay!$B6="","",overlay!$B6)</f>
        <v/>
      </c>
      <c r="C6">
        <f>IF($B6="","",IFERROR(VLOOKUP(UPPER(TRIM($B6)),settings!$D$3:$E$60,2,FALSE),UPPER(TRIM($B6))))</f>
        <v/>
      </c>
      <c r="D6">
        <f>IF($A6="","",$A6&amp;"V"&amp;$C6&amp;settings!$B$5&amp;" Curncy")</f>
        <v/>
      </c>
      <c r="E6">
        <f>IF($A6="","",$A6&amp;"25R"&amp;$C6&amp;settings!$B$5&amp;" Curncy")</f>
        <v/>
      </c>
      <c r="F6">
        <f>IF($A6="","",$A6&amp;"10R"&amp;$C6&amp;settings!$B$5&amp;" Curncy")</f>
        <v/>
      </c>
      <c r="G6">
        <f>IF($A6="","",$A6&amp;"25B"&amp;$C6&amp;settings!$B$5&amp;" Curncy")</f>
        <v/>
      </c>
      <c r="H6">
        <f>IF($A6="","",$A6&amp;"10B"&amp;$C6&amp;settings!$B$5&amp;" Curncy")</f>
        <v/>
      </c>
      <c r="I6">
        <f>IF(D6="","",BDP(D6,settings!$B$4))</f>
        <v/>
      </c>
      <c r="J6">
        <f>IF(E6="","",BDP(E6,settings!$B$4))</f>
        <v/>
      </c>
      <c r="K6">
        <f>IF(F6="","",BDP(F6,settings!$B$4))</f>
        <v/>
      </c>
      <c r="L6">
        <f>IF(G6="","",BDP(G6,settings!$B$4))</f>
        <v/>
      </c>
      <c r="M6">
        <f>IF(H6="","",BDP(H6,settings!$B$4))</f>
        <v/>
      </c>
    </row>
    <row r="7">
      <c r="A7">
        <f>IF(overlay!$A7="","",overlay!$A7)</f>
        <v/>
      </c>
      <c r="B7">
        <f>IF(overlay!$B7="","",overlay!$B7)</f>
        <v/>
      </c>
      <c r="C7">
        <f>IF($B7="","",IFERROR(VLOOKUP(UPPER(TRIM($B7)),settings!$D$3:$E$60,2,FALSE),UPPER(TRIM($B7))))</f>
        <v/>
      </c>
      <c r="D7">
        <f>IF($A7="","",$A7&amp;"V"&amp;$C7&amp;settings!$B$5&amp;" Curncy")</f>
        <v/>
      </c>
      <c r="E7">
        <f>IF($A7="","",$A7&amp;"25R"&amp;$C7&amp;settings!$B$5&amp;" Curncy")</f>
        <v/>
      </c>
      <c r="F7">
        <f>IF($A7="","",$A7&amp;"10R"&amp;$C7&amp;settings!$B$5&amp;" Curncy")</f>
        <v/>
      </c>
      <c r="G7">
        <f>IF($A7="","",$A7&amp;"25B"&amp;$C7&amp;settings!$B$5&amp;" Curncy")</f>
        <v/>
      </c>
      <c r="H7">
        <f>IF($A7="","",$A7&amp;"10B"&amp;$C7&amp;settings!$B$5&amp;" Curncy")</f>
        <v/>
      </c>
      <c r="I7">
        <f>IF(D7="","",BDP(D7,settings!$B$4))</f>
        <v/>
      </c>
      <c r="J7">
        <f>IF(E7="","",BDP(E7,settings!$B$4))</f>
        <v/>
      </c>
      <c r="K7">
        <f>IF(F7="","",BDP(F7,settings!$B$4))</f>
        <v/>
      </c>
      <c r="L7">
        <f>IF(G7="","",BDP(G7,settings!$B$4))</f>
        <v/>
      </c>
      <c r="M7">
        <f>IF(H7="","",BDP(H7,settings!$B$4))</f>
        <v/>
      </c>
    </row>
    <row r="8">
      <c r="A8">
        <f>IF(overlay!$A8="","",overlay!$A8)</f>
        <v/>
      </c>
      <c r="B8">
        <f>IF(overlay!$B8="","",overlay!$B8)</f>
        <v/>
      </c>
      <c r="C8">
        <f>IF($B8="","",IFERROR(VLOOKUP(UPPER(TRIM($B8)),settings!$D$3:$E$60,2,FALSE),UPPER(TRIM($B8))))</f>
        <v/>
      </c>
      <c r="D8">
        <f>IF($A8="","",$A8&amp;"V"&amp;$C8&amp;settings!$B$5&amp;" Curncy")</f>
        <v/>
      </c>
      <c r="E8">
        <f>IF($A8="","",$A8&amp;"25R"&amp;$C8&amp;settings!$B$5&amp;" Curncy")</f>
        <v/>
      </c>
      <c r="F8">
        <f>IF($A8="","",$A8&amp;"10R"&amp;$C8&amp;settings!$B$5&amp;" Curncy")</f>
        <v/>
      </c>
      <c r="G8">
        <f>IF($A8="","",$A8&amp;"25B"&amp;$C8&amp;settings!$B$5&amp;" Curncy")</f>
        <v/>
      </c>
      <c r="H8">
        <f>IF($A8="","",$A8&amp;"10B"&amp;$C8&amp;settings!$B$5&amp;" Curncy")</f>
        <v/>
      </c>
      <c r="I8">
        <f>IF(D8="","",BDP(D8,settings!$B$4))</f>
        <v/>
      </c>
      <c r="J8">
        <f>IF(E8="","",BDP(E8,settings!$B$4))</f>
        <v/>
      </c>
      <c r="K8">
        <f>IF(F8="","",BDP(F8,settings!$B$4))</f>
        <v/>
      </c>
      <c r="L8">
        <f>IF(G8="","",BDP(G8,settings!$B$4))</f>
        <v/>
      </c>
      <c r="M8">
        <f>IF(H8="","",BDP(H8,settings!$B$4))</f>
        <v/>
      </c>
    </row>
    <row r="9">
      <c r="A9">
        <f>IF(overlay!$A9="","",overlay!$A9)</f>
        <v/>
      </c>
      <c r="B9">
        <f>IF(overlay!$B9="","",overlay!$B9)</f>
        <v/>
      </c>
      <c r="C9">
        <f>IF($B9="","",IFERROR(VLOOKUP(UPPER(TRIM($B9)),settings!$D$3:$E$60,2,FALSE),UPPER(TRIM($B9))))</f>
        <v/>
      </c>
      <c r="D9">
        <f>IF($A9="","",$A9&amp;"V"&amp;$C9&amp;settings!$B$5&amp;" Curncy")</f>
        <v/>
      </c>
      <c r="E9">
        <f>IF($A9="","",$A9&amp;"25R"&amp;$C9&amp;settings!$B$5&amp;" Curncy")</f>
        <v/>
      </c>
      <c r="F9">
        <f>IF($A9="","",$A9&amp;"10R"&amp;$C9&amp;settings!$B$5&amp;" Curncy")</f>
        <v/>
      </c>
      <c r="G9">
        <f>IF($A9="","",$A9&amp;"25B"&amp;$C9&amp;settings!$B$5&amp;" Curncy")</f>
        <v/>
      </c>
      <c r="H9">
        <f>IF($A9="","",$A9&amp;"10B"&amp;$C9&amp;settings!$B$5&amp;" Curncy")</f>
        <v/>
      </c>
      <c r="I9">
        <f>IF(D9="","",BDP(D9,settings!$B$4))</f>
        <v/>
      </c>
      <c r="J9">
        <f>IF(E9="","",BDP(E9,settings!$B$4))</f>
        <v/>
      </c>
      <c r="K9">
        <f>IF(F9="","",BDP(F9,settings!$B$4))</f>
        <v/>
      </c>
      <c r="L9">
        <f>IF(G9="","",BDP(G9,settings!$B$4))</f>
        <v/>
      </c>
      <c r="M9">
        <f>IF(H9="","",BDP(H9,settings!$B$4))</f>
        <v/>
      </c>
    </row>
    <row r="10">
      <c r="A10">
        <f>IF(overlay!$A10="","",overlay!$A10)</f>
        <v/>
      </c>
      <c r="B10">
        <f>IF(overlay!$B10="","",overlay!$B10)</f>
        <v/>
      </c>
      <c r="C10">
        <f>IF($B10="","",IFERROR(VLOOKUP(UPPER(TRIM($B10)),settings!$D$3:$E$60,2,FALSE),UPPER(TRIM($B10))))</f>
        <v/>
      </c>
      <c r="D10">
        <f>IF($A10="","",$A10&amp;"V"&amp;$C10&amp;settings!$B$5&amp;" Curncy")</f>
        <v/>
      </c>
      <c r="E10">
        <f>IF($A10="","",$A10&amp;"25R"&amp;$C10&amp;settings!$B$5&amp;" Curncy")</f>
        <v/>
      </c>
      <c r="F10">
        <f>IF($A10="","",$A10&amp;"10R"&amp;$C10&amp;settings!$B$5&amp;" Curncy")</f>
        <v/>
      </c>
      <c r="G10">
        <f>IF($A10="","",$A10&amp;"25B"&amp;$C10&amp;settings!$B$5&amp;" Curncy")</f>
        <v/>
      </c>
      <c r="H10">
        <f>IF($A10="","",$A10&amp;"10B"&amp;$C10&amp;settings!$B$5&amp;" Curncy")</f>
        <v/>
      </c>
      <c r="I10">
        <f>IF(D10="","",BDP(D10,settings!$B$4))</f>
        <v/>
      </c>
      <c r="J10">
        <f>IF(E10="","",BDP(E10,settings!$B$4))</f>
        <v/>
      </c>
      <c r="K10">
        <f>IF(F10="","",BDP(F10,settings!$B$4))</f>
        <v/>
      </c>
      <c r="L10">
        <f>IF(G10="","",BDP(G10,settings!$B$4))</f>
        <v/>
      </c>
      <c r="M10">
        <f>IF(H10="","",BDP(H10,settings!$B$4))</f>
        <v/>
      </c>
    </row>
    <row r="11">
      <c r="A11">
        <f>IF(overlay!$A11="","",overlay!$A11)</f>
        <v/>
      </c>
      <c r="B11">
        <f>IF(overlay!$B11="","",overlay!$B11)</f>
        <v/>
      </c>
      <c r="C11">
        <f>IF($B11="","",IFERROR(VLOOKUP(UPPER(TRIM($B11)),settings!$D$3:$E$60,2,FALSE),UPPER(TRIM($B11))))</f>
        <v/>
      </c>
      <c r="D11">
        <f>IF($A11="","",$A11&amp;"V"&amp;$C11&amp;settings!$B$5&amp;" Curncy")</f>
        <v/>
      </c>
      <c r="E11">
        <f>IF($A11="","",$A11&amp;"25R"&amp;$C11&amp;settings!$B$5&amp;" Curncy")</f>
        <v/>
      </c>
      <c r="F11">
        <f>IF($A11="","",$A11&amp;"10R"&amp;$C11&amp;settings!$B$5&amp;" Curncy")</f>
        <v/>
      </c>
      <c r="G11">
        <f>IF($A11="","",$A11&amp;"25B"&amp;$C11&amp;settings!$B$5&amp;" Curncy")</f>
        <v/>
      </c>
      <c r="H11">
        <f>IF($A11="","",$A11&amp;"10B"&amp;$C11&amp;settings!$B$5&amp;" Curncy")</f>
        <v/>
      </c>
      <c r="I11">
        <f>IF(D11="","",BDP(D11,settings!$B$4))</f>
        <v/>
      </c>
      <c r="J11">
        <f>IF(E11="","",BDP(E11,settings!$B$4))</f>
        <v/>
      </c>
      <c r="K11">
        <f>IF(F11="","",BDP(F11,settings!$B$4))</f>
        <v/>
      </c>
      <c r="L11">
        <f>IF(G11="","",BDP(G11,settings!$B$4))</f>
        <v/>
      </c>
      <c r="M11">
        <f>IF(H11="","",BDP(H11,settings!$B$4))</f>
        <v/>
      </c>
    </row>
    <row r="12">
      <c r="A12">
        <f>IF(overlay!$A12="","",overlay!$A12)</f>
        <v/>
      </c>
      <c r="B12">
        <f>IF(overlay!$B12="","",overlay!$B12)</f>
        <v/>
      </c>
      <c r="C12">
        <f>IF($B12="","",IFERROR(VLOOKUP(UPPER(TRIM($B12)),settings!$D$3:$E$60,2,FALSE),UPPER(TRIM($B12))))</f>
        <v/>
      </c>
      <c r="D12">
        <f>IF($A12="","",$A12&amp;"V"&amp;$C12&amp;settings!$B$5&amp;" Curncy")</f>
        <v/>
      </c>
      <c r="E12">
        <f>IF($A12="","",$A12&amp;"25R"&amp;$C12&amp;settings!$B$5&amp;" Curncy")</f>
        <v/>
      </c>
      <c r="F12">
        <f>IF($A12="","",$A12&amp;"10R"&amp;$C12&amp;settings!$B$5&amp;" Curncy")</f>
        <v/>
      </c>
      <c r="G12">
        <f>IF($A12="","",$A12&amp;"25B"&amp;$C12&amp;settings!$B$5&amp;" Curncy")</f>
        <v/>
      </c>
      <c r="H12">
        <f>IF($A12="","",$A12&amp;"10B"&amp;$C12&amp;settings!$B$5&amp;" Curncy")</f>
        <v/>
      </c>
      <c r="I12">
        <f>IF(D12="","",BDP(D12,settings!$B$4))</f>
        <v/>
      </c>
      <c r="J12">
        <f>IF(E12="","",BDP(E12,settings!$B$4))</f>
        <v/>
      </c>
      <c r="K12">
        <f>IF(F12="","",BDP(F12,settings!$B$4))</f>
        <v/>
      </c>
      <c r="L12">
        <f>IF(G12="","",BDP(G12,settings!$B$4))</f>
        <v/>
      </c>
      <c r="M12">
        <f>IF(H12="","",BDP(H12,settings!$B$4))</f>
        <v/>
      </c>
    </row>
    <row r="13">
      <c r="A13">
        <f>IF(overlay!$A13="","",overlay!$A13)</f>
        <v/>
      </c>
      <c r="B13">
        <f>IF(overlay!$B13="","",overlay!$B13)</f>
        <v/>
      </c>
      <c r="C13">
        <f>IF($B13="","",IFERROR(VLOOKUP(UPPER(TRIM($B13)),settings!$D$3:$E$60,2,FALSE),UPPER(TRIM($B13))))</f>
        <v/>
      </c>
      <c r="D13">
        <f>IF($A13="","",$A13&amp;"V"&amp;$C13&amp;settings!$B$5&amp;" Curncy")</f>
        <v/>
      </c>
      <c r="E13">
        <f>IF($A13="","",$A13&amp;"25R"&amp;$C13&amp;settings!$B$5&amp;" Curncy")</f>
        <v/>
      </c>
      <c r="F13">
        <f>IF($A13="","",$A13&amp;"10R"&amp;$C13&amp;settings!$B$5&amp;" Curncy")</f>
        <v/>
      </c>
      <c r="G13">
        <f>IF($A13="","",$A13&amp;"25B"&amp;$C13&amp;settings!$B$5&amp;" Curncy")</f>
        <v/>
      </c>
      <c r="H13">
        <f>IF($A13="","",$A13&amp;"10B"&amp;$C13&amp;settings!$B$5&amp;" Curncy")</f>
        <v/>
      </c>
      <c r="I13">
        <f>IF(D13="","",BDP(D13,settings!$B$4))</f>
        <v/>
      </c>
      <c r="J13">
        <f>IF(E13="","",BDP(E13,settings!$B$4))</f>
        <v/>
      </c>
      <c r="K13">
        <f>IF(F13="","",BDP(F13,settings!$B$4))</f>
        <v/>
      </c>
      <c r="L13">
        <f>IF(G13="","",BDP(G13,settings!$B$4))</f>
        <v/>
      </c>
      <c r="M13">
        <f>IF(H13="","",BDP(H13,settings!$B$4))</f>
        <v/>
      </c>
    </row>
    <row r="14">
      <c r="A14">
        <f>IF(overlay!$A14="","",overlay!$A14)</f>
        <v/>
      </c>
      <c r="B14">
        <f>IF(overlay!$B14="","",overlay!$B14)</f>
        <v/>
      </c>
      <c r="C14">
        <f>IF($B14="","",IFERROR(VLOOKUP(UPPER(TRIM($B14)),settings!$D$3:$E$60,2,FALSE),UPPER(TRIM($B14))))</f>
        <v/>
      </c>
      <c r="D14">
        <f>IF($A14="","",$A14&amp;"V"&amp;$C14&amp;settings!$B$5&amp;" Curncy")</f>
        <v/>
      </c>
      <c r="E14">
        <f>IF($A14="","",$A14&amp;"25R"&amp;$C14&amp;settings!$B$5&amp;" Curncy")</f>
        <v/>
      </c>
      <c r="F14">
        <f>IF($A14="","",$A14&amp;"10R"&amp;$C14&amp;settings!$B$5&amp;" Curncy")</f>
        <v/>
      </c>
      <c r="G14">
        <f>IF($A14="","",$A14&amp;"25B"&amp;$C14&amp;settings!$B$5&amp;" Curncy")</f>
        <v/>
      </c>
      <c r="H14">
        <f>IF($A14="","",$A14&amp;"10B"&amp;$C14&amp;settings!$B$5&amp;" Curncy")</f>
        <v/>
      </c>
      <c r="I14">
        <f>IF(D14="","",BDP(D14,settings!$B$4))</f>
        <v/>
      </c>
      <c r="J14">
        <f>IF(E14="","",BDP(E14,settings!$B$4))</f>
        <v/>
      </c>
      <c r="K14">
        <f>IF(F14="","",BDP(F14,settings!$B$4))</f>
        <v/>
      </c>
      <c r="L14">
        <f>IF(G14="","",BDP(G14,settings!$B$4))</f>
        <v/>
      </c>
      <c r="M14">
        <f>IF(H14="","",BDP(H14,settings!$B$4))</f>
        <v/>
      </c>
    </row>
    <row r="15">
      <c r="A15">
        <f>IF(overlay!$A15="","",overlay!$A15)</f>
        <v/>
      </c>
      <c r="B15">
        <f>IF(overlay!$B15="","",overlay!$B15)</f>
        <v/>
      </c>
      <c r="C15">
        <f>IF($B15="","",IFERROR(VLOOKUP(UPPER(TRIM($B15)),settings!$D$3:$E$60,2,FALSE),UPPER(TRIM($B15))))</f>
        <v/>
      </c>
      <c r="D15">
        <f>IF($A15="","",$A15&amp;"V"&amp;$C15&amp;settings!$B$5&amp;" Curncy")</f>
        <v/>
      </c>
      <c r="E15">
        <f>IF($A15="","",$A15&amp;"25R"&amp;$C15&amp;settings!$B$5&amp;" Curncy")</f>
        <v/>
      </c>
      <c r="F15">
        <f>IF($A15="","",$A15&amp;"10R"&amp;$C15&amp;settings!$B$5&amp;" Curncy")</f>
        <v/>
      </c>
      <c r="G15">
        <f>IF($A15="","",$A15&amp;"25B"&amp;$C15&amp;settings!$B$5&amp;" Curncy")</f>
        <v/>
      </c>
      <c r="H15">
        <f>IF($A15="","",$A15&amp;"10B"&amp;$C15&amp;settings!$B$5&amp;" Curncy")</f>
        <v/>
      </c>
      <c r="I15">
        <f>IF(D15="","",BDP(D15,settings!$B$4))</f>
        <v/>
      </c>
      <c r="J15">
        <f>IF(E15="","",BDP(E15,settings!$B$4))</f>
        <v/>
      </c>
      <c r="K15">
        <f>IF(F15="","",BDP(F15,settings!$B$4))</f>
        <v/>
      </c>
      <c r="L15">
        <f>IF(G15="","",BDP(G15,settings!$B$4))</f>
        <v/>
      </c>
      <c r="M15">
        <f>IF(H15="","",BDP(H15,settings!$B$4))</f>
        <v/>
      </c>
    </row>
    <row r="16">
      <c r="A16">
        <f>IF(overlay!$A16="","",overlay!$A16)</f>
        <v/>
      </c>
      <c r="B16">
        <f>IF(overlay!$B16="","",overlay!$B16)</f>
        <v/>
      </c>
      <c r="C16">
        <f>IF($B16="","",IFERROR(VLOOKUP(UPPER(TRIM($B16)),settings!$D$3:$E$60,2,FALSE),UPPER(TRIM($B16))))</f>
        <v/>
      </c>
      <c r="D16">
        <f>IF($A16="","",$A16&amp;"V"&amp;$C16&amp;settings!$B$5&amp;" Curncy")</f>
        <v/>
      </c>
      <c r="E16">
        <f>IF($A16="","",$A16&amp;"25R"&amp;$C16&amp;settings!$B$5&amp;" Curncy")</f>
        <v/>
      </c>
      <c r="F16">
        <f>IF($A16="","",$A16&amp;"10R"&amp;$C16&amp;settings!$B$5&amp;" Curncy")</f>
        <v/>
      </c>
      <c r="G16">
        <f>IF($A16="","",$A16&amp;"25B"&amp;$C16&amp;settings!$B$5&amp;" Curncy")</f>
        <v/>
      </c>
      <c r="H16">
        <f>IF($A16="","",$A16&amp;"10B"&amp;$C16&amp;settings!$B$5&amp;" Curncy")</f>
        <v/>
      </c>
      <c r="I16">
        <f>IF(D16="","",BDP(D16,settings!$B$4))</f>
        <v/>
      </c>
      <c r="J16">
        <f>IF(E16="","",BDP(E16,settings!$B$4))</f>
        <v/>
      </c>
      <c r="K16">
        <f>IF(F16="","",BDP(F16,settings!$B$4))</f>
        <v/>
      </c>
      <c r="L16">
        <f>IF(G16="","",BDP(G16,settings!$B$4))</f>
        <v/>
      </c>
      <c r="M16">
        <f>IF(H16="","",BDP(H16,settings!$B$4))</f>
        <v/>
      </c>
    </row>
    <row r="17">
      <c r="A17">
        <f>IF(overlay!$A17="","",overlay!$A17)</f>
        <v/>
      </c>
      <c r="B17">
        <f>IF(overlay!$B17="","",overlay!$B17)</f>
        <v/>
      </c>
      <c r="C17">
        <f>IF($B17="","",IFERROR(VLOOKUP(UPPER(TRIM($B17)),settings!$D$3:$E$60,2,FALSE),UPPER(TRIM($B17))))</f>
        <v/>
      </c>
      <c r="D17">
        <f>IF($A17="","",$A17&amp;"V"&amp;$C17&amp;settings!$B$5&amp;" Curncy")</f>
        <v/>
      </c>
      <c r="E17">
        <f>IF($A17="","",$A17&amp;"25R"&amp;$C17&amp;settings!$B$5&amp;" Curncy")</f>
        <v/>
      </c>
      <c r="F17">
        <f>IF($A17="","",$A17&amp;"10R"&amp;$C17&amp;settings!$B$5&amp;" Curncy")</f>
        <v/>
      </c>
      <c r="G17">
        <f>IF($A17="","",$A17&amp;"25B"&amp;$C17&amp;settings!$B$5&amp;" Curncy")</f>
        <v/>
      </c>
      <c r="H17">
        <f>IF($A17="","",$A17&amp;"10B"&amp;$C17&amp;settings!$B$5&amp;" Curncy")</f>
        <v/>
      </c>
      <c r="I17">
        <f>IF(D17="","",BDP(D17,settings!$B$4))</f>
        <v/>
      </c>
      <c r="J17">
        <f>IF(E17="","",BDP(E17,settings!$B$4))</f>
        <v/>
      </c>
      <c r="K17">
        <f>IF(F17="","",BDP(F17,settings!$B$4))</f>
        <v/>
      </c>
      <c r="L17">
        <f>IF(G17="","",BDP(G17,settings!$B$4))</f>
        <v/>
      </c>
      <c r="M17">
        <f>IF(H17="","",BDP(H17,settings!$B$4))</f>
        <v/>
      </c>
    </row>
    <row r="18">
      <c r="A18">
        <f>IF(overlay!$A18="","",overlay!$A18)</f>
        <v/>
      </c>
      <c r="B18">
        <f>IF(overlay!$B18="","",overlay!$B18)</f>
        <v/>
      </c>
      <c r="C18">
        <f>IF($B18="","",IFERROR(VLOOKUP(UPPER(TRIM($B18)),settings!$D$3:$E$60,2,FALSE),UPPER(TRIM($B18))))</f>
        <v/>
      </c>
      <c r="D18">
        <f>IF($A18="","",$A18&amp;"V"&amp;$C18&amp;settings!$B$5&amp;" Curncy")</f>
        <v/>
      </c>
      <c r="E18">
        <f>IF($A18="","",$A18&amp;"25R"&amp;$C18&amp;settings!$B$5&amp;" Curncy")</f>
        <v/>
      </c>
      <c r="F18">
        <f>IF($A18="","",$A18&amp;"10R"&amp;$C18&amp;settings!$B$5&amp;" Curncy")</f>
        <v/>
      </c>
      <c r="G18">
        <f>IF($A18="","",$A18&amp;"25B"&amp;$C18&amp;settings!$B$5&amp;" Curncy")</f>
        <v/>
      </c>
      <c r="H18">
        <f>IF($A18="","",$A18&amp;"10B"&amp;$C18&amp;settings!$B$5&amp;" Curncy")</f>
        <v/>
      </c>
      <c r="I18">
        <f>IF(D18="","",BDP(D18,settings!$B$4))</f>
        <v/>
      </c>
      <c r="J18">
        <f>IF(E18="","",BDP(E18,settings!$B$4))</f>
        <v/>
      </c>
      <c r="K18">
        <f>IF(F18="","",BDP(F18,settings!$B$4))</f>
        <v/>
      </c>
      <c r="L18">
        <f>IF(G18="","",BDP(G18,settings!$B$4))</f>
        <v/>
      </c>
      <c r="M18">
        <f>IF(H18="","",BDP(H18,settings!$B$4))</f>
        <v/>
      </c>
    </row>
    <row r="19">
      <c r="A19">
        <f>IF(overlay!$A19="","",overlay!$A19)</f>
        <v/>
      </c>
      <c r="B19">
        <f>IF(overlay!$B19="","",overlay!$B19)</f>
        <v/>
      </c>
      <c r="C19">
        <f>IF($B19="","",IFERROR(VLOOKUP(UPPER(TRIM($B19)),settings!$D$3:$E$60,2,FALSE),UPPER(TRIM($B19))))</f>
        <v/>
      </c>
      <c r="D19">
        <f>IF($A19="","",$A19&amp;"V"&amp;$C19&amp;settings!$B$5&amp;" Curncy")</f>
        <v/>
      </c>
      <c r="E19">
        <f>IF($A19="","",$A19&amp;"25R"&amp;$C19&amp;settings!$B$5&amp;" Curncy")</f>
        <v/>
      </c>
      <c r="F19">
        <f>IF($A19="","",$A19&amp;"10R"&amp;$C19&amp;settings!$B$5&amp;" Curncy")</f>
        <v/>
      </c>
      <c r="G19">
        <f>IF($A19="","",$A19&amp;"25B"&amp;$C19&amp;settings!$B$5&amp;" Curncy")</f>
        <v/>
      </c>
      <c r="H19">
        <f>IF($A19="","",$A19&amp;"10B"&amp;$C19&amp;settings!$B$5&amp;" Curncy")</f>
        <v/>
      </c>
      <c r="I19">
        <f>IF(D19="","",BDP(D19,settings!$B$4))</f>
        <v/>
      </c>
      <c r="J19">
        <f>IF(E19="","",BDP(E19,settings!$B$4))</f>
        <v/>
      </c>
      <c r="K19">
        <f>IF(F19="","",BDP(F19,settings!$B$4))</f>
        <v/>
      </c>
      <c r="L19">
        <f>IF(G19="","",BDP(G19,settings!$B$4))</f>
        <v/>
      </c>
      <c r="M19">
        <f>IF(H19="","",BDP(H19,settings!$B$4))</f>
        <v/>
      </c>
    </row>
    <row r="20">
      <c r="A20">
        <f>IF(overlay!$A20="","",overlay!$A20)</f>
        <v/>
      </c>
      <c r="B20">
        <f>IF(overlay!$B20="","",overlay!$B20)</f>
        <v/>
      </c>
      <c r="C20">
        <f>IF($B20="","",IFERROR(VLOOKUP(UPPER(TRIM($B20)),settings!$D$3:$E$60,2,FALSE),UPPER(TRIM($B20))))</f>
        <v/>
      </c>
      <c r="D20">
        <f>IF($A20="","",$A20&amp;"V"&amp;$C20&amp;settings!$B$5&amp;" Curncy")</f>
        <v/>
      </c>
      <c r="E20">
        <f>IF($A20="","",$A20&amp;"25R"&amp;$C20&amp;settings!$B$5&amp;" Curncy")</f>
        <v/>
      </c>
      <c r="F20">
        <f>IF($A20="","",$A20&amp;"10R"&amp;$C20&amp;settings!$B$5&amp;" Curncy")</f>
        <v/>
      </c>
      <c r="G20">
        <f>IF($A20="","",$A20&amp;"25B"&amp;$C20&amp;settings!$B$5&amp;" Curncy")</f>
        <v/>
      </c>
      <c r="H20">
        <f>IF($A20="","",$A20&amp;"10B"&amp;$C20&amp;settings!$B$5&amp;" Curncy")</f>
        <v/>
      </c>
      <c r="I20">
        <f>IF(D20="","",BDP(D20,settings!$B$4))</f>
        <v/>
      </c>
      <c r="J20">
        <f>IF(E20="","",BDP(E20,settings!$B$4))</f>
        <v/>
      </c>
      <c r="K20">
        <f>IF(F20="","",BDP(F20,settings!$B$4))</f>
        <v/>
      </c>
      <c r="L20">
        <f>IF(G20="","",BDP(G20,settings!$B$4))</f>
        <v/>
      </c>
      <c r="M20">
        <f>IF(H20="","",BDP(H20,settings!$B$4))</f>
        <v/>
      </c>
    </row>
    <row r="21">
      <c r="A21">
        <f>IF(overlay!$A21="","",overlay!$A21)</f>
        <v/>
      </c>
      <c r="B21">
        <f>IF(overlay!$B21="","",overlay!$B21)</f>
        <v/>
      </c>
      <c r="C21">
        <f>IF($B21="","",IFERROR(VLOOKUP(UPPER(TRIM($B21)),settings!$D$3:$E$60,2,FALSE),UPPER(TRIM($B21))))</f>
        <v/>
      </c>
      <c r="D21">
        <f>IF($A21="","",$A21&amp;"V"&amp;$C21&amp;settings!$B$5&amp;" Curncy")</f>
        <v/>
      </c>
      <c r="E21">
        <f>IF($A21="","",$A21&amp;"25R"&amp;$C21&amp;settings!$B$5&amp;" Curncy")</f>
        <v/>
      </c>
      <c r="F21">
        <f>IF($A21="","",$A21&amp;"10R"&amp;$C21&amp;settings!$B$5&amp;" Curncy")</f>
        <v/>
      </c>
      <c r="G21">
        <f>IF($A21="","",$A21&amp;"25B"&amp;$C21&amp;settings!$B$5&amp;" Curncy")</f>
        <v/>
      </c>
      <c r="H21">
        <f>IF($A21="","",$A21&amp;"10B"&amp;$C21&amp;settings!$B$5&amp;" Curncy")</f>
        <v/>
      </c>
      <c r="I21">
        <f>IF(D21="","",BDP(D21,settings!$B$4))</f>
        <v/>
      </c>
      <c r="J21">
        <f>IF(E21="","",BDP(E21,settings!$B$4))</f>
        <v/>
      </c>
      <c r="K21">
        <f>IF(F21="","",BDP(F21,settings!$B$4))</f>
        <v/>
      </c>
      <c r="L21">
        <f>IF(G21="","",BDP(G21,settings!$B$4))</f>
        <v/>
      </c>
      <c r="M21">
        <f>IF(H21="","",BDP(H21,settings!$B$4))</f>
        <v/>
      </c>
    </row>
    <row r="22">
      <c r="A22">
        <f>IF(overlay!$A22="","",overlay!$A22)</f>
        <v/>
      </c>
      <c r="B22">
        <f>IF(overlay!$B22="","",overlay!$B22)</f>
        <v/>
      </c>
      <c r="C22">
        <f>IF($B22="","",IFERROR(VLOOKUP(UPPER(TRIM($B22)),settings!$D$3:$E$60,2,FALSE),UPPER(TRIM($B22))))</f>
        <v/>
      </c>
      <c r="D22">
        <f>IF($A22="","",$A22&amp;"V"&amp;$C22&amp;settings!$B$5&amp;" Curncy")</f>
        <v/>
      </c>
      <c r="E22">
        <f>IF($A22="","",$A22&amp;"25R"&amp;$C22&amp;settings!$B$5&amp;" Curncy")</f>
        <v/>
      </c>
      <c r="F22">
        <f>IF($A22="","",$A22&amp;"10R"&amp;$C22&amp;settings!$B$5&amp;" Curncy")</f>
        <v/>
      </c>
      <c r="G22">
        <f>IF($A22="","",$A22&amp;"25B"&amp;$C22&amp;settings!$B$5&amp;" Curncy")</f>
        <v/>
      </c>
      <c r="H22">
        <f>IF($A22="","",$A22&amp;"10B"&amp;$C22&amp;settings!$B$5&amp;" Curncy")</f>
        <v/>
      </c>
      <c r="I22">
        <f>IF(D22="","",BDP(D22,settings!$B$4))</f>
        <v/>
      </c>
      <c r="J22">
        <f>IF(E22="","",BDP(E22,settings!$B$4))</f>
        <v/>
      </c>
      <c r="K22">
        <f>IF(F22="","",BDP(F22,settings!$B$4))</f>
        <v/>
      </c>
      <c r="L22">
        <f>IF(G22="","",BDP(G22,settings!$B$4))</f>
        <v/>
      </c>
      <c r="M22">
        <f>IF(H22="","",BDP(H22,settings!$B$4))</f>
        <v/>
      </c>
    </row>
    <row r="23">
      <c r="A23">
        <f>IF(overlay!$A23="","",overlay!$A23)</f>
        <v/>
      </c>
      <c r="B23">
        <f>IF(overlay!$B23="","",overlay!$B23)</f>
        <v/>
      </c>
      <c r="C23">
        <f>IF($B23="","",IFERROR(VLOOKUP(UPPER(TRIM($B23)),settings!$D$3:$E$60,2,FALSE),UPPER(TRIM($B23))))</f>
        <v/>
      </c>
      <c r="D23">
        <f>IF($A23="","",$A23&amp;"V"&amp;$C23&amp;settings!$B$5&amp;" Curncy")</f>
        <v/>
      </c>
      <c r="E23">
        <f>IF($A23="","",$A23&amp;"25R"&amp;$C23&amp;settings!$B$5&amp;" Curncy")</f>
        <v/>
      </c>
      <c r="F23">
        <f>IF($A23="","",$A23&amp;"10R"&amp;$C23&amp;settings!$B$5&amp;" Curncy")</f>
        <v/>
      </c>
      <c r="G23">
        <f>IF($A23="","",$A23&amp;"25B"&amp;$C23&amp;settings!$B$5&amp;" Curncy")</f>
        <v/>
      </c>
      <c r="H23">
        <f>IF($A23="","",$A23&amp;"10B"&amp;$C23&amp;settings!$B$5&amp;" Curncy")</f>
        <v/>
      </c>
      <c r="I23">
        <f>IF(D23="","",BDP(D23,settings!$B$4))</f>
        <v/>
      </c>
      <c r="J23">
        <f>IF(E23="","",BDP(E23,settings!$B$4))</f>
        <v/>
      </c>
      <c r="K23">
        <f>IF(F23="","",BDP(F23,settings!$B$4))</f>
        <v/>
      </c>
      <c r="L23">
        <f>IF(G23="","",BDP(G23,settings!$B$4))</f>
        <v/>
      </c>
      <c r="M23">
        <f>IF(H23="","",BDP(H23,settings!$B$4))</f>
        <v/>
      </c>
    </row>
    <row r="24">
      <c r="A24">
        <f>IF(overlay!$A24="","",overlay!$A24)</f>
        <v/>
      </c>
      <c r="B24">
        <f>IF(overlay!$B24="","",overlay!$B24)</f>
        <v/>
      </c>
      <c r="C24">
        <f>IF($B24="","",IFERROR(VLOOKUP(UPPER(TRIM($B24)),settings!$D$3:$E$60,2,FALSE),UPPER(TRIM($B24))))</f>
        <v/>
      </c>
      <c r="D24">
        <f>IF($A24="","",$A24&amp;"V"&amp;$C24&amp;settings!$B$5&amp;" Curncy")</f>
        <v/>
      </c>
      <c r="E24">
        <f>IF($A24="","",$A24&amp;"25R"&amp;$C24&amp;settings!$B$5&amp;" Curncy")</f>
        <v/>
      </c>
      <c r="F24">
        <f>IF($A24="","",$A24&amp;"10R"&amp;$C24&amp;settings!$B$5&amp;" Curncy")</f>
        <v/>
      </c>
      <c r="G24">
        <f>IF($A24="","",$A24&amp;"25B"&amp;$C24&amp;settings!$B$5&amp;" Curncy")</f>
        <v/>
      </c>
      <c r="H24">
        <f>IF($A24="","",$A24&amp;"10B"&amp;$C24&amp;settings!$B$5&amp;" Curncy")</f>
        <v/>
      </c>
      <c r="I24">
        <f>IF(D24="","",BDP(D24,settings!$B$4))</f>
        <v/>
      </c>
      <c r="J24">
        <f>IF(E24="","",BDP(E24,settings!$B$4))</f>
        <v/>
      </c>
      <c r="K24">
        <f>IF(F24="","",BDP(F24,settings!$B$4))</f>
        <v/>
      </c>
      <c r="L24">
        <f>IF(G24="","",BDP(G24,settings!$B$4))</f>
        <v/>
      </c>
      <c r="M24">
        <f>IF(H24="","",BDP(H24,settings!$B$4))</f>
        <v/>
      </c>
    </row>
    <row r="25">
      <c r="A25">
        <f>IF(overlay!$A25="","",overlay!$A25)</f>
        <v/>
      </c>
      <c r="B25">
        <f>IF(overlay!$B25="","",overlay!$B25)</f>
        <v/>
      </c>
      <c r="C25">
        <f>IF($B25="","",IFERROR(VLOOKUP(UPPER(TRIM($B25)),settings!$D$3:$E$60,2,FALSE),UPPER(TRIM($B25))))</f>
        <v/>
      </c>
      <c r="D25">
        <f>IF($A25="","",$A25&amp;"V"&amp;$C25&amp;settings!$B$5&amp;" Curncy")</f>
        <v/>
      </c>
      <c r="E25">
        <f>IF($A25="","",$A25&amp;"25R"&amp;$C25&amp;settings!$B$5&amp;" Curncy")</f>
        <v/>
      </c>
      <c r="F25">
        <f>IF($A25="","",$A25&amp;"10R"&amp;$C25&amp;settings!$B$5&amp;" Curncy")</f>
        <v/>
      </c>
      <c r="G25">
        <f>IF($A25="","",$A25&amp;"25B"&amp;$C25&amp;settings!$B$5&amp;" Curncy")</f>
        <v/>
      </c>
      <c r="H25">
        <f>IF($A25="","",$A25&amp;"10B"&amp;$C25&amp;settings!$B$5&amp;" Curncy")</f>
        <v/>
      </c>
      <c r="I25">
        <f>IF(D25="","",BDP(D25,settings!$B$4))</f>
        <v/>
      </c>
      <c r="J25">
        <f>IF(E25="","",BDP(E25,settings!$B$4))</f>
        <v/>
      </c>
      <c r="K25">
        <f>IF(F25="","",BDP(F25,settings!$B$4))</f>
        <v/>
      </c>
      <c r="L25">
        <f>IF(G25="","",BDP(G25,settings!$B$4))</f>
        <v/>
      </c>
      <c r="M25">
        <f>IF(H25="","",BDP(H25,settings!$B$4))</f>
        <v/>
      </c>
    </row>
    <row r="26">
      <c r="A26">
        <f>IF(overlay!$A26="","",overlay!$A26)</f>
        <v/>
      </c>
      <c r="B26">
        <f>IF(overlay!$B26="","",overlay!$B26)</f>
        <v/>
      </c>
      <c r="C26">
        <f>IF($B26="","",IFERROR(VLOOKUP(UPPER(TRIM($B26)),settings!$D$3:$E$60,2,FALSE),UPPER(TRIM($B26))))</f>
        <v/>
      </c>
      <c r="D26">
        <f>IF($A26="","",$A26&amp;"V"&amp;$C26&amp;settings!$B$5&amp;" Curncy")</f>
        <v/>
      </c>
      <c r="E26">
        <f>IF($A26="","",$A26&amp;"25R"&amp;$C26&amp;settings!$B$5&amp;" Curncy")</f>
        <v/>
      </c>
      <c r="F26">
        <f>IF($A26="","",$A26&amp;"10R"&amp;$C26&amp;settings!$B$5&amp;" Curncy")</f>
        <v/>
      </c>
      <c r="G26">
        <f>IF($A26="","",$A26&amp;"25B"&amp;$C26&amp;settings!$B$5&amp;" Curncy")</f>
        <v/>
      </c>
      <c r="H26">
        <f>IF($A26="","",$A26&amp;"10B"&amp;$C26&amp;settings!$B$5&amp;" Curncy")</f>
        <v/>
      </c>
      <c r="I26">
        <f>IF(D26="","",BDP(D26,settings!$B$4))</f>
        <v/>
      </c>
      <c r="J26">
        <f>IF(E26="","",BDP(E26,settings!$B$4))</f>
        <v/>
      </c>
      <c r="K26">
        <f>IF(F26="","",BDP(F26,settings!$B$4))</f>
        <v/>
      </c>
      <c r="L26">
        <f>IF(G26="","",BDP(G26,settings!$B$4))</f>
        <v/>
      </c>
      <c r="M26">
        <f>IF(H26="","",BDP(H26,settings!$B$4))</f>
        <v/>
      </c>
    </row>
    <row r="27">
      <c r="A27">
        <f>IF(overlay!$A27="","",overlay!$A27)</f>
        <v/>
      </c>
      <c r="B27">
        <f>IF(overlay!$B27="","",overlay!$B27)</f>
        <v/>
      </c>
      <c r="C27">
        <f>IF($B27="","",IFERROR(VLOOKUP(UPPER(TRIM($B27)),settings!$D$3:$E$60,2,FALSE),UPPER(TRIM($B27))))</f>
        <v/>
      </c>
      <c r="D27">
        <f>IF($A27="","",$A27&amp;"V"&amp;$C27&amp;settings!$B$5&amp;" Curncy")</f>
        <v/>
      </c>
      <c r="E27">
        <f>IF($A27="","",$A27&amp;"25R"&amp;$C27&amp;settings!$B$5&amp;" Curncy")</f>
        <v/>
      </c>
      <c r="F27">
        <f>IF($A27="","",$A27&amp;"10R"&amp;$C27&amp;settings!$B$5&amp;" Curncy")</f>
        <v/>
      </c>
      <c r="G27">
        <f>IF($A27="","",$A27&amp;"25B"&amp;$C27&amp;settings!$B$5&amp;" Curncy")</f>
        <v/>
      </c>
      <c r="H27">
        <f>IF($A27="","",$A27&amp;"10B"&amp;$C27&amp;settings!$B$5&amp;" Curncy")</f>
        <v/>
      </c>
      <c r="I27">
        <f>IF(D27="","",BDP(D27,settings!$B$4))</f>
        <v/>
      </c>
      <c r="J27">
        <f>IF(E27="","",BDP(E27,settings!$B$4))</f>
        <v/>
      </c>
      <c r="K27">
        <f>IF(F27="","",BDP(F27,settings!$B$4))</f>
        <v/>
      </c>
      <c r="L27">
        <f>IF(G27="","",BDP(G27,settings!$B$4))</f>
        <v/>
      </c>
      <c r="M27">
        <f>IF(H27="","",BDP(H27,settings!$B$4))</f>
        <v/>
      </c>
    </row>
    <row r="28">
      <c r="A28">
        <f>IF(overlay!$A28="","",overlay!$A28)</f>
        <v/>
      </c>
      <c r="B28">
        <f>IF(overlay!$B28="","",overlay!$B28)</f>
        <v/>
      </c>
      <c r="C28">
        <f>IF($B28="","",IFERROR(VLOOKUP(UPPER(TRIM($B28)),settings!$D$3:$E$60,2,FALSE),UPPER(TRIM($B28))))</f>
        <v/>
      </c>
      <c r="D28">
        <f>IF($A28="","",$A28&amp;"V"&amp;$C28&amp;settings!$B$5&amp;" Curncy")</f>
        <v/>
      </c>
      <c r="E28">
        <f>IF($A28="","",$A28&amp;"25R"&amp;$C28&amp;settings!$B$5&amp;" Curncy")</f>
        <v/>
      </c>
      <c r="F28">
        <f>IF($A28="","",$A28&amp;"10R"&amp;$C28&amp;settings!$B$5&amp;" Curncy")</f>
        <v/>
      </c>
      <c r="G28">
        <f>IF($A28="","",$A28&amp;"25B"&amp;$C28&amp;settings!$B$5&amp;" Curncy")</f>
        <v/>
      </c>
      <c r="H28">
        <f>IF($A28="","",$A28&amp;"10B"&amp;$C28&amp;settings!$B$5&amp;" Curncy")</f>
        <v/>
      </c>
      <c r="I28">
        <f>IF(D28="","",BDP(D28,settings!$B$4))</f>
        <v/>
      </c>
      <c r="J28">
        <f>IF(E28="","",BDP(E28,settings!$B$4))</f>
        <v/>
      </c>
      <c r="K28">
        <f>IF(F28="","",BDP(F28,settings!$B$4))</f>
        <v/>
      </c>
      <c r="L28">
        <f>IF(G28="","",BDP(G28,settings!$B$4))</f>
        <v/>
      </c>
      <c r="M28">
        <f>IF(H28="","",BDP(H28,settings!$B$4))</f>
        <v/>
      </c>
    </row>
    <row r="29">
      <c r="A29">
        <f>IF(overlay!$A29="","",overlay!$A29)</f>
        <v/>
      </c>
      <c r="B29">
        <f>IF(overlay!$B29="","",overlay!$B29)</f>
        <v/>
      </c>
      <c r="C29">
        <f>IF($B29="","",IFERROR(VLOOKUP(UPPER(TRIM($B29)),settings!$D$3:$E$60,2,FALSE),UPPER(TRIM($B29))))</f>
        <v/>
      </c>
      <c r="D29">
        <f>IF($A29="","",$A29&amp;"V"&amp;$C29&amp;settings!$B$5&amp;" Curncy")</f>
        <v/>
      </c>
      <c r="E29">
        <f>IF($A29="","",$A29&amp;"25R"&amp;$C29&amp;settings!$B$5&amp;" Curncy")</f>
        <v/>
      </c>
      <c r="F29">
        <f>IF($A29="","",$A29&amp;"10R"&amp;$C29&amp;settings!$B$5&amp;" Curncy")</f>
        <v/>
      </c>
      <c r="G29">
        <f>IF($A29="","",$A29&amp;"25B"&amp;$C29&amp;settings!$B$5&amp;" Curncy")</f>
        <v/>
      </c>
      <c r="H29">
        <f>IF($A29="","",$A29&amp;"10B"&amp;$C29&amp;settings!$B$5&amp;" Curncy")</f>
        <v/>
      </c>
      <c r="I29">
        <f>IF(D29="","",BDP(D29,settings!$B$4))</f>
        <v/>
      </c>
      <c r="J29">
        <f>IF(E29="","",BDP(E29,settings!$B$4))</f>
        <v/>
      </c>
      <c r="K29">
        <f>IF(F29="","",BDP(F29,settings!$B$4))</f>
        <v/>
      </c>
      <c r="L29">
        <f>IF(G29="","",BDP(G29,settings!$B$4))</f>
        <v/>
      </c>
      <c r="M29">
        <f>IF(H29="","",BDP(H29,settings!$B$4))</f>
        <v/>
      </c>
    </row>
    <row r="30">
      <c r="A30">
        <f>IF(overlay!$A30="","",overlay!$A30)</f>
        <v/>
      </c>
      <c r="B30">
        <f>IF(overlay!$B30="","",overlay!$B30)</f>
        <v/>
      </c>
      <c r="C30">
        <f>IF($B30="","",IFERROR(VLOOKUP(UPPER(TRIM($B30)),settings!$D$3:$E$60,2,FALSE),UPPER(TRIM($B30))))</f>
        <v/>
      </c>
      <c r="D30">
        <f>IF($A30="","",$A30&amp;"V"&amp;$C30&amp;settings!$B$5&amp;" Curncy")</f>
        <v/>
      </c>
      <c r="E30">
        <f>IF($A30="","",$A30&amp;"25R"&amp;$C30&amp;settings!$B$5&amp;" Curncy")</f>
        <v/>
      </c>
      <c r="F30">
        <f>IF($A30="","",$A30&amp;"10R"&amp;$C30&amp;settings!$B$5&amp;" Curncy")</f>
        <v/>
      </c>
      <c r="G30">
        <f>IF($A30="","",$A30&amp;"25B"&amp;$C30&amp;settings!$B$5&amp;" Curncy")</f>
        <v/>
      </c>
      <c r="H30">
        <f>IF($A30="","",$A30&amp;"10B"&amp;$C30&amp;settings!$B$5&amp;" Curncy")</f>
        <v/>
      </c>
      <c r="I30">
        <f>IF(D30="","",BDP(D30,settings!$B$4))</f>
        <v/>
      </c>
      <c r="J30">
        <f>IF(E30="","",BDP(E30,settings!$B$4))</f>
        <v/>
      </c>
      <c r="K30">
        <f>IF(F30="","",BDP(F30,settings!$B$4))</f>
        <v/>
      </c>
      <c r="L30">
        <f>IF(G30="","",BDP(G30,settings!$B$4))</f>
        <v/>
      </c>
      <c r="M30">
        <f>IF(H30="","",BDP(H30,settings!$B$4))</f>
        <v/>
      </c>
    </row>
    <row r="31">
      <c r="A31">
        <f>IF(overlay!$A31="","",overlay!$A31)</f>
        <v/>
      </c>
      <c r="B31">
        <f>IF(overlay!$B31="","",overlay!$B31)</f>
        <v/>
      </c>
      <c r="C31">
        <f>IF($B31="","",IFERROR(VLOOKUP(UPPER(TRIM($B31)),settings!$D$3:$E$60,2,FALSE),UPPER(TRIM($B31))))</f>
        <v/>
      </c>
      <c r="D31">
        <f>IF($A31="","",$A31&amp;"V"&amp;$C31&amp;settings!$B$5&amp;" Curncy")</f>
        <v/>
      </c>
      <c r="E31">
        <f>IF($A31="","",$A31&amp;"25R"&amp;$C31&amp;settings!$B$5&amp;" Curncy")</f>
        <v/>
      </c>
      <c r="F31">
        <f>IF($A31="","",$A31&amp;"10R"&amp;$C31&amp;settings!$B$5&amp;" Curncy")</f>
        <v/>
      </c>
      <c r="G31">
        <f>IF($A31="","",$A31&amp;"25B"&amp;$C31&amp;settings!$B$5&amp;" Curncy")</f>
        <v/>
      </c>
      <c r="H31">
        <f>IF($A31="","",$A31&amp;"10B"&amp;$C31&amp;settings!$B$5&amp;" Curncy")</f>
        <v/>
      </c>
      <c r="I31">
        <f>IF(D31="","",BDP(D31,settings!$B$4))</f>
        <v/>
      </c>
      <c r="J31">
        <f>IF(E31="","",BDP(E31,settings!$B$4))</f>
        <v/>
      </c>
      <c r="K31">
        <f>IF(F31="","",BDP(F31,settings!$B$4))</f>
        <v/>
      </c>
      <c r="L31">
        <f>IF(G31="","",BDP(G31,settings!$B$4))</f>
        <v/>
      </c>
      <c r="M31">
        <f>IF(H31="","",BDP(H31,settings!$B$4))</f>
        <v/>
      </c>
    </row>
    <row r="32">
      <c r="A32">
        <f>IF(overlay!$A32="","",overlay!$A32)</f>
        <v/>
      </c>
      <c r="B32">
        <f>IF(overlay!$B32="","",overlay!$B32)</f>
        <v/>
      </c>
      <c r="C32">
        <f>IF($B32="","",IFERROR(VLOOKUP(UPPER(TRIM($B32)),settings!$D$3:$E$60,2,FALSE),UPPER(TRIM($B32))))</f>
        <v/>
      </c>
      <c r="D32">
        <f>IF($A32="","",$A32&amp;"V"&amp;$C32&amp;settings!$B$5&amp;" Curncy")</f>
        <v/>
      </c>
      <c r="E32">
        <f>IF($A32="","",$A32&amp;"25R"&amp;$C32&amp;settings!$B$5&amp;" Curncy")</f>
        <v/>
      </c>
      <c r="F32">
        <f>IF($A32="","",$A32&amp;"10R"&amp;$C32&amp;settings!$B$5&amp;" Curncy")</f>
        <v/>
      </c>
      <c r="G32">
        <f>IF($A32="","",$A32&amp;"25B"&amp;$C32&amp;settings!$B$5&amp;" Curncy")</f>
        <v/>
      </c>
      <c r="H32">
        <f>IF($A32="","",$A32&amp;"10B"&amp;$C32&amp;settings!$B$5&amp;" Curncy")</f>
        <v/>
      </c>
      <c r="I32">
        <f>IF(D32="","",BDP(D32,settings!$B$4))</f>
        <v/>
      </c>
      <c r="J32">
        <f>IF(E32="","",BDP(E32,settings!$B$4))</f>
        <v/>
      </c>
      <c r="K32">
        <f>IF(F32="","",BDP(F32,settings!$B$4))</f>
        <v/>
      </c>
      <c r="L32">
        <f>IF(G32="","",BDP(G32,settings!$B$4))</f>
        <v/>
      </c>
      <c r="M32">
        <f>IF(H32="","",BDP(H32,settings!$B$4))</f>
        <v/>
      </c>
    </row>
    <row r="33">
      <c r="A33">
        <f>IF(overlay!$A33="","",overlay!$A33)</f>
        <v/>
      </c>
      <c r="B33">
        <f>IF(overlay!$B33="","",overlay!$B33)</f>
        <v/>
      </c>
      <c r="C33">
        <f>IF($B33="","",IFERROR(VLOOKUP(UPPER(TRIM($B33)),settings!$D$3:$E$60,2,FALSE),UPPER(TRIM($B33))))</f>
        <v/>
      </c>
      <c r="D33">
        <f>IF($A33="","",$A33&amp;"V"&amp;$C33&amp;settings!$B$5&amp;" Curncy")</f>
        <v/>
      </c>
      <c r="E33">
        <f>IF($A33="","",$A33&amp;"25R"&amp;$C33&amp;settings!$B$5&amp;" Curncy")</f>
        <v/>
      </c>
      <c r="F33">
        <f>IF($A33="","",$A33&amp;"10R"&amp;$C33&amp;settings!$B$5&amp;" Curncy")</f>
        <v/>
      </c>
      <c r="G33">
        <f>IF($A33="","",$A33&amp;"25B"&amp;$C33&amp;settings!$B$5&amp;" Curncy")</f>
        <v/>
      </c>
      <c r="H33">
        <f>IF($A33="","",$A33&amp;"10B"&amp;$C33&amp;settings!$B$5&amp;" Curncy")</f>
        <v/>
      </c>
      <c r="I33">
        <f>IF(D33="","",BDP(D33,settings!$B$4))</f>
        <v/>
      </c>
      <c r="J33">
        <f>IF(E33="","",BDP(E33,settings!$B$4))</f>
        <v/>
      </c>
      <c r="K33">
        <f>IF(F33="","",BDP(F33,settings!$B$4))</f>
        <v/>
      </c>
      <c r="L33">
        <f>IF(G33="","",BDP(G33,settings!$B$4))</f>
        <v/>
      </c>
      <c r="M33">
        <f>IF(H33="","",BDP(H33,settings!$B$4))</f>
        <v/>
      </c>
    </row>
    <row r="34">
      <c r="A34">
        <f>IF(overlay!$A34="","",overlay!$A34)</f>
        <v/>
      </c>
      <c r="B34">
        <f>IF(overlay!$B34="","",overlay!$B34)</f>
        <v/>
      </c>
      <c r="C34">
        <f>IF($B34="","",IFERROR(VLOOKUP(UPPER(TRIM($B34)),settings!$D$3:$E$60,2,FALSE),UPPER(TRIM($B34))))</f>
        <v/>
      </c>
      <c r="D34">
        <f>IF($A34="","",$A34&amp;"V"&amp;$C34&amp;settings!$B$5&amp;" Curncy")</f>
        <v/>
      </c>
      <c r="E34">
        <f>IF($A34="","",$A34&amp;"25R"&amp;$C34&amp;settings!$B$5&amp;" Curncy")</f>
        <v/>
      </c>
      <c r="F34">
        <f>IF($A34="","",$A34&amp;"10R"&amp;$C34&amp;settings!$B$5&amp;" Curncy")</f>
        <v/>
      </c>
      <c r="G34">
        <f>IF($A34="","",$A34&amp;"25B"&amp;$C34&amp;settings!$B$5&amp;" Curncy")</f>
        <v/>
      </c>
      <c r="H34">
        <f>IF($A34="","",$A34&amp;"10B"&amp;$C34&amp;settings!$B$5&amp;" Curncy")</f>
        <v/>
      </c>
      <c r="I34">
        <f>IF(D34="","",BDP(D34,settings!$B$4))</f>
        <v/>
      </c>
      <c r="J34">
        <f>IF(E34="","",BDP(E34,settings!$B$4))</f>
        <v/>
      </c>
      <c r="K34">
        <f>IF(F34="","",BDP(F34,settings!$B$4))</f>
        <v/>
      </c>
      <c r="L34">
        <f>IF(G34="","",BDP(G34,settings!$B$4))</f>
        <v/>
      </c>
      <c r="M34">
        <f>IF(H34="","",BDP(H34,settings!$B$4))</f>
        <v/>
      </c>
    </row>
    <row r="35">
      <c r="A35">
        <f>IF(overlay!$A35="","",overlay!$A35)</f>
        <v/>
      </c>
      <c r="B35">
        <f>IF(overlay!$B35="","",overlay!$B35)</f>
        <v/>
      </c>
      <c r="C35">
        <f>IF($B35="","",IFERROR(VLOOKUP(UPPER(TRIM($B35)),settings!$D$3:$E$60,2,FALSE),UPPER(TRIM($B35))))</f>
        <v/>
      </c>
      <c r="D35">
        <f>IF($A35="","",$A35&amp;"V"&amp;$C35&amp;settings!$B$5&amp;" Curncy")</f>
        <v/>
      </c>
      <c r="E35">
        <f>IF($A35="","",$A35&amp;"25R"&amp;$C35&amp;settings!$B$5&amp;" Curncy")</f>
        <v/>
      </c>
      <c r="F35">
        <f>IF($A35="","",$A35&amp;"10R"&amp;$C35&amp;settings!$B$5&amp;" Curncy")</f>
        <v/>
      </c>
      <c r="G35">
        <f>IF($A35="","",$A35&amp;"25B"&amp;$C35&amp;settings!$B$5&amp;" Curncy")</f>
        <v/>
      </c>
      <c r="H35">
        <f>IF($A35="","",$A35&amp;"10B"&amp;$C35&amp;settings!$B$5&amp;" Curncy")</f>
        <v/>
      </c>
      <c r="I35">
        <f>IF(D35="","",BDP(D35,settings!$B$4))</f>
        <v/>
      </c>
      <c r="J35">
        <f>IF(E35="","",BDP(E35,settings!$B$4))</f>
        <v/>
      </c>
      <c r="K35">
        <f>IF(F35="","",BDP(F35,settings!$B$4))</f>
        <v/>
      </c>
      <c r="L35">
        <f>IF(G35="","",BDP(G35,settings!$B$4))</f>
        <v/>
      </c>
      <c r="M35">
        <f>IF(H35="","",BDP(H35,settings!$B$4))</f>
        <v/>
      </c>
    </row>
    <row r="36">
      <c r="A36">
        <f>IF(overlay!$A36="","",overlay!$A36)</f>
        <v/>
      </c>
      <c r="B36">
        <f>IF(overlay!$B36="","",overlay!$B36)</f>
        <v/>
      </c>
      <c r="C36">
        <f>IF($B36="","",IFERROR(VLOOKUP(UPPER(TRIM($B36)),settings!$D$3:$E$60,2,FALSE),UPPER(TRIM($B36))))</f>
        <v/>
      </c>
      <c r="D36">
        <f>IF($A36="","",$A36&amp;"V"&amp;$C36&amp;settings!$B$5&amp;" Curncy")</f>
        <v/>
      </c>
      <c r="E36">
        <f>IF($A36="","",$A36&amp;"25R"&amp;$C36&amp;settings!$B$5&amp;" Curncy")</f>
        <v/>
      </c>
      <c r="F36">
        <f>IF($A36="","",$A36&amp;"10R"&amp;$C36&amp;settings!$B$5&amp;" Curncy")</f>
        <v/>
      </c>
      <c r="G36">
        <f>IF($A36="","",$A36&amp;"25B"&amp;$C36&amp;settings!$B$5&amp;" Curncy")</f>
        <v/>
      </c>
      <c r="H36">
        <f>IF($A36="","",$A36&amp;"10B"&amp;$C36&amp;settings!$B$5&amp;" Curncy")</f>
        <v/>
      </c>
      <c r="I36">
        <f>IF(D36="","",BDP(D36,settings!$B$4))</f>
        <v/>
      </c>
      <c r="J36">
        <f>IF(E36="","",BDP(E36,settings!$B$4))</f>
        <v/>
      </c>
      <c r="K36">
        <f>IF(F36="","",BDP(F36,settings!$B$4))</f>
        <v/>
      </c>
      <c r="L36">
        <f>IF(G36="","",BDP(G36,settings!$B$4))</f>
        <v/>
      </c>
      <c r="M36">
        <f>IF(H36="","",BDP(H36,settings!$B$4))</f>
        <v/>
      </c>
    </row>
    <row r="37">
      <c r="A37">
        <f>IF(overlay!$A37="","",overlay!$A37)</f>
        <v/>
      </c>
      <c r="B37">
        <f>IF(overlay!$B37="","",overlay!$B37)</f>
        <v/>
      </c>
      <c r="C37">
        <f>IF($B37="","",IFERROR(VLOOKUP(UPPER(TRIM($B37)),settings!$D$3:$E$60,2,FALSE),UPPER(TRIM($B37))))</f>
        <v/>
      </c>
      <c r="D37">
        <f>IF($A37="","",$A37&amp;"V"&amp;$C37&amp;settings!$B$5&amp;" Curncy")</f>
        <v/>
      </c>
      <c r="E37">
        <f>IF($A37="","",$A37&amp;"25R"&amp;$C37&amp;settings!$B$5&amp;" Curncy")</f>
        <v/>
      </c>
      <c r="F37">
        <f>IF($A37="","",$A37&amp;"10R"&amp;$C37&amp;settings!$B$5&amp;" Curncy")</f>
        <v/>
      </c>
      <c r="G37">
        <f>IF($A37="","",$A37&amp;"25B"&amp;$C37&amp;settings!$B$5&amp;" Curncy")</f>
        <v/>
      </c>
      <c r="H37">
        <f>IF($A37="","",$A37&amp;"10B"&amp;$C37&amp;settings!$B$5&amp;" Curncy")</f>
        <v/>
      </c>
      <c r="I37">
        <f>IF(D37="","",BDP(D37,settings!$B$4))</f>
        <v/>
      </c>
      <c r="J37">
        <f>IF(E37="","",BDP(E37,settings!$B$4))</f>
        <v/>
      </c>
      <c r="K37">
        <f>IF(F37="","",BDP(F37,settings!$B$4))</f>
        <v/>
      </c>
      <c r="L37">
        <f>IF(G37="","",BDP(G37,settings!$B$4))</f>
        <v/>
      </c>
      <c r="M37">
        <f>IF(H37="","",BDP(H37,settings!$B$4))</f>
        <v/>
      </c>
    </row>
    <row r="38">
      <c r="A38">
        <f>IF(overlay!$A38="","",overlay!$A38)</f>
        <v/>
      </c>
      <c r="B38">
        <f>IF(overlay!$B38="","",overlay!$B38)</f>
        <v/>
      </c>
      <c r="C38">
        <f>IF($B38="","",IFERROR(VLOOKUP(UPPER(TRIM($B38)),settings!$D$3:$E$60,2,FALSE),UPPER(TRIM($B38))))</f>
        <v/>
      </c>
      <c r="D38">
        <f>IF($A38="","",$A38&amp;"V"&amp;$C38&amp;settings!$B$5&amp;" Curncy")</f>
        <v/>
      </c>
      <c r="E38">
        <f>IF($A38="","",$A38&amp;"25R"&amp;$C38&amp;settings!$B$5&amp;" Curncy")</f>
        <v/>
      </c>
      <c r="F38">
        <f>IF($A38="","",$A38&amp;"10R"&amp;$C38&amp;settings!$B$5&amp;" Curncy")</f>
        <v/>
      </c>
      <c r="G38">
        <f>IF($A38="","",$A38&amp;"25B"&amp;$C38&amp;settings!$B$5&amp;" Curncy")</f>
        <v/>
      </c>
      <c r="H38">
        <f>IF($A38="","",$A38&amp;"10B"&amp;$C38&amp;settings!$B$5&amp;" Curncy")</f>
        <v/>
      </c>
      <c r="I38">
        <f>IF(D38="","",BDP(D38,settings!$B$4))</f>
        <v/>
      </c>
      <c r="J38">
        <f>IF(E38="","",BDP(E38,settings!$B$4))</f>
        <v/>
      </c>
      <c r="K38">
        <f>IF(F38="","",BDP(F38,settings!$B$4))</f>
        <v/>
      </c>
      <c r="L38">
        <f>IF(G38="","",BDP(G38,settings!$B$4))</f>
        <v/>
      </c>
      <c r="M38">
        <f>IF(H38="","",BDP(H38,settings!$B$4))</f>
        <v/>
      </c>
    </row>
    <row r="39">
      <c r="A39">
        <f>IF(overlay!$A39="","",overlay!$A39)</f>
        <v/>
      </c>
      <c r="B39">
        <f>IF(overlay!$B39="","",overlay!$B39)</f>
        <v/>
      </c>
      <c r="C39">
        <f>IF($B39="","",IFERROR(VLOOKUP(UPPER(TRIM($B39)),settings!$D$3:$E$60,2,FALSE),UPPER(TRIM($B39))))</f>
        <v/>
      </c>
      <c r="D39">
        <f>IF($A39="","",$A39&amp;"V"&amp;$C39&amp;settings!$B$5&amp;" Curncy")</f>
        <v/>
      </c>
      <c r="E39">
        <f>IF($A39="","",$A39&amp;"25R"&amp;$C39&amp;settings!$B$5&amp;" Curncy")</f>
        <v/>
      </c>
      <c r="F39">
        <f>IF($A39="","",$A39&amp;"10R"&amp;$C39&amp;settings!$B$5&amp;" Curncy")</f>
        <v/>
      </c>
      <c r="G39">
        <f>IF($A39="","",$A39&amp;"25B"&amp;$C39&amp;settings!$B$5&amp;" Curncy")</f>
        <v/>
      </c>
      <c r="H39">
        <f>IF($A39="","",$A39&amp;"10B"&amp;$C39&amp;settings!$B$5&amp;" Curncy")</f>
        <v/>
      </c>
      <c r="I39">
        <f>IF(D39="","",BDP(D39,settings!$B$4))</f>
        <v/>
      </c>
      <c r="J39">
        <f>IF(E39="","",BDP(E39,settings!$B$4))</f>
        <v/>
      </c>
      <c r="K39">
        <f>IF(F39="","",BDP(F39,settings!$B$4))</f>
        <v/>
      </c>
      <c r="L39">
        <f>IF(G39="","",BDP(G39,settings!$B$4))</f>
        <v/>
      </c>
      <c r="M39">
        <f>IF(H39="","",BDP(H39,settings!$B$4))</f>
        <v/>
      </c>
    </row>
    <row r="40">
      <c r="A40">
        <f>IF(overlay!$A40="","",overlay!$A40)</f>
        <v/>
      </c>
      <c r="B40">
        <f>IF(overlay!$B40="","",overlay!$B40)</f>
        <v/>
      </c>
      <c r="C40">
        <f>IF($B40="","",IFERROR(VLOOKUP(UPPER(TRIM($B40)),settings!$D$3:$E$60,2,FALSE),UPPER(TRIM($B40))))</f>
        <v/>
      </c>
      <c r="D40">
        <f>IF($A40="","",$A40&amp;"V"&amp;$C40&amp;settings!$B$5&amp;" Curncy")</f>
        <v/>
      </c>
      <c r="E40">
        <f>IF($A40="","",$A40&amp;"25R"&amp;$C40&amp;settings!$B$5&amp;" Curncy")</f>
        <v/>
      </c>
      <c r="F40">
        <f>IF($A40="","",$A40&amp;"10R"&amp;$C40&amp;settings!$B$5&amp;" Curncy")</f>
        <v/>
      </c>
      <c r="G40">
        <f>IF($A40="","",$A40&amp;"25B"&amp;$C40&amp;settings!$B$5&amp;" Curncy")</f>
        <v/>
      </c>
      <c r="H40">
        <f>IF($A40="","",$A40&amp;"10B"&amp;$C40&amp;settings!$B$5&amp;" Curncy")</f>
        <v/>
      </c>
      <c r="I40">
        <f>IF(D40="","",BDP(D40,settings!$B$4))</f>
        <v/>
      </c>
      <c r="J40">
        <f>IF(E40="","",BDP(E40,settings!$B$4))</f>
        <v/>
      </c>
      <c r="K40">
        <f>IF(F40="","",BDP(F40,settings!$B$4))</f>
        <v/>
      </c>
      <c r="L40">
        <f>IF(G40="","",BDP(G40,settings!$B$4))</f>
        <v/>
      </c>
      <c r="M40">
        <f>IF(H40="","",BDP(H40,settings!$B$4))</f>
        <v/>
      </c>
    </row>
    <row r="41">
      <c r="A41">
        <f>IF(overlay!$A41="","",overlay!$A41)</f>
        <v/>
      </c>
      <c r="B41">
        <f>IF(overlay!$B41="","",overlay!$B41)</f>
        <v/>
      </c>
      <c r="C41">
        <f>IF($B41="","",IFERROR(VLOOKUP(UPPER(TRIM($B41)),settings!$D$3:$E$60,2,FALSE),UPPER(TRIM($B41))))</f>
        <v/>
      </c>
      <c r="D41">
        <f>IF($A41="","",$A41&amp;"V"&amp;$C41&amp;settings!$B$5&amp;" Curncy")</f>
        <v/>
      </c>
      <c r="E41">
        <f>IF($A41="","",$A41&amp;"25R"&amp;$C41&amp;settings!$B$5&amp;" Curncy")</f>
        <v/>
      </c>
      <c r="F41">
        <f>IF($A41="","",$A41&amp;"10R"&amp;$C41&amp;settings!$B$5&amp;" Curncy")</f>
        <v/>
      </c>
      <c r="G41">
        <f>IF($A41="","",$A41&amp;"25B"&amp;$C41&amp;settings!$B$5&amp;" Curncy")</f>
        <v/>
      </c>
      <c r="H41">
        <f>IF($A41="","",$A41&amp;"10B"&amp;$C41&amp;settings!$B$5&amp;" Curncy")</f>
        <v/>
      </c>
      <c r="I41">
        <f>IF(D41="","",BDP(D41,settings!$B$4))</f>
        <v/>
      </c>
      <c r="J41">
        <f>IF(E41="","",BDP(E41,settings!$B$4))</f>
        <v/>
      </c>
      <c r="K41">
        <f>IF(F41="","",BDP(F41,settings!$B$4))</f>
        <v/>
      </c>
      <c r="L41">
        <f>IF(G41="","",BDP(G41,settings!$B$4))</f>
        <v/>
      </c>
      <c r="M41">
        <f>IF(H41="","",BDP(H41,settings!$B$4))</f>
        <v/>
      </c>
    </row>
    <row r="42">
      <c r="A42">
        <f>IF(overlay!$A42="","",overlay!$A42)</f>
        <v/>
      </c>
      <c r="B42">
        <f>IF(overlay!$B42="","",overlay!$B42)</f>
        <v/>
      </c>
      <c r="C42">
        <f>IF($B42="","",IFERROR(VLOOKUP(UPPER(TRIM($B42)),settings!$D$3:$E$60,2,FALSE),UPPER(TRIM($B42))))</f>
        <v/>
      </c>
      <c r="D42">
        <f>IF($A42="","",$A42&amp;"V"&amp;$C42&amp;settings!$B$5&amp;" Curncy")</f>
        <v/>
      </c>
      <c r="E42">
        <f>IF($A42="","",$A42&amp;"25R"&amp;$C42&amp;settings!$B$5&amp;" Curncy")</f>
        <v/>
      </c>
      <c r="F42">
        <f>IF($A42="","",$A42&amp;"10R"&amp;$C42&amp;settings!$B$5&amp;" Curncy")</f>
        <v/>
      </c>
      <c r="G42">
        <f>IF($A42="","",$A42&amp;"25B"&amp;$C42&amp;settings!$B$5&amp;" Curncy")</f>
        <v/>
      </c>
      <c r="H42">
        <f>IF($A42="","",$A42&amp;"10B"&amp;$C42&amp;settings!$B$5&amp;" Curncy")</f>
        <v/>
      </c>
      <c r="I42">
        <f>IF(D42="","",BDP(D42,settings!$B$4))</f>
        <v/>
      </c>
      <c r="J42">
        <f>IF(E42="","",BDP(E42,settings!$B$4))</f>
        <v/>
      </c>
      <c r="K42">
        <f>IF(F42="","",BDP(F42,settings!$B$4))</f>
        <v/>
      </c>
      <c r="L42">
        <f>IF(G42="","",BDP(G42,settings!$B$4))</f>
        <v/>
      </c>
      <c r="M42">
        <f>IF(H42="","",BDP(H42,settings!$B$4))</f>
        <v/>
      </c>
    </row>
    <row r="43">
      <c r="A43">
        <f>IF(overlay!$A43="","",overlay!$A43)</f>
        <v/>
      </c>
      <c r="B43">
        <f>IF(overlay!$B43="","",overlay!$B43)</f>
        <v/>
      </c>
      <c r="C43">
        <f>IF($B43="","",IFERROR(VLOOKUP(UPPER(TRIM($B43)),settings!$D$3:$E$60,2,FALSE),UPPER(TRIM($B43))))</f>
        <v/>
      </c>
      <c r="D43">
        <f>IF($A43="","",$A43&amp;"V"&amp;$C43&amp;settings!$B$5&amp;" Curncy")</f>
        <v/>
      </c>
      <c r="E43">
        <f>IF($A43="","",$A43&amp;"25R"&amp;$C43&amp;settings!$B$5&amp;" Curncy")</f>
        <v/>
      </c>
      <c r="F43">
        <f>IF($A43="","",$A43&amp;"10R"&amp;$C43&amp;settings!$B$5&amp;" Curncy")</f>
        <v/>
      </c>
      <c r="G43">
        <f>IF($A43="","",$A43&amp;"25B"&amp;$C43&amp;settings!$B$5&amp;" Curncy")</f>
        <v/>
      </c>
      <c r="H43">
        <f>IF($A43="","",$A43&amp;"10B"&amp;$C43&amp;settings!$B$5&amp;" Curncy")</f>
        <v/>
      </c>
      <c r="I43">
        <f>IF(D43="","",BDP(D43,settings!$B$4))</f>
        <v/>
      </c>
      <c r="J43">
        <f>IF(E43="","",BDP(E43,settings!$B$4))</f>
        <v/>
      </c>
      <c r="K43">
        <f>IF(F43="","",BDP(F43,settings!$B$4))</f>
        <v/>
      </c>
      <c r="L43">
        <f>IF(G43="","",BDP(G43,settings!$B$4))</f>
        <v/>
      </c>
      <c r="M43">
        <f>IF(H43="","",BDP(H43,settings!$B$4))</f>
        <v/>
      </c>
    </row>
    <row r="44">
      <c r="A44">
        <f>IF(overlay!$A44="","",overlay!$A44)</f>
        <v/>
      </c>
      <c r="B44">
        <f>IF(overlay!$B44="","",overlay!$B44)</f>
        <v/>
      </c>
      <c r="C44">
        <f>IF($B44="","",IFERROR(VLOOKUP(UPPER(TRIM($B44)),settings!$D$3:$E$60,2,FALSE),UPPER(TRIM($B44))))</f>
        <v/>
      </c>
      <c r="D44">
        <f>IF($A44="","",$A44&amp;"V"&amp;$C44&amp;settings!$B$5&amp;" Curncy")</f>
        <v/>
      </c>
      <c r="E44">
        <f>IF($A44="","",$A44&amp;"25R"&amp;$C44&amp;settings!$B$5&amp;" Curncy")</f>
        <v/>
      </c>
      <c r="F44">
        <f>IF($A44="","",$A44&amp;"10R"&amp;$C44&amp;settings!$B$5&amp;" Curncy")</f>
        <v/>
      </c>
      <c r="G44">
        <f>IF($A44="","",$A44&amp;"25B"&amp;$C44&amp;settings!$B$5&amp;" Curncy")</f>
        <v/>
      </c>
      <c r="H44">
        <f>IF($A44="","",$A44&amp;"10B"&amp;$C44&amp;settings!$B$5&amp;" Curncy")</f>
        <v/>
      </c>
      <c r="I44">
        <f>IF(D44="","",BDP(D44,settings!$B$4))</f>
        <v/>
      </c>
      <c r="J44">
        <f>IF(E44="","",BDP(E44,settings!$B$4))</f>
        <v/>
      </c>
      <c r="K44">
        <f>IF(F44="","",BDP(F44,settings!$B$4))</f>
        <v/>
      </c>
      <c r="L44">
        <f>IF(G44="","",BDP(G44,settings!$B$4))</f>
        <v/>
      </c>
      <c r="M44">
        <f>IF(H44="","",BDP(H44,settings!$B$4))</f>
        <v/>
      </c>
    </row>
    <row r="45">
      <c r="A45">
        <f>IF(overlay!$A45="","",overlay!$A45)</f>
        <v/>
      </c>
      <c r="B45">
        <f>IF(overlay!$B45="","",overlay!$B45)</f>
        <v/>
      </c>
      <c r="C45">
        <f>IF($B45="","",IFERROR(VLOOKUP(UPPER(TRIM($B45)),settings!$D$3:$E$60,2,FALSE),UPPER(TRIM($B45))))</f>
        <v/>
      </c>
      <c r="D45">
        <f>IF($A45="","",$A45&amp;"V"&amp;$C45&amp;settings!$B$5&amp;" Curncy")</f>
        <v/>
      </c>
      <c r="E45">
        <f>IF($A45="","",$A45&amp;"25R"&amp;$C45&amp;settings!$B$5&amp;" Curncy")</f>
        <v/>
      </c>
      <c r="F45">
        <f>IF($A45="","",$A45&amp;"10R"&amp;$C45&amp;settings!$B$5&amp;" Curncy")</f>
        <v/>
      </c>
      <c r="G45">
        <f>IF($A45="","",$A45&amp;"25B"&amp;$C45&amp;settings!$B$5&amp;" Curncy")</f>
        <v/>
      </c>
      <c r="H45">
        <f>IF($A45="","",$A45&amp;"10B"&amp;$C45&amp;settings!$B$5&amp;" Curncy")</f>
        <v/>
      </c>
      <c r="I45">
        <f>IF(D45="","",BDP(D45,settings!$B$4))</f>
        <v/>
      </c>
      <c r="J45">
        <f>IF(E45="","",BDP(E45,settings!$B$4))</f>
        <v/>
      </c>
      <c r="K45">
        <f>IF(F45="","",BDP(F45,settings!$B$4))</f>
        <v/>
      </c>
      <c r="L45">
        <f>IF(G45="","",BDP(G45,settings!$B$4))</f>
        <v/>
      </c>
      <c r="M45">
        <f>IF(H45="","",BDP(H45,settings!$B$4))</f>
        <v/>
      </c>
    </row>
    <row r="46">
      <c r="A46">
        <f>IF(overlay!$A46="","",overlay!$A46)</f>
        <v/>
      </c>
      <c r="B46">
        <f>IF(overlay!$B46="","",overlay!$B46)</f>
        <v/>
      </c>
      <c r="C46">
        <f>IF($B46="","",IFERROR(VLOOKUP(UPPER(TRIM($B46)),settings!$D$3:$E$60,2,FALSE),UPPER(TRIM($B46))))</f>
        <v/>
      </c>
      <c r="D46">
        <f>IF($A46="","",$A46&amp;"V"&amp;$C46&amp;settings!$B$5&amp;" Curncy")</f>
        <v/>
      </c>
      <c r="E46">
        <f>IF($A46="","",$A46&amp;"25R"&amp;$C46&amp;settings!$B$5&amp;" Curncy")</f>
        <v/>
      </c>
      <c r="F46">
        <f>IF($A46="","",$A46&amp;"10R"&amp;$C46&amp;settings!$B$5&amp;" Curncy")</f>
        <v/>
      </c>
      <c r="G46">
        <f>IF($A46="","",$A46&amp;"25B"&amp;$C46&amp;settings!$B$5&amp;" Curncy")</f>
        <v/>
      </c>
      <c r="H46">
        <f>IF($A46="","",$A46&amp;"10B"&amp;$C46&amp;settings!$B$5&amp;" Curncy")</f>
        <v/>
      </c>
      <c r="I46">
        <f>IF(D46="","",BDP(D46,settings!$B$4))</f>
        <v/>
      </c>
      <c r="J46">
        <f>IF(E46="","",BDP(E46,settings!$B$4))</f>
        <v/>
      </c>
      <c r="K46">
        <f>IF(F46="","",BDP(F46,settings!$B$4))</f>
        <v/>
      </c>
      <c r="L46">
        <f>IF(G46="","",BDP(G46,settings!$B$4))</f>
        <v/>
      </c>
      <c r="M46">
        <f>IF(H46="","",BDP(H46,settings!$B$4))</f>
        <v/>
      </c>
    </row>
    <row r="47">
      <c r="A47">
        <f>IF(overlay!$A47="","",overlay!$A47)</f>
        <v/>
      </c>
      <c r="B47">
        <f>IF(overlay!$B47="","",overlay!$B47)</f>
        <v/>
      </c>
      <c r="C47">
        <f>IF($B47="","",IFERROR(VLOOKUP(UPPER(TRIM($B47)),settings!$D$3:$E$60,2,FALSE),UPPER(TRIM($B47))))</f>
        <v/>
      </c>
      <c r="D47">
        <f>IF($A47="","",$A47&amp;"V"&amp;$C47&amp;settings!$B$5&amp;" Curncy")</f>
        <v/>
      </c>
      <c r="E47">
        <f>IF($A47="","",$A47&amp;"25R"&amp;$C47&amp;settings!$B$5&amp;" Curncy")</f>
        <v/>
      </c>
      <c r="F47">
        <f>IF($A47="","",$A47&amp;"10R"&amp;$C47&amp;settings!$B$5&amp;" Curncy")</f>
        <v/>
      </c>
      <c r="G47">
        <f>IF($A47="","",$A47&amp;"25B"&amp;$C47&amp;settings!$B$5&amp;" Curncy")</f>
        <v/>
      </c>
      <c r="H47">
        <f>IF($A47="","",$A47&amp;"10B"&amp;$C47&amp;settings!$B$5&amp;" Curncy")</f>
        <v/>
      </c>
      <c r="I47">
        <f>IF(D47="","",BDP(D47,settings!$B$4))</f>
        <v/>
      </c>
      <c r="J47">
        <f>IF(E47="","",BDP(E47,settings!$B$4))</f>
        <v/>
      </c>
      <c r="K47">
        <f>IF(F47="","",BDP(F47,settings!$B$4))</f>
        <v/>
      </c>
      <c r="L47">
        <f>IF(G47="","",BDP(G47,settings!$B$4))</f>
        <v/>
      </c>
      <c r="M47">
        <f>IF(H47="","",BDP(H47,settings!$B$4))</f>
        <v/>
      </c>
    </row>
    <row r="48">
      <c r="A48">
        <f>IF(overlay!$A48="","",overlay!$A48)</f>
        <v/>
      </c>
      <c r="B48">
        <f>IF(overlay!$B48="","",overlay!$B48)</f>
        <v/>
      </c>
      <c r="C48">
        <f>IF($B48="","",IFERROR(VLOOKUP(UPPER(TRIM($B48)),settings!$D$3:$E$60,2,FALSE),UPPER(TRIM($B48))))</f>
        <v/>
      </c>
      <c r="D48">
        <f>IF($A48="","",$A48&amp;"V"&amp;$C48&amp;settings!$B$5&amp;" Curncy")</f>
        <v/>
      </c>
      <c r="E48">
        <f>IF($A48="","",$A48&amp;"25R"&amp;$C48&amp;settings!$B$5&amp;" Curncy")</f>
        <v/>
      </c>
      <c r="F48">
        <f>IF($A48="","",$A48&amp;"10R"&amp;$C48&amp;settings!$B$5&amp;" Curncy")</f>
        <v/>
      </c>
      <c r="G48">
        <f>IF($A48="","",$A48&amp;"25B"&amp;$C48&amp;settings!$B$5&amp;" Curncy")</f>
        <v/>
      </c>
      <c r="H48">
        <f>IF($A48="","",$A48&amp;"10B"&amp;$C48&amp;settings!$B$5&amp;" Curncy")</f>
        <v/>
      </c>
      <c r="I48">
        <f>IF(D48="","",BDP(D48,settings!$B$4))</f>
        <v/>
      </c>
      <c r="J48">
        <f>IF(E48="","",BDP(E48,settings!$B$4))</f>
        <v/>
      </c>
      <c r="K48">
        <f>IF(F48="","",BDP(F48,settings!$B$4))</f>
        <v/>
      </c>
      <c r="L48">
        <f>IF(G48="","",BDP(G48,settings!$B$4))</f>
        <v/>
      </c>
      <c r="M48">
        <f>IF(H48="","",BDP(H48,settings!$B$4))</f>
        <v/>
      </c>
    </row>
    <row r="49">
      <c r="A49">
        <f>IF(overlay!$A49="","",overlay!$A49)</f>
        <v/>
      </c>
      <c r="B49">
        <f>IF(overlay!$B49="","",overlay!$B49)</f>
        <v/>
      </c>
      <c r="C49">
        <f>IF($B49="","",IFERROR(VLOOKUP(UPPER(TRIM($B49)),settings!$D$3:$E$60,2,FALSE),UPPER(TRIM($B49))))</f>
        <v/>
      </c>
      <c r="D49">
        <f>IF($A49="","",$A49&amp;"V"&amp;$C49&amp;settings!$B$5&amp;" Curncy")</f>
        <v/>
      </c>
      <c r="E49">
        <f>IF($A49="","",$A49&amp;"25R"&amp;$C49&amp;settings!$B$5&amp;" Curncy")</f>
        <v/>
      </c>
      <c r="F49">
        <f>IF($A49="","",$A49&amp;"10R"&amp;$C49&amp;settings!$B$5&amp;" Curncy")</f>
        <v/>
      </c>
      <c r="G49">
        <f>IF($A49="","",$A49&amp;"25B"&amp;$C49&amp;settings!$B$5&amp;" Curncy")</f>
        <v/>
      </c>
      <c r="H49">
        <f>IF($A49="","",$A49&amp;"10B"&amp;$C49&amp;settings!$B$5&amp;" Curncy")</f>
        <v/>
      </c>
      <c r="I49">
        <f>IF(D49="","",BDP(D49,settings!$B$4))</f>
        <v/>
      </c>
      <c r="J49">
        <f>IF(E49="","",BDP(E49,settings!$B$4))</f>
        <v/>
      </c>
      <c r="K49">
        <f>IF(F49="","",BDP(F49,settings!$B$4))</f>
        <v/>
      </c>
      <c r="L49">
        <f>IF(G49="","",BDP(G49,settings!$B$4))</f>
        <v/>
      </c>
      <c r="M49">
        <f>IF(H49="","",BDP(H49,settings!$B$4))</f>
        <v/>
      </c>
    </row>
    <row r="50">
      <c r="A50">
        <f>IF(overlay!$A50="","",overlay!$A50)</f>
        <v/>
      </c>
      <c r="B50">
        <f>IF(overlay!$B50="","",overlay!$B50)</f>
        <v/>
      </c>
      <c r="C50">
        <f>IF($B50="","",IFERROR(VLOOKUP(UPPER(TRIM($B50)),settings!$D$3:$E$60,2,FALSE),UPPER(TRIM($B50))))</f>
        <v/>
      </c>
      <c r="D50">
        <f>IF($A50="","",$A50&amp;"V"&amp;$C50&amp;settings!$B$5&amp;" Curncy")</f>
        <v/>
      </c>
      <c r="E50">
        <f>IF($A50="","",$A50&amp;"25R"&amp;$C50&amp;settings!$B$5&amp;" Curncy")</f>
        <v/>
      </c>
      <c r="F50">
        <f>IF($A50="","",$A50&amp;"10R"&amp;$C50&amp;settings!$B$5&amp;" Curncy")</f>
        <v/>
      </c>
      <c r="G50">
        <f>IF($A50="","",$A50&amp;"25B"&amp;$C50&amp;settings!$B$5&amp;" Curncy")</f>
        <v/>
      </c>
      <c r="H50">
        <f>IF($A50="","",$A50&amp;"10B"&amp;$C50&amp;settings!$B$5&amp;" Curncy")</f>
        <v/>
      </c>
      <c r="I50">
        <f>IF(D50="","",BDP(D50,settings!$B$4))</f>
        <v/>
      </c>
      <c r="J50">
        <f>IF(E50="","",BDP(E50,settings!$B$4))</f>
        <v/>
      </c>
      <c r="K50">
        <f>IF(F50="","",BDP(F50,settings!$B$4))</f>
        <v/>
      </c>
      <c r="L50">
        <f>IF(G50="","",BDP(G50,settings!$B$4))</f>
        <v/>
      </c>
      <c r="M50">
        <f>IF(H50="","",BDP(H50,settings!$B$4))</f>
        <v/>
      </c>
    </row>
    <row r="51">
      <c r="A51">
        <f>IF(overlay!$A51="","",overlay!$A51)</f>
        <v/>
      </c>
      <c r="B51">
        <f>IF(overlay!$B51="","",overlay!$B51)</f>
        <v/>
      </c>
      <c r="C51">
        <f>IF($B51="","",IFERROR(VLOOKUP(UPPER(TRIM($B51)),settings!$D$3:$E$60,2,FALSE),UPPER(TRIM($B51))))</f>
        <v/>
      </c>
      <c r="D51">
        <f>IF($A51="","",$A51&amp;"V"&amp;$C51&amp;settings!$B$5&amp;" Curncy")</f>
        <v/>
      </c>
      <c r="E51">
        <f>IF($A51="","",$A51&amp;"25R"&amp;$C51&amp;settings!$B$5&amp;" Curncy")</f>
        <v/>
      </c>
      <c r="F51">
        <f>IF($A51="","",$A51&amp;"10R"&amp;$C51&amp;settings!$B$5&amp;" Curncy")</f>
        <v/>
      </c>
      <c r="G51">
        <f>IF($A51="","",$A51&amp;"25B"&amp;$C51&amp;settings!$B$5&amp;" Curncy")</f>
        <v/>
      </c>
      <c r="H51">
        <f>IF($A51="","",$A51&amp;"10B"&amp;$C51&amp;settings!$B$5&amp;" Curncy")</f>
        <v/>
      </c>
      <c r="I51">
        <f>IF(D51="","",BDP(D51,settings!$B$4))</f>
        <v/>
      </c>
      <c r="J51">
        <f>IF(E51="","",BDP(E51,settings!$B$4))</f>
        <v/>
      </c>
      <c r="K51">
        <f>IF(F51="","",BDP(F51,settings!$B$4))</f>
        <v/>
      </c>
      <c r="L51">
        <f>IF(G51="","",BDP(G51,settings!$B$4))</f>
        <v/>
      </c>
      <c r="M51">
        <f>IF(H51="","",BDP(H51,settings!$B$4))</f>
        <v/>
      </c>
    </row>
    <row r="52">
      <c r="A52">
        <f>IF(overlay!$A52="","",overlay!$A52)</f>
        <v/>
      </c>
      <c r="B52">
        <f>IF(overlay!$B52="","",overlay!$B52)</f>
        <v/>
      </c>
      <c r="C52">
        <f>IF($B52="","",IFERROR(VLOOKUP(UPPER(TRIM($B52)),settings!$D$3:$E$60,2,FALSE),UPPER(TRIM($B52))))</f>
        <v/>
      </c>
      <c r="D52">
        <f>IF($A52="","",$A52&amp;"V"&amp;$C52&amp;settings!$B$5&amp;" Curncy")</f>
        <v/>
      </c>
      <c r="E52">
        <f>IF($A52="","",$A52&amp;"25R"&amp;$C52&amp;settings!$B$5&amp;" Curncy")</f>
        <v/>
      </c>
      <c r="F52">
        <f>IF($A52="","",$A52&amp;"10R"&amp;$C52&amp;settings!$B$5&amp;" Curncy")</f>
        <v/>
      </c>
      <c r="G52">
        <f>IF($A52="","",$A52&amp;"25B"&amp;$C52&amp;settings!$B$5&amp;" Curncy")</f>
        <v/>
      </c>
      <c r="H52">
        <f>IF($A52="","",$A52&amp;"10B"&amp;$C52&amp;settings!$B$5&amp;" Curncy")</f>
        <v/>
      </c>
      <c r="I52">
        <f>IF(D52="","",BDP(D52,settings!$B$4))</f>
        <v/>
      </c>
      <c r="J52">
        <f>IF(E52="","",BDP(E52,settings!$B$4))</f>
        <v/>
      </c>
      <c r="K52">
        <f>IF(F52="","",BDP(F52,settings!$B$4))</f>
        <v/>
      </c>
      <c r="L52">
        <f>IF(G52="","",BDP(G52,settings!$B$4))</f>
        <v/>
      </c>
      <c r="M52">
        <f>IF(H52="","",BDP(H52,settings!$B$4))</f>
        <v/>
      </c>
    </row>
    <row r="53">
      <c r="A53">
        <f>IF(overlay!$A53="","",overlay!$A53)</f>
        <v/>
      </c>
      <c r="B53">
        <f>IF(overlay!$B53="","",overlay!$B53)</f>
        <v/>
      </c>
      <c r="C53">
        <f>IF($B53="","",IFERROR(VLOOKUP(UPPER(TRIM($B53)),settings!$D$3:$E$60,2,FALSE),UPPER(TRIM($B53))))</f>
        <v/>
      </c>
      <c r="D53">
        <f>IF($A53="","",$A53&amp;"V"&amp;$C53&amp;settings!$B$5&amp;" Curncy")</f>
        <v/>
      </c>
      <c r="E53">
        <f>IF($A53="","",$A53&amp;"25R"&amp;$C53&amp;settings!$B$5&amp;" Curncy")</f>
        <v/>
      </c>
      <c r="F53">
        <f>IF($A53="","",$A53&amp;"10R"&amp;$C53&amp;settings!$B$5&amp;" Curncy")</f>
        <v/>
      </c>
      <c r="G53">
        <f>IF($A53="","",$A53&amp;"25B"&amp;$C53&amp;settings!$B$5&amp;" Curncy")</f>
        <v/>
      </c>
      <c r="H53">
        <f>IF($A53="","",$A53&amp;"10B"&amp;$C53&amp;settings!$B$5&amp;" Curncy")</f>
        <v/>
      </c>
      <c r="I53">
        <f>IF(D53="","",BDP(D53,settings!$B$4))</f>
        <v/>
      </c>
      <c r="J53">
        <f>IF(E53="","",BDP(E53,settings!$B$4))</f>
        <v/>
      </c>
      <c r="K53">
        <f>IF(F53="","",BDP(F53,settings!$B$4))</f>
        <v/>
      </c>
      <c r="L53">
        <f>IF(G53="","",BDP(G53,settings!$B$4))</f>
        <v/>
      </c>
      <c r="M53">
        <f>IF(H53="","",BDP(H53,settings!$B$4))</f>
        <v/>
      </c>
    </row>
    <row r="54">
      <c r="A54">
        <f>IF(overlay!$A54="","",overlay!$A54)</f>
        <v/>
      </c>
      <c r="B54">
        <f>IF(overlay!$B54="","",overlay!$B54)</f>
        <v/>
      </c>
      <c r="C54">
        <f>IF($B54="","",IFERROR(VLOOKUP(UPPER(TRIM($B54)),settings!$D$3:$E$60,2,FALSE),UPPER(TRIM($B54))))</f>
        <v/>
      </c>
      <c r="D54">
        <f>IF($A54="","",$A54&amp;"V"&amp;$C54&amp;settings!$B$5&amp;" Curncy")</f>
        <v/>
      </c>
      <c r="E54">
        <f>IF($A54="","",$A54&amp;"25R"&amp;$C54&amp;settings!$B$5&amp;" Curncy")</f>
        <v/>
      </c>
      <c r="F54">
        <f>IF($A54="","",$A54&amp;"10R"&amp;$C54&amp;settings!$B$5&amp;" Curncy")</f>
        <v/>
      </c>
      <c r="G54">
        <f>IF($A54="","",$A54&amp;"25B"&amp;$C54&amp;settings!$B$5&amp;" Curncy")</f>
        <v/>
      </c>
      <c r="H54">
        <f>IF($A54="","",$A54&amp;"10B"&amp;$C54&amp;settings!$B$5&amp;" Curncy")</f>
        <v/>
      </c>
      <c r="I54">
        <f>IF(D54="","",BDP(D54,settings!$B$4))</f>
        <v/>
      </c>
      <c r="J54">
        <f>IF(E54="","",BDP(E54,settings!$B$4))</f>
        <v/>
      </c>
      <c r="K54">
        <f>IF(F54="","",BDP(F54,settings!$B$4))</f>
        <v/>
      </c>
      <c r="L54">
        <f>IF(G54="","",BDP(G54,settings!$B$4))</f>
        <v/>
      </c>
      <c r="M54">
        <f>IF(H54="","",BDP(H54,settings!$B$4))</f>
        <v/>
      </c>
    </row>
    <row r="55">
      <c r="A55">
        <f>IF(overlay!$A55="","",overlay!$A55)</f>
        <v/>
      </c>
      <c r="B55">
        <f>IF(overlay!$B55="","",overlay!$B55)</f>
        <v/>
      </c>
      <c r="C55">
        <f>IF($B55="","",IFERROR(VLOOKUP(UPPER(TRIM($B55)),settings!$D$3:$E$60,2,FALSE),UPPER(TRIM($B55))))</f>
        <v/>
      </c>
      <c r="D55">
        <f>IF($A55="","",$A55&amp;"V"&amp;$C55&amp;settings!$B$5&amp;" Curncy")</f>
        <v/>
      </c>
      <c r="E55">
        <f>IF($A55="","",$A55&amp;"25R"&amp;$C55&amp;settings!$B$5&amp;" Curncy")</f>
        <v/>
      </c>
      <c r="F55">
        <f>IF($A55="","",$A55&amp;"10R"&amp;$C55&amp;settings!$B$5&amp;" Curncy")</f>
        <v/>
      </c>
      <c r="G55">
        <f>IF($A55="","",$A55&amp;"25B"&amp;$C55&amp;settings!$B$5&amp;" Curncy")</f>
        <v/>
      </c>
      <c r="H55">
        <f>IF($A55="","",$A55&amp;"10B"&amp;$C55&amp;settings!$B$5&amp;" Curncy")</f>
        <v/>
      </c>
      <c r="I55">
        <f>IF(D55="","",BDP(D55,settings!$B$4))</f>
        <v/>
      </c>
      <c r="J55">
        <f>IF(E55="","",BDP(E55,settings!$B$4))</f>
        <v/>
      </c>
      <c r="K55">
        <f>IF(F55="","",BDP(F55,settings!$B$4))</f>
        <v/>
      </c>
      <c r="L55">
        <f>IF(G55="","",BDP(G55,settings!$B$4))</f>
        <v/>
      </c>
      <c r="M55">
        <f>IF(H55="","",BDP(H55,settings!$B$4))</f>
        <v/>
      </c>
    </row>
    <row r="56">
      <c r="A56">
        <f>IF(overlay!$A56="","",overlay!$A56)</f>
        <v/>
      </c>
      <c r="B56">
        <f>IF(overlay!$B56="","",overlay!$B56)</f>
        <v/>
      </c>
      <c r="C56">
        <f>IF($B56="","",IFERROR(VLOOKUP(UPPER(TRIM($B56)),settings!$D$3:$E$60,2,FALSE),UPPER(TRIM($B56))))</f>
        <v/>
      </c>
      <c r="D56">
        <f>IF($A56="","",$A56&amp;"V"&amp;$C56&amp;settings!$B$5&amp;" Curncy")</f>
        <v/>
      </c>
      <c r="E56">
        <f>IF($A56="","",$A56&amp;"25R"&amp;$C56&amp;settings!$B$5&amp;" Curncy")</f>
        <v/>
      </c>
      <c r="F56">
        <f>IF($A56="","",$A56&amp;"10R"&amp;$C56&amp;settings!$B$5&amp;" Curncy")</f>
        <v/>
      </c>
      <c r="G56">
        <f>IF($A56="","",$A56&amp;"25B"&amp;$C56&amp;settings!$B$5&amp;" Curncy")</f>
        <v/>
      </c>
      <c r="H56">
        <f>IF($A56="","",$A56&amp;"10B"&amp;$C56&amp;settings!$B$5&amp;" Curncy")</f>
        <v/>
      </c>
      <c r="I56">
        <f>IF(D56="","",BDP(D56,settings!$B$4))</f>
        <v/>
      </c>
      <c r="J56">
        <f>IF(E56="","",BDP(E56,settings!$B$4))</f>
        <v/>
      </c>
      <c r="K56">
        <f>IF(F56="","",BDP(F56,settings!$B$4))</f>
        <v/>
      </c>
      <c r="L56">
        <f>IF(G56="","",BDP(G56,settings!$B$4))</f>
        <v/>
      </c>
      <c r="M56">
        <f>IF(H56="","",BDP(H56,settings!$B$4))</f>
        <v/>
      </c>
    </row>
    <row r="57">
      <c r="A57">
        <f>IF(overlay!$A57="","",overlay!$A57)</f>
        <v/>
      </c>
      <c r="B57">
        <f>IF(overlay!$B57="","",overlay!$B57)</f>
        <v/>
      </c>
      <c r="C57">
        <f>IF($B57="","",IFERROR(VLOOKUP(UPPER(TRIM($B57)),settings!$D$3:$E$60,2,FALSE),UPPER(TRIM($B57))))</f>
        <v/>
      </c>
      <c r="D57">
        <f>IF($A57="","",$A57&amp;"V"&amp;$C57&amp;settings!$B$5&amp;" Curncy")</f>
        <v/>
      </c>
      <c r="E57">
        <f>IF($A57="","",$A57&amp;"25R"&amp;$C57&amp;settings!$B$5&amp;" Curncy")</f>
        <v/>
      </c>
      <c r="F57">
        <f>IF($A57="","",$A57&amp;"10R"&amp;$C57&amp;settings!$B$5&amp;" Curncy")</f>
        <v/>
      </c>
      <c r="G57">
        <f>IF($A57="","",$A57&amp;"25B"&amp;$C57&amp;settings!$B$5&amp;" Curncy")</f>
        <v/>
      </c>
      <c r="H57">
        <f>IF($A57="","",$A57&amp;"10B"&amp;$C57&amp;settings!$B$5&amp;" Curncy")</f>
        <v/>
      </c>
      <c r="I57">
        <f>IF(D57="","",BDP(D57,settings!$B$4))</f>
        <v/>
      </c>
      <c r="J57">
        <f>IF(E57="","",BDP(E57,settings!$B$4))</f>
        <v/>
      </c>
      <c r="K57">
        <f>IF(F57="","",BDP(F57,settings!$B$4))</f>
        <v/>
      </c>
      <c r="L57">
        <f>IF(G57="","",BDP(G57,settings!$B$4))</f>
        <v/>
      </c>
      <c r="M57">
        <f>IF(H57="","",BDP(H57,settings!$B$4))</f>
        <v/>
      </c>
    </row>
    <row r="58">
      <c r="A58">
        <f>IF(overlay!$A58="","",overlay!$A58)</f>
        <v/>
      </c>
      <c r="B58">
        <f>IF(overlay!$B58="","",overlay!$B58)</f>
        <v/>
      </c>
      <c r="C58">
        <f>IF($B58="","",IFERROR(VLOOKUP(UPPER(TRIM($B58)),settings!$D$3:$E$60,2,FALSE),UPPER(TRIM($B58))))</f>
        <v/>
      </c>
      <c r="D58">
        <f>IF($A58="","",$A58&amp;"V"&amp;$C58&amp;settings!$B$5&amp;" Curncy")</f>
        <v/>
      </c>
      <c r="E58">
        <f>IF($A58="","",$A58&amp;"25R"&amp;$C58&amp;settings!$B$5&amp;" Curncy")</f>
        <v/>
      </c>
      <c r="F58">
        <f>IF($A58="","",$A58&amp;"10R"&amp;$C58&amp;settings!$B$5&amp;" Curncy")</f>
        <v/>
      </c>
      <c r="G58">
        <f>IF($A58="","",$A58&amp;"25B"&amp;$C58&amp;settings!$B$5&amp;" Curncy")</f>
        <v/>
      </c>
      <c r="H58">
        <f>IF($A58="","",$A58&amp;"10B"&amp;$C58&amp;settings!$B$5&amp;" Curncy")</f>
        <v/>
      </c>
      <c r="I58">
        <f>IF(D58="","",BDP(D58,settings!$B$4))</f>
        <v/>
      </c>
      <c r="J58">
        <f>IF(E58="","",BDP(E58,settings!$B$4))</f>
        <v/>
      </c>
      <c r="K58">
        <f>IF(F58="","",BDP(F58,settings!$B$4))</f>
        <v/>
      </c>
      <c r="L58">
        <f>IF(G58="","",BDP(G58,settings!$B$4))</f>
        <v/>
      </c>
      <c r="M58">
        <f>IF(H58="","",BDP(H58,settings!$B$4))</f>
        <v/>
      </c>
    </row>
    <row r="59">
      <c r="A59">
        <f>IF(overlay!$A59="","",overlay!$A59)</f>
        <v/>
      </c>
      <c r="B59">
        <f>IF(overlay!$B59="","",overlay!$B59)</f>
        <v/>
      </c>
      <c r="C59">
        <f>IF($B59="","",IFERROR(VLOOKUP(UPPER(TRIM($B59)),settings!$D$3:$E$60,2,FALSE),UPPER(TRIM($B59))))</f>
        <v/>
      </c>
      <c r="D59">
        <f>IF($A59="","",$A59&amp;"V"&amp;$C59&amp;settings!$B$5&amp;" Curncy")</f>
        <v/>
      </c>
      <c r="E59">
        <f>IF($A59="","",$A59&amp;"25R"&amp;$C59&amp;settings!$B$5&amp;" Curncy")</f>
        <v/>
      </c>
      <c r="F59">
        <f>IF($A59="","",$A59&amp;"10R"&amp;$C59&amp;settings!$B$5&amp;" Curncy")</f>
        <v/>
      </c>
      <c r="G59">
        <f>IF($A59="","",$A59&amp;"25B"&amp;$C59&amp;settings!$B$5&amp;" Curncy")</f>
        <v/>
      </c>
      <c r="H59">
        <f>IF($A59="","",$A59&amp;"10B"&amp;$C59&amp;settings!$B$5&amp;" Curncy")</f>
        <v/>
      </c>
      <c r="I59">
        <f>IF(D59="","",BDP(D59,settings!$B$4))</f>
        <v/>
      </c>
      <c r="J59">
        <f>IF(E59="","",BDP(E59,settings!$B$4))</f>
        <v/>
      </c>
      <c r="K59">
        <f>IF(F59="","",BDP(F59,settings!$B$4))</f>
        <v/>
      </c>
      <c r="L59">
        <f>IF(G59="","",BDP(G59,settings!$B$4))</f>
        <v/>
      </c>
      <c r="M59">
        <f>IF(H59="","",BDP(H59,settings!$B$4))</f>
        <v/>
      </c>
    </row>
    <row r="60">
      <c r="A60">
        <f>IF(overlay!$A60="","",overlay!$A60)</f>
        <v/>
      </c>
      <c r="B60">
        <f>IF(overlay!$B60="","",overlay!$B60)</f>
        <v/>
      </c>
      <c r="C60">
        <f>IF($B60="","",IFERROR(VLOOKUP(UPPER(TRIM($B60)),settings!$D$3:$E$60,2,FALSE),UPPER(TRIM($B60))))</f>
        <v/>
      </c>
      <c r="D60">
        <f>IF($A60="","",$A60&amp;"V"&amp;$C60&amp;settings!$B$5&amp;" Curncy")</f>
        <v/>
      </c>
      <c r="E60">
        <f>IF($A60="","",$A60&amp;"25R"&amp;$C60&amp;settings!$B$5&amp;" Curncy")</f>
        <v/>
      </c>
      <c r="F60">
        <f>IF($A60="","",$A60&amp;"10R"&amp;$C60&amp;settings!$B$5&amp;" Curncy")</f>
        <v/>
      </c>
      <c r="G60">
        <f>IF($A60="","",$A60&amp;"25B"&amp;$C60&amp;settings!$B$5&amp;" Curncy")</f>
        <v/>
      </c>
      <c r="H60">
        <f>IF($A60="","",$A60&amp;"10B"&amp;$C60&amp;settings!$B$5&amp;" Curncy")</f>
        <v/>
      </c>
      <c r="I60">
        <f>IF(D60="","",BDP(D60,settings!$B$4))</f>
        <v/>
      </c>
      <c r="J60">
        <f>IF(E60="","",BDP(E60,settings!$B$4))</f>
        <v/>
      </c>
      <c r="K60">
        <f>IF(F60="","",BDP(F60,settings!$B$4))</f>
        <v/>
      </c>
      <c r="L60">
        <f>IF(G60="","",BDP(G60,settings!$B$4))</f>
        <v/>
      </c>
      <c r="M60">
        <f>IF(H60="","",BDP(H60,settings!$B$4))</f>
        <v/>
      </c>
    </row>
    <row r="61">
      <c r="A61">
        <f>IF(overlay!$A61="","",overlay!$A61)</f>
        <v/>
      </c>
      <c r="B61">
        <f>IF(overlay!$B61="","",overlay!$B61)</f>
        <v/>
      </c>
      <c r="C61">
        <f>IF($B61="","",IFERROR(VLOOKUP(UPPER(TRIM($B61)),settings!$D$3:$E$60,2,FALSE),UPPER(TRIM($B61))))</f>
        <v/>
      </c>
      <c r="D61">
        <f>IF($A61="","",$A61&amp;"V"&amp;$C61&amp;settings!$B$5&amp;" Curncy")</f>
        <v/>
      </c>
      <c r="E61">
        <f>IF($A61="","",$A61&amp;"25R"&amp;$C61&amp;settings!$B$5&amp;" Curncy")</f>
        <v/>
      </c>
      <c r="F61">
        <f>IF($A61="","",$A61&amp;"10R"&amp;$C61&amp;settings!$B$5&amp;" Curncy")</f>
        <v/>
      </c>
      <c r="G61">
        <f>IF($A61="","",$A61&amp;"25B"&amp;$C61&amp;settings!$B$5&amp;" Curncy")</f>
        <v/>
      </c>
      <c r="H61">
        <f>IF($A61="","",$A61&amp;"10B"&amp;$C61&amp;settings!$B$5&amp;" Curncy")</f>
        <v/>
      </c>
      <c r="I61">
        <f>IF(D61="","",BDP(D61,settings!$B$4))</f>
        <v/>
      </c>
      <c r="J61">
        <f>IF(E61="","",BDP(E61,settings!$B$4))</f>
        <v/>
      </c>
      <c r="K61">
        <f>IF(F61="","",BDP(F61,settings!$B$4))</f>
        <v/>
      </c>
      <c r="L61">
        <f>IF(G61="","",BDP(G61,settings!$B$4))</f>
        <v/>
      </c>
      <c r="M61">
        <f>IF(H61="","",BDP(H61,settings!$B$4))</f>
        <v/>
      </c>
    </row>
    <row r="62">
      <c r="A62">
        <f>IF(overlay!$A62="","",overlay!$A62)</f>
        <v/>
      </c>
      <c r="B62">
        <f>IF(overlay!$B62="","",overlay!$B62)</f>
        <v/>
      </c>
      <c r="C62">
        <f>IF($B62="","",IFERROR(VLOOKUP(UPPER(TRIM($B62)),settings!$D$3:$E$60,2,FALSE),UPPER(TRIM($B62))))</f>
        <v/>
      </c>
      <c r="D62">
        <f>IF($A62="","",$A62&amp;"V"&amp;$C62&amp;settings!$B$5&amp;" Curncy")</f>
        <v/>
      </c>
      <c r="E62">
        <f>IF($A62="","",$A62&amp;"25R"&amp;$C62&amp;settings!$B$5&amp;" Curncy")</f>
        <v/>
      </c>
      <c r="F62">
        <f>IF($A62="","",$A62&amp;"10R"&amp;$C62&amp;settings!$B$5&amp;" Curncy")</f>
        <v/>
      </c>
      <c r="G62">
        <f>IF($A62="","",$A62&amp;"25B"&amp;$C62&amp;settings!$B$5&amp;" Curncy")</f>
        <v/>
      </c>
      <c r="H62">
        <f>IF($A62="","",$A62&amp;"10B"&amp;$C62&amp;settings!$B$5&amp;" Curncy")</f>
        <v/>
      </c>
      <c r="I62">
        <f>IF(D62="","",BDP(D62,settings!$B$4))</f>
        <v/>
      </c>
      <c r="J62">
        <f>IF(E62="","",BDP(E62,settings!$B$4))</f>
        <v/>
      </c>
      <c r="K62">
        <f>IF(F62="","",BDP(F62,settings!$B$4))</f>
        <v/>
      </c>
      <c r="L62">
        <f>IF(G62="","",BDP(G62,settings!$B$4))</f>
        <v/>
      </c>
      <c r="M62">
        <f>IF(H62="","",BDP(H62,settings!$B$4))</f>
        <v/>
      </c>
    </row>
    <row r="63">
      <c r="A63">
        <f>IF(overlay!$A63="","",overlay!$A63)</f>
        <v/>
      </c>
      <c r="B63">
        <f>IF(overlay!$B63="","",overlay!$B63)</f>
        <v/>
      </c>
      <c r="C63">
        <f>IF($B63="","",IFERROR(VLOOKUP(UPPER(TRIM($B63)),settings!$D$3:$E$60,2,FALSE),UPPER(TRIM($B63))))</f>
        <v/>
      </c>
      <c r="D63">
        <f>IF($A63="","",$A63&amp;"V"&amp;$C63&amp;settings!$B$5&amp;" Curncy")</f>
        <v/>
      </c>
      <c r="E63">
        <f>IF($A63="","",$A63&amp;"25R"&amp;$C63&amp;settings!$B$5&amp;" Curncy")</f>
        <v/>
      </c>
      <c r="F63">
        <f>IF($A63="","",$A63&amp;"10R"&amp;$C63&amp;settings!$B$5&amp;" Curncy")</f>
        <v/>
      </c>
      <c r="G63">
        <f>IF($A63="","",$A63&amp;"25B"&amp;$C63&amp;settings!$B$5&amp;" Curncy")</f>
        <v/>
      </c>
      <c r="H63">
        <f>IF($A63="","",$A63&amp;"10B"&amp;$C63&amp;settings!$B$5&amp;" Curncy")</f>
        <v/>
      </c>
      <c r="I63">
        <f>IF(D63="","",BDP(D63,settings!$B$4))</f>
        <v/>
      </c>
      <c r="J63">
        <f>IF(E63="","",BDP(E63,settings!$B$4))</f>
        <v/>
      </c>
      <c r="K63">
        <f>IF(F63="","",BDP(F63,settings!$B$4))</f>
        <v/>
      </c>
      <c r="L63">
        <f>IF(G63="","",BDP(G63,settings!$B$4))</f>
        <v/>
      </c>
      <c r="M63">
        <f>IF(H63="","",BDP(H63,settings!$B$4))</f>
        <v/>
      </c>
    </row>
    <row r="64">
      <c r="A64">
        <f>IF(overlay!$A64="","",overlay!$A64)</f>
        <v/>
      </c>
      <c r="B64">
        <f>IF(overlay!$B64="","",overlay!$B64)</f>
        <v/>
      </c>
      <c r="C64">
        <f>IF($B64="","",IFERROR(VLOOKUP(UPPER(TRIM($B64)),settings!$D$3:$E$60,2,FALSE),UPPER(TRIM($B64))))</f>
        <v/>
      </c>
      <c r="D64">
        <f>IF($A64="","",$A64&amp;"V"&amp;$C64&amp;settings!$B$5&amp;" Curncy")</f>
        <v/>
      </c>
      <c r="E64">
        <f>IF($A64="","",$A64&amp;"25R"&amp;$C64&amp;settings!$B$5&amp;" Curncy")</f>
        <v/>
      </c>
      <c r="F64">
        <f>IF($A64="","",$A64&amp;"10R"&amp;$C64&amp;settings!$B$5&amp;" Curncy")</f>
        <v/>
      </c>
      <c r="G64">
        <f>IF($A64="","",$A64&amp;"25B"&amp;$C64&amp;settings!$B$5&amp;" Curncy")</f>
        <v/>
      </c>
      <c r="H64">
        <f>IF($A64="","",$A64&amp;"10B"&amp;$C64&amp;settings!$B$5&amp;" Curncy")</f>
        <v/>
      </c>
      <c r="I64">
        <f>IF(D64="","",BDP(D64,settings!$B$4))</f>
        <v/>
      </c>
      <c r="J64">
        <f>IF(E64="","",BDP(E64,settings!$B$4))</f>
        <v/>
      </c>
      <c r="K64">
        <f>IF(F64="","",BDP(F64,settings!$B$4))</f>
        <v/>
      </c>
      <c r="L64">
        <f>IF(G64="","",BDP(G64,settings!$B$4))</f>
        <v/>
      </c>
      <c r="M64">
        <f>IF(H64="","",BDP(H64,settings!$B$4))</f>
        <v/>
      </c>
    </row>
    <row r="65">
      <c r="A65">
        <f>IF(overlay!$A65="","",overlay!$A65)</f>
        <v/>
      </c>
      <c r="B65">
        <f>IF(overlay!$B65="","",overlay!$B65)</f>
        <v/>
      </c>
      <c r="C65">
        <f>IF($B65="","",IFERROR(VLOOKUP(UPPER(TRIM($B65)),settings!$D$3:$E$60,2,FALSE),UPPER(TRIM($B65))))</f>
        <v/>
      </c>
      <c r="D65">
        <f>IF($A65="","",$A65&amp;"V"&amp;$C65&amp;settings!$B$5&amp;" Curncy")</f>
        <v/>
      </c>
      <c r="E65">
        <f>IF($A65="","",$A65&amp;"25R"&amp;$C65&amp;settings!$B$5&amp;" Curncy")</f>
        <v/>
      </c>
      <c r="F65">
        <f>IF($A65="","",$A65&amp;"10R"&amp;$C65&amp;settings!$B$5&amp;" Curncy")</f>
        <v/>
      </c>
      <c r="G65">
        <f>IF($A65="","",$A65&amp;"25B"&amp;$C65&amp;settings!$B$5&amp;" Curncy")</f>
        <v/>
      </c>
      <c r="H65">
        <f>IF($A65="","",$A65&amp;"10B"&amp;$C65&amp;settings!$B$5&amp;" Curncy")</f>
        <v/>
      </c>
      <c r="I65">
        <f>IF(D65="","",BDP(D65,settings!$B$4))</f>
        <v/>
      </c>
      <c r="J65">
        <f>IF(E65="","",BDP(E65,settings!$B$4))</f>
        <v/>
      </c>
      <c r="K65">
        <f>IF(F65="","",BDP(F65,settings!$B$4))</f>
        <v/>
      </c>
      <c r="L65">
        <f>IF(G65="","",BDP(G65,settings!$B$4))</f>
        <v/>
      </c>
      <c r="M65">
        <f>IF(H65="","",BDP(H65,settings!$B$4))</f>
        <v/>
      </c>
    </row>
    <row r="66">
      <c r="A66">
        <f>IF(overlay!$A66="","",overlay!$A66)</f>
        <v/>
      </c>
      <c r="B66">
        <f>IF(overlay!$B66="","",overlay!$B66)</f>
        <v/>
      </c>
      <c r="C66">
        <f>IF($B66="","",IFERROR(VLOOKUP(UPPER(TRIM($B66)),settings!$D$3:$E$60,2,FALSE),UPPER(TRIM($B66))))</f>
        <v/>
      </c>
      <c r="D66">
        <f>IF($A66="","",$A66&amp;"V"&amp;$C66&amp;settings!$B$5&amp;" Curncy")</f>
        <v/>
      </c>
      <c r="E66">
        <f>IF($A66="","",$A66&amp;"25R"&amp;$C66&amp;settings!$B$5&amp;" Curncy")</f>
        <v/>
      </c>
      <c r="F66">
        <f>IF($A66="","",$A66&amp;"10R"&amp;$C66&amp;settings!$B$5&amp;" Curncy")</f>
        <v/>
      </c>
      <c r="G66">
        <f>IF($A66="","",$A66&amp;"25B"&amp;$C66&amp;settings!$B$5&amp;" Curncy")</f>
        <v/>
      </c>
      <c r="H66">
        <f>IF($A66="","",$A66&amp;"10B"&amp;$C66&amp;settings!$B$5&amp;" Curncy")</f>
        <v/>
      </c>
      <c r="I66">
        <f>IF(D66="","",BDP(D66,settings!$B$4))</f>
        <v/>
      </c>
      <c r="J66">
        <f>IF(E66="","",BDP(E66,settings!$B$4))</f>
        <v/>
      </c>
      <c r="K66">
        <f>IF(F66="","",BDP(F66,settings!$B$4))</f>
        <v/>
      </c>
      <c r="L66">
        <f>IF(G66="","",BDP(G66,settings!$B$4))</f>
        <v/>
      </c>
      <c r="M66">
        <f>IF(H66="","",BDP(H66,settings!$B$4))</f>
        <v/>
      </c>
    </row>
    <row r="67">
      <c r="A67">
        <f>IF(overlay!$A67="","",overlay!$A67)</f>
        <v/>
      </c>
      <c r="B67">
        <f>IF(overlay!$B67="","",overlay!$B67)</f>
        <v/>
      </c>
      <c r="C67">
        <f>IF($B67="","",IFERROR(VLOOKUP(UPPER(TRIM($B67)),settings!$D$3:$E$60,2,FALSE),UPPER(TRIM($B67))))</f>
        <v/>
      </c>
      <c r="D67">
        <f>IF($A67="","",$A67&amp;"V"&amp;$C67&amp;settings!$B$5&amp;" Curncy")</f>
        <v/>
      </c>
      <c r="E67">
        <f>IF($A67="","",$A67&amp;"25R"&amp;$C67&amp;settings!$B$5&amp;" Curncy")</f>
        <v/>
      </c>
      <c r="F67">
        <f>IF($A67="","",$A67&amp;"10R"&amp;$C67&amp;settings!$B$5&amp;" Curncy")</f>
        <v/>
      </c>
      <c r="G67">
        <f>IF($A67="","",$A67&amp;"25B"&amp;$C67&amp;settings!$B$5&amp;" Curncy")</f>
        <v/>
      </c>
      <c r="H67">
        <f>IF($A67="","",$A67&amp;"10B"&amp;$C67&amp;settings!$B$5&amp;" Curncy")</f>
        <v/>
      </c>
      <c r="I67">
        <f>IF(D67="","",BDP(D67,settings!$B$4))</f>
        <v/>
      </c>
      <c r="J67">
        <f>IF(E67="","",BDP(E67,settings!$B$4))</f>
        <v/>
      </c>
      <c r="K67">
        <f>IF(F67="","",BDP(F67,settings!$B$4))</f>
        <v/>
      </c>
      <c r="L67">
        <f>IF(G67="","",BDP(G67,settings!$B$4))</f>
        <v/>
      </c>
      <c r="M67">
        <f>IF(H67="","",BDP(H67,settings!$B$4))</f>
        <v/>
      </c>
    </row>
    <row r="68">
      <c r="A68">
        <f>IF(overlay!$A68="","",overlay!$A68)</f>
        <v/>
      </c>
      <c r="B68">
        <f>IF(overlay!$B68="","",overlay!$B68)</f>
        <v/>
      </c>
      <c r="C68">
        <f>IF($B68="","",IFERROR(VLOOKUP(UPPER(TRIM($B68)),settings!$D$3:$E$60,2,FALSE),UPPER(TRIM($B68))))</f>
        <v/>
      </c>
      <c r="D68">
        <f>IF($A68="","",$A68&amp;"V"&amp;$C68&amp;settings!$B$5&amp;" Curncy")</f>
        <v/>
      </c>
      <c r="E68">
        <f>IF($A68="","",$A68&amp;"25R"&amp;$C68&amp;settings!$B$5&amp;" Curncy")</f>
        <v/>
      </c>
      <c r="F68">
        <f>IF($A68="","",$A68&amp;"10R"&amp;$C68&amp;settings!$B$5&amp;" Curncy")</f>
        <v/>
      </c>
      <c r="G68">
        <f>IF($A68="","",$A68&amp;"25B"&amp;$C68&amp;settings!$B$5&amp;" Curncy")</f>
        <v/>
      </c>
      <c r="H68">
        <f>IF($A68="","",$A68&amp;"10B"&amp;$C68&amp;settings!$B$5&amp;" Curncy")</f>
        <v/>
      </c>
      <c r="I68">
        <f>IF(D68="","",BDP(D68,settings!$B$4))</f>
        <v/>
      </c>
      <c r="J68">
        <f>IF(E68="","",BDP(E68,settings!$B$4))</f>
        <v/>
      </c>
      <c r="K68">
        <f>IF(F68="","",BDP(F68,settings!$B$4))</f>
        <v/>
      </c>
      <c r="L68">
        <f>IF(G68="","",BDP(G68,settings!$B$4))</f>
        <v/>
      </c>
      <c r="M68">
        <f>IF(H68="","",BDP(H68,settings!$B$4))</f>
        <v/>
      </c>
    </row>
    <row r="69">
      <c r="A69">
        <f>IF(overlay!$A69="","",overlay!$A69)</f>
        <v/>
      </c>
      <c r="B69">
        <f>IF(overlay!$B69="","",overlay!$B69)</f>
        <v/>
      </c>
      <c r="C69">
        <f>IF($B69="","",IFERROR(VLOOKUP(UPPER(TRIM($B69)),settings!$D$3:$E$60,2,FALSE),UPPER(TRIM($B69))))</f>
        <v/>
      </c>
      <c r="D69">
        <f>IF($A69="","",$A69&amp;"V"&amp;$C69&amp;settings!$B$5&amp;" Curncy")</f>
        <v/>
      </c>
      <c r="E69">
        <f>IF($A69="","",$A69&amp;"25R"&amp;$C69&amp;settings!$B$5&amp;" Curncy")</f>
        <v/>
      </c>
      <c r="F69">
        <f>IF($A69="","",$A69&amp;"10R"&amp;$C69&amp;settings!$B$5&amp;" Curncy")</f>
        <v/>
      </c>
      <c r="G69">
        <f>IF($A69="","",$A69&amp;"25B"&amp;$C69&amp;settings!$B$5&amp;" Curncy")</f>
        <v/>
      </c>
      <c r="H69">
        <f>IF($A69="","",$A69&amp;"10B"&amp;$C69&amp;settings!$B$5&amp;" Curncy")</f>
        <v/>
      </c>
      <c r="I69">
        <f>IF(D69="","",BDP(D69,settings!$B$4))</f>
        <v/>
      </c>
      <c r="J69">
        <f>IF(E69="","",BDP(E69,settings!$B$4))</f>
        <v/>
      </c>
      <c r="K69">
        <f>IF(F69="","",BDP(F69,settings!$B$4))</f>
        <v/>
      </c>
      <c r="L69">
        <f>IF(G69="","",BDP(G69,settings!$B$4))</f>
        <v/>
      </c>
      <c r="M69">
        <f>IF(H69="","",BDP(H69,settings!$B$4))</f>
        <v/>
      </c>
    </row>
    <row r="70">
      <c r="A70">
        <f>IF(overlay!$A70="","",overlay!$A70)</f>
        <v/>
      </c>
      <c r="B70">
        <f>IF(overlay!$B70="","",overlay!$B70)</f>
        <v/>
      </c>
      <c r="C70">
        <f>IF($B70="","",IFERROR(VLOOKUP(UPPER(TRIM($B70)),settings!$D$3:$E$60,2,FALSE),UPPER(TRIM($B70))))</f>
        <v/>
      </c>
      <c r="D70">
        <f>IF($A70="","",$A70&amp;"V"&amp;$C70&amp;settings!$B$5&amp;" Curncy")</f>
        <v/>
      </c>
      <c r="E70">
        <f>IF($A70="","",$A70&amp;"25R"&amp;$C70&amp;settings!$B$5&amp;" Curncy")</f>
        <v/>
      </c>
      <c r="F70">
        <f>IF($A70="","",$A70&amp;"10R"&amp;$C70&amp;settings!$B$5&amp;" Curncy")</f>
        <v/>
      </c>
      <c r="G70">
        <f>IF($A70="","",$A70&amp;"25B"&amp;$C70&amp;settings!$B$5&amp;" Curncy")</f>
        <v/>
      </c>
      <c r="H70">
        <f>IF($A70="","",$A70&amp;"10B"&amp;$C70&amp;settings!$B$5&amp;" Curncy")</f>
        <v/>
      </c>
      <c r="I70">
        <f>IF(D70="","",BDP(D70,settings!$B$4))</f>
        <v/>
      </c>
      <c r="J70">
        <f>IF(E70="","",BDP(E70,settings!$B$4))</f>
        <v/>
      </c>
      <c r="K70">
        <f>IF(F70="","",BDP(F70,settings!$B$4))</f>
        <v/>
      </c>
      <c r="L70">
        <f>IF(G70="","",BDP(G70,settings!$B$4))</f>
        <v/>
      </c>
      <c r="M70">
        <f>IF(H70="","",BDP(H70,settings!$B$4))</f>
        <v/>
      </c>
    </row>
    <row r="71">
      <c r="A71">
        <f>IF(overlay!$A71="","",overlay!$A71)</f>
        <v/>
      </c>
      <c r="B71">
        <f>IF(overlay!$B71="","",overlay!$B71)</f>
        <v/>
      </c>
      <c r="C71">
        <f>IF($B71="","",IFERROR(VLOOKUP(UPPER(TRIM($B71)),settings!$D$3:$E$60,2,FALSE),UPPER(TRIM($B71))))</f>
        <v/>
      </c>
      <c r="D71">
        <f>IF($A71="","",$A71&amp;"V"&amp;$C71&amp;settings!$B$5&amp;" Curncy")</f>
        <v/>
      </c>
      <c r="E71">
        <f>IF($A71="","",$A71&amp;"25R"&amp;$C71&amp;settings!$B$5&amp;" Curncy")</f>
        <v/>
      </c>
      <c r="F71">
        <f>IF($A71="","",$A71&amp;"10R"&amp;$C71&amp;settings!$B$5&amp;" Curncy")</f>
        <v/>
      </c>
      <c r="G71">
        <f>IF($A71="","",$A71&amp;"25B"&amp;$C71&amp;settings!$B$5&amp;" Curncy")</f>
        <v/>
      </c>
      <c r="H71">
        <f>IF($A71="","",$A71&amp;"10B"&amp;$C71&amp;settings!$B$5&amp;" Curncy")</f>
        <v/>
      </c>
      <c r="I71">
        <f>IF(D71="","",BDP(D71,settings!$B$4))</f>
        <v/>
      </c>
      <c r="J71">
        <f>IF(E71="","",BDP(E71,settings!$B$4))</f>
        <v/>
      </c>
      <c r="K71">
        <f>IF(F71="","",BDP(F71,settings!$B$4))</f>
        <v/>
      </c>
      <c r="L71">
        <f>IF(G71="","",BDP(G71,settings!$B$4))</f>
        <v/>
      </c>
      <c r="M71">
        <f>IF(H71="","",BDP(H71,settings!$B$4))</f>
        <v/>
      </c>
    </row>
    <row r="72">
      <c r="A72">
        <f>IF(overlay!$A72="","",overlay!$A72)</f>
        <v/>
      </c>
      <c r="B72">
        <f>IF(overlay!$B72="","",overlay!$B72)</f>
        <v/>
      </c>
      <c r="C72">
        <f>IF($B72="","",IFERROR(VLOOKUP(UPPER(TRIM($B72)),settings!$D$3:$E$60,2,FALSE),UPPER(TRIM($B72))))</f>
        <v/>
      </c>
      <c r="D72">
        <f>IF($A72="","",$A72&amp;"V"&amp;$C72&amp;settings!$B$5&amp;" Curncy")</f>
        <v/>
      </c>
      <c r="E72">
        <f>IF($A72="","",$A72&amp;"25R"&amp;$C72&amp;settings!$B$5&amp;" Curncy")</f>
        <v/>
      </c>
      <c r="F72">
        <f>IF($A72="","",$A72&amp;"10R"&amp;$C72&amp;settings!$B$5&amp;" Curncy")</f>
        <v/>
      </c>
      <c r="G72">
        <f>IF($A72="","",$A72&amp;"25B"&amp;$C72&amp;settings!$B$5&amp;" Curncy")</f>
        <v/>
      </c>
      <c r="H72">
        <f>IF($A72="","",$A72&amp;"10B"&amp;$C72&amp;settings!$B$5&amp;" Curncy")</f>
        <v/>
      </c>
      <c r="I72">
        <f>IF(D72="","",BDP(D72,settings!$B$4))</f>
        <v/>
      </c>
      <c r="J72">
        <f>IF(E72="","",BDP(E72,settings!$B$4))</f>
        <v/>
      </c>
      <c r="K72">
        <f>IF(F72="","",BDP(F72,settings!$B$4))</f>
        <v/>
      </c>
      <c r="L72">
        <f>IF(G72="","",BDP(G72,settings!$B$4))</f>
        <v/>
      </c>
      <c r="M72">
        <f>IF(H72="","",BDP(H72,settings!$B$4))</f>
        <v/>
      </c>
    </row>
    <row r="73">
      <c r="A73">
        <f>IF(overlay!$A73="","",overlay!$A73)</f>
        <v/>
      </c>
      <c r="B73">
        <f>IF(overlay!$B73="","",overlay!$B73)</f>
        <v/>
      </c>
      <c r="C73">
        <f>IF($B73="","",IFERROR(VLOOKUP(UPPER(TRIM($B73)),settings!$D$3:$E$60,2,FALSE),UPPER(TRIM($B73))))</f>
        <v/>
      </c>
      <c r="D73">
        <f>IF($A73="","",$A73&amp;"V"&amp;$C73&amp;settings!$B$5&amp;" Curncy")</f>
        <v/>
      </c>
      <c r="E73">
        <f>IF($A73="","",$A73&amp;"25R"&amp;$C73&amp;settings!$B$5&amp;" Curncy")</f>
        <v/>
      </c>
      <c r="F73">
        <f>IF($A73="","",$A73&amp;"10R"&amp;$C73&amp;settings!$B$5&amp;" Curncy")</f>
        <v/>
      </c>
      <c r="G73">
        <f>IF($A73="","",$A73&amp;"25B"&amp;$C73&amp;settings!$B$5&amp;" Curncy")</f>
        <v/>
      </c>
      <c r="H73">
        <f>IF($A73="","",$A73&amp;"10B"&amp;$C73&amp;settings!$B$5&amp;" Curncy")</f>
        <v/>
      </c>
      <c r="I73">
        <f>IF(D73="","",BDP(D73,settings!$B$4))</f>
        <v/>
      </c>
      <c r="J73">
        <f>IF(E73="","",BDP(E73,settings!$B$4))</f>
        <v/>
      </c>
      <c r="K73">
        <f>IF(F73="","",BDP(F73,settings!$B$4))</f>
        <v/>
      </c>
      <c r="L73">
        <f>IF(G73="","",BDP(G73,settings!$B$4))</f>
        <v/>
      </c>
      <c r="M73">
        <f>IF(H73="","",BDP(H73,settings!$B$4))</f>
        <v/>
      </c>
    </row>
    <row r="74">
      <c r="A74">
        <f>IF(overlay!$A74="","",overlay!$A74)</f>
        <v/>
      </c>
      <c r="B74">
        <f>IF(overlay!$B74="","",overlay!$B74)</f>
        <v/>
      </c>
      <c r="C74">
        <f>IF($B74="","",IFERROR(VLOOKUP(UPPER(TRIM($B74)),settings!$D$3:$E$60,2,FALSE),UPPER(TRIM($B74))))</f>
        <v/>
      </c>
      <c r="D74">
        <f>IF($A74="","",$A74&amp;"V"&amp;$C74&amp;settings!$B$5&amp;" Curncy")</f>
        <v/>
      </c>
      <c r="E74">
        <f>IF($A74="","",$A74&amp;"25R"&amp;$C74&amp;settings!$B$5&amp;" Curncy")</f>
        <v/>
      </c>
      <c r="F74">
        <f>IF($A74="","",$A74&amp;"10R"&amp;$C74&amp;settings!$B$5&amp;" Curncy")</f>
        <v/>
      </c>
      <c r="G74">
        <f>IF($A74="","",$A74&amp;"25B"&amp;$C74&amp;settings!$B$5&amp;" Curncy")</f>
        <v/>
      </c>
      <c r="H74">
        <f>IF($A74="","",$A74&amp;"10B"&amp;$C74&amp;settings!$B$5&amp;" Curncy")</f>
        <v/>
      </c>
      <c r="I74">
        <f>IF(D74="","",BDP(D74,settings!$B$4))</f>
        <v/>
      </c>
      <c r="J74">
        <f>IF(E74="","",BDP(E74,settings!$B$4))</f>
        <v/>
      </c>
      <c r="K74">
        <f>IF(F74="","",BDP(F74,settings!$B$4))</f>
        <v/>
      </c>
      <c r="L74">
        <f>IF(G74="","",BDP(G74,settings!$B$4))</f>
        <v/>
      </c>
      <c r="M74">
        <f>IF(H74="","",BDP(H74,settings!$B$4))</f>
        <v/>
      </c>
    </row>
    <row r="75">
      <c r="A75">
        <f>IF(overlay!$A75="","",overlay!$A75)</f>
        <v/>
      </c>
      <c r="B75">
        <f>IF(overlay!$B75="","",overlay!$B75)</f>
        <v/>
      </c>
      <c r="C75">
        <f>IF($B75="","",IFERROR(VLOOKUP(UPPER(TRIM($B75)),settings!$D$3:$E$60,2,FALSE),UPPER(TRIM($B75))))</f>
        <v/>
      </c>
      <c r="D75">
        <f>IF($A75="","",$A75&amp;"V"&amp;$C75&amp;settings!$B$5&amp;" Curncy")</f>
        <v/>
      </c>
      <c r="E75">
        <f>IF($A75="","",$A75&amp;"25R"&amp;$C75&amp;settings!$B$5&amp;" Curncy")</f>
        <v/>
      </c>
      <c r="F75">
        <f>IF($A75="","",$A75&amp;"10R"&amp;$C75&amp;settings!$B$5&amp;" Curncy")</f>
        <v/>
      </c>
      <c r="G75">
        <f>IF($A75="","",$A75&amp;"25B"&amp;$C75&amp;settings!$B$5&amp;" Curncy")</f>
        <v/>
      </c>
      <c r="H75">
        <f>IF($A75="","",$A75&amp;"10B"&amp;$C75&amp;settings!$B$5&amp;" Curncy")</f>
        <v/>
      </c>
      <c r="I75">
        <f>IF(D75="","",BDP(D75,settings!$B$4))</f>
        <v/>
      </c>
      <c r="J75">
        <f>IF(E75="","",BDP(E75,settings!$B$4))</f>
        <v/>
      </c>
      <c r="K75">
        <f>IF(F75="","",BDP(F75,settings!$B$4))</f>
        <v/>
      </c>
      <c r="L75">
        <f>IF(G75="","",BDP(G75,settings!$B$4))</f>
        <v/>
      </c>
      <c r="M75">
        <f>IF(H75="","",BDP(H75,settings!$B$4))</f>
        <v/>
      </c>
    </row>
    <row r="76">
      <c r="A76">
        <f>IF(overlay!$A76="","",overlay!$A76)</f>
        <v/>
      </c>
      <c r="B76">
        <f>IF(overlay!$B76="","",overlay!$B76)</f>
        <v/>
      </c>
      <c r="C76">
        <f>IF($B76="","",IFERROR(VLOOKUP(UPPER(TRIM($B76)),settings!$D$3:$E$60,2,FALSE),UPPER(TRIM($B76))))</f>
        <v/>
      </c>
      <c r="D76">
        <f>IF($A76="","",$A76&amp;"V"&amp;$C76&amp;settings!$B$5&amp;" Curncy")</f>
        <v/>
      </c>
      <c r="E76">
        <f>IF($A76="","",$A76&amp;"25R"&amp;$C76&amp;settings!$B$5&amp;" Curncy")</f>
        <v/>
      </c>
      <c r="F76">
        <f>IF($A76="","",$A76&amp;"10R"&amp;$C76&amp;settings!$B$5&amp;" Curncy")</f>
        <v/>
      </c>
      <c r="G76">
        <f>IF($A76="","",$A76&amp;"25B"&amp;$C76&amp;settings!$B$5&amp;" Curncy")</f>
        <v/>
      </c>
      <c r="H76">
        <f>IF($A76="","",$A76&amp;"10B"&amp;$C76&amp;settings!$B$5&amp;" Curncy")</f>
        <v/>
      </c>
      <c r="I76">
        <f>IF(D76="","",BDP(D76,settings!$B$4))</f>
        <v/>
      </c>
      <c r="J76">
        <f>IF(E76="","",BDP(E76,settings!$B$4))</f>
        <v/>
      </c>
      <c r="K76">
        <f>IF(F76="","",BDP(F76,settings!$B$4))</f>
        <v/>
      </c>
      <c r="L76">
        <f>IF(G76="","",BDP(G76,settings!$B$4))</f>
        <v/>
      </c>
      <c r="M76">
        <f>IF(H76="","",BDP(H76,settings!$B$4))</f>
        <v/>
      </c>
    </row>
    <row r="77">
      <c r="A77">
        <f>IF(overlay!$A77="","",overlay!$A77)</f>
        <v/>
      </c>
      <c r="B77">
        <f>IF(overlay!$B77="","",overlay!$B77)</f>
        <v/>
      </c>
      <c r="C77">
        <f>IF($B77="","",IFERROR(VLOOKUP(UPPER(TRIM($B77)),settings!$D$3:$E$60,2,FALSE),UPPER(TRIM($B77))))</f>
        <v/>
      </c>
      <c r="D77">
        <f>IF($A77="","",$A77&amp;"V"&amp;$C77&amp;settings!$B$5&amp;" Curncy")</f>
        <v/>
      </c>
      <c r="E77">
        <f>IF($A77="","",$A77&amp;"25R"&amp;$C77&amp;settings!$B$5&amp;" Curncy")</f>
        <v/>
      </c>
      <c r="F77">
        <f>IF($A77="","",$A77&amp;"10R"&amp;$C77&amp;settings!$B$5&amp;" Curncy")</f>
        <v/>
      </c>
      <c r="G77">
        <f>IF($A77="","",$A77&amp;"25B"&amp;$C77&amp;settings!$B$5&amp;" Curncy")</f>
        <v/>
      </c>
      <c r="H77">
        <f>IF($A77="","",$A77&amp;"10B"&amp;$C77&amp;settings!$B$5&amp;" Curncy")</f>
        <v/>
      </c>
      <c r="I77">
        <f>IF(D77="","",BDP(D77,settings!$B$4))</f>
        <v/>
      </c>
      <c r="J77">
        <f>IF(E77="","",BDP(E77,settings!$B$4))</f>
        <v/>
      </c>
      <c r="K77">
        <f>IF(F77="","",BDP(F77,settings!$B$4))</f>
        <v/>
      </c>
      <c r="L77">
        <f>IF(G77="","",BDP(G77,settings!$B$4))</f>
        <v/>
      </c>
      <c r="M77">
        <f>IF(H77="","",BDP(H77,settings!$B$4))</f>
        <v/>
      </c>
    </row>
    <row r="78">
      <c r="A78">
        <f>IF(overlay!$A78="","",overlay!$A78)</f>
        <v/>
      </c>
      <c r="B78">
        <f>IF(overlay!$B78="","",overlay!$B78)</f>
        <v/>
      </c>
      <c r="C78">
        <f>IF($B78="","",IFERROR(VLOOKUP(UPPER(TRIM($B78)),settings!$D$3:$E$60,2,FALSE),UPPER(TRIM($B78))))</f>
        <v/>
      </c>
      <c r="D78">
        <f>IF($A78="","",$A78&amp;"V"&amp;$C78&amp;settings!$B$5&amp;" Curncy")</f>
        <v/>
      </c>
      <c r="E78">
        <f>IF($A78="","",$A78&amp;"25R"&amp;$C78&amp;settings!$B$5&amp;" Curncy")</f>
        <v/>
      </c>
      <c r="F78">
        <f>IF($A78="","",$A78&amp;"10R"&amp;$C78&amp;settings!$B$5&amp;" Curncy")</f>
        <v/>
      </c>
      <c r="G78">
        <f>IF($A78="","",$A78&amp;"25B"&amp;$C78&amp;settings!$B$5&amp;" Curncy")</f>
        <v/>
      </c>
      <c r="H78">
        <f>IF($A78="","",$A78&amp;"10B"&amp;$C78&amp;settings!$B$5&amp;" Curncy")</f>
        <v/>
      </c>
      <c r="I78">
        <f>IF(D78="","",BDP(D78,settings!$B$4))</f>
        <v/>
      </c>
      <c r="J78">
        <f>IF(E78="","",BDP(E78,settings!$B$4))</f>
        <v/>
      </c>
      <c r="K78">
        <f>IF(F78="","",BDP(F78,settings!$B$4))</f>
        <v/>
      </c>
      <c r="L78">
        <f>IF(G78="","",BDP(G78,settings!$B$4))</f>
        <v/>
      </c>
      <c r="M78">
        <f>IF(H78="","",BDP(H78,settings!$B$4))</f>
        <v/>
      </c>
    </row>
    <row r="79">
      <c r="A79">
        <f>IF(overlay!$A79="","",overlay!$A79)</f>
        <v/>
      </c>
      <c r="B79">
        <f>IF(overlay!$B79="","",overlay!$B79)</f>
        <v/>
      </c>
      <c r="C79">
        <f>IF($B79="","",IFERROR(VLOOKUP(UPPER(TRIM($B79)),settings!$D$3:$E$60,2,FALSE),UPPER(TRIM($B79))))</f>
        <v/>
      </c>
      <c r="D79">
        <f>IF($A79="","",$A79&amp;"V"&amp;$C79&amp;settings!$B$5&amp;" Curncy")</f>
        <v/>
      </c>
      <c r="E79">
        <f>IF($A79="","",$A79&amp;"25R"&amp;$C79&amp;settings!$B$5&amp;" Curncy")</f>
        <v/>
      </c>
      <c r="F79">
        <f>IF($A79="","",$A79&amp;"10R"&amp;$C79&amp;settings!$B$5&amp;" Curncy")</f>
        <v/>
      </c>
      <c r="G79">
        <f>IF($A79="","",$A79&amp;"25B"&amp;$C79&amp;settings!$B$5&amp;" Curncy")</f>
        <v/>
      </c>
      <c r="H79">
        <f>IF($A79="","",$A79&amp;"10B"&amp;$C79&amp;settings!$B$5&amp;" Curncy")</f>
        <v/>
      </c>
      <c r="I79">
        <f>IF(D79="","",BDP(D79,settings!$B$4))</f>
        <v/>
      </c>
      <c r="J79">
        <f>IF(E79="","",BDP(E79,settings!$B$4))</f>
        <v/>
      </c>
      <c r="K79">
        <f>IF(F79="","",BDP(F79,settings!$B$4))</f>
        <v/>
      </c>
      <c r="L79">
        <f>IF(G79="","",BDP(G79,settings!$B$4))</f>
        <v/>
      </c>
      <c r="M79">
        <f>IF(H79="","",BDP(H79,settings!$B$4))</f>
        <v/>
      </c>
    </row>
    <row r="80">
      <c r="A80">
        <f>IF(overlay!$A80="","",overlay!$A80)</f>
        <v/>
      </c>
      <c r="B80">
        <f>IF(overlay!$B80="","",overlay!$B80)</f>
        <v/>
      </c>
      <c r="C80">
        <f>IF($B80="","",IFERROR(VLOOKUP(UPPER(TRIM($B80)),settings!$D$3:$E$60,2,FALSE),UPPER(TRIM($B80))))</f>
        <v/>
      </c>
      <c r="D80">
        <f>IF($A80="","",$A80&amp;"V"&amp;$C80&amp;settings!$B$5&amp;" Curncy")</f>
        <v/>
      </c>
      <c r="E80">
        <f>IF($A80="","",$A80&amp;"25R"&amp;$C80&amp;settings!$B$5&amp;" Curncy")</f>
        <v/>
      </c>
      <c r="F80">
        <f>IF($A80="","",$A80&amp;"10R"&amp;$C80&amp;settings!$B$5&amp;" Curncy")</f>
        <v/>
      </c>
      <c r="G80">
        <f>IF($A80="","",$A80&amp;"25B"&amp;$C80&amp;settings!$B$5&amp;" Curncy")</f>
        <v/>
      </c>
      <c r="H80">
        <f>IF($A80="","",$A80&amp;"10B"&amp;$C80&amp;settings!$B$5&amp;" Curncy")</f>
        <v/>
      </c>
      <c r="I80">
        <f>IF(D80="","",BDP(D80,settings!$B$4))</f>
        <v/>
      </c>
      <c r="J80">
        <f>IF(E80="","",BDP(E80,settings!$B$4))</f>
        <v/>
      </c>
      <c r="K80">
        <f>IF(F80="","",BDP(F80,settings!$B$4))</f>
        <v/>
      </c>
      <c r="L80">
        <f>IF(G80="","",BDP(G80,settings!$B$4))</f>
        <v/>
      </c>
      <c r="M80">
        <f>IF(H80="","",BDP(H80,settings!$B$4))</f>
        <v/>
      </c>
    </row>
    <row r="81">
      <c r="A81">
        <f>IF(overlay!$A81="","",overlay!$A81)</f>
        <v/>
      </c>
      <c r="B81">
        <f>IF(overlay!$B81="","",overlay!$B81)</f>
        <v/>
      </c>
      <c r="C81">
        <f>IF($B81="","",IFERROR(VLOOKUP(UPPER(TRIM($B81)),settings!$D$3:$E$60,2,FALSE),UPPER(TRIM($B81))))</f>
        <v/>
      </c>
      <c r="D81">
        <f>IF($A81="","",$A81&amp;"V"&amp;$C81&amp;settings!$B$5&amp;" Curncy")</f>
        <v/>
      </c>
      <c r="E81">
        <f>IF($A81="","",$A81&amp;"25R"&amp;$C81&amp;settings!$B$5&amp;" Curncy")</f>
        <v/>
      </c>
      <c r="F81">
        <f>IF($A81="","",$A81&amp;"10R"&amp;$C81&amp;settings!$B$5&amp;" Curncy")</f>
        <v/>
      </c>
      <c r="G81">
        <f>IF($A81="","",$A81&amp;"25B"&amp;$C81&amp;settings!$B$5&amp;" Curncy")</f>
        <v/>
      </c>
      <c r="H81">
        <f>IF($A81="","",$A81&amp;"10B"&amp;$C81&amp;settings!$B$5&amp;" Curncy")</f>
        <v/>
      </c>
      <c r="I81">
        <f>IF(D81="","",BDP(D81,settings!$B$4))</f>
        <v/>
      </c>
      <c r="J81">
        <f>IF(E81="","",BDP(E81,settings!$B$4))</f>
        <v/>
      </c>
      <c r="K81">
        <f>IF(F81="","",BDP(F81,settings!$B$4))</f>
        <v/>
      </c>
      <c r="L81">
        <f>IF(G81="","",BDP(G81,settings!$B$4))</f>
        <v/>
      </c>
      <c r="M81">
        <f>IF(H81="","",BDP(H81,settings!$B$4))</f>
        <v/>
      </c>
    </row>
    <row r="82">
      <c r="A82">
        <f>IF(overlay!$A82="","",overlay!$A82)</f>
        <v/>
      </c>
      <c r="B82">
        <f>IF(overlay!$B82="","",overlay!$B82)</f>
        <v/>
      </c>
      <c r="C82">
        <f>IF($B82="","",IFERROR(VLOOKUP(UPPER(TRIM($B82)),settings!$D$3:$E$60,2,FALSE),UPPER(TRIM($B82))))</f>
        <v/>
      </c>
      <c r="D82">
        <f>IF($A82="","",$A82&amp;"V"&amp;$C82&amp;settings!$B$5&amp;" Curncy")</f>
        <v/>
      </c>
      <c r="E82">
        <f>IF($A82="","",$A82&amp;"25R"&amp;$C82&amp;settings!$B$5&amp;" Curncy")</f>
        <v/>
      </c>
      <c r="F82">
        <f>IF($A82="","",$A82&amp;"10R"&amp;$C82&amp;settings!$B$5&amp;" Curncy")</f>
        <v/>
      </c>
      <c r="G82">
        <f>IF($A82="","",$A82&amp;"25B"&amp;$C82&amp;settings!$B$5&amp;" Curncy")</f>
        <v/>
      </c>
      <c r="H82">
        <f>IF($A82="","",$A82&amp;"10B"&amp;$C82&amp;settings!$B$5&amp;" Curncy")</f>
        <v/>
      </c>
      <c r="I82">
        <f>IF(D82="","",BDP(D82,settings!$B$4))</f>
        <v/>
      </c>
      <c r="J82">
        <f>IF(E82="","",BDP(E82,settings!$B$4))</f>
        <v/>
      </c>
      <c r="K82">
        <f>IF(F82="","",BDP(F82,settings!$B$4))</f>
        <v/>
      </c>
      <c r="L82">
        <f>IF(G82="","",BDP(G82,settings!$B$4))</f>
        <v/>
      </c>
      <c r="M82">
        <f>IF(H82="","",BDP(H82,settings!$B$4))</f>
        <v/>
      </c>
    </row>
    <row r="83">
      <c r="A83">
        <f>IF(overlay!$A83="","",overlay!$A83)</f>
        <v/>
      </c>
      <c r="B83">
        <f>IF(overlay!$B83="","",overlay!$B83)</f>
        <v/>
      </c>
      <c r="C83">
        <f>IF($B83="","",IFERROR(VLOOKUP(UPPER(TRIM($B83)),settings!$D$3:$E$60,2,FALSE),UPPER(TRIM($B83))))</f>
        <v/>
      </c>
      <c r="D83">
        <f>IF($A83="","",$A83&amp;"V"&amp;$C83&amp;settings!$B$5&amp;" Curncy")</f>
        <v/>
      </c>
      <c r="E83">
        <f>IF($A83="","",$A83&amp;"25R"&amp;$C83&amp;settings!$B$5&amp;" Curncy")</f>
        <v/>
      </c>
      <c r="F83">
        <f>IF($A83="","",$A83&amp;"10R"&amp;$C83&amp;settings!$B$5&amp;" Curncy")</f>
        <v/>
      </c>
      <c r="G83">
        <f>IF($A83="","",$A83&amp;"25B"&amp;$C83&amp;settings!$B$5&amp;" Curncy")</f>
        <v/>
      </c>
      <c r="H83">
        <f>IF($A83="","",$A83&amp;"10B"&amp;$C83&amp;settings!$B$5&amp;" Curncy")</f>
        <v/>
      </c>
      <c r="I83">
        <f>IF(D83="","",BDP(D83,settings!$B$4))</f>
        <v/>
      </c>
      <c r="J83">
        <f>IF(E83="","",BDP(E83,settings!$B$4))</f>
        <v/>
      </c>
      <c r="K83">
        <f>IF(F83="","",BDP(F83,settings!$B$4))</f>
        <v/>
      </c>
      <c r="L83">
        <f>IF(G83="","",BDP(G83,settings!$B$4))</f>
        <v/>
      </c>
      <c r="M83">
        <f>IF(H83="","",BDP(H83,settings!$B$4))</f>
        <v/>
      </c>
    </row>
    <row r="84">
      <c r="A84">
        <f>IF(overlay!$A84="","",overlay!$A84)</f>
        <v/>
      </c>
      <c r="B84">
        <f>IF(overlay!$B84="","",overlay!$B84)</f>
        <v/>
      </c>
      <c r="C84">
        <f>IF($B84="","",IFERROR(VLOOKUP(UPPER(TRIM($B84)),settings!$D$3:$E$60,2,FALSE),UPPER(TRIM($B84))))</f>
        <v/>
      </c>
      <c r="D84">
        <f>IF($A84="","",$A84&amp;"V"&amp;$C84&amp;settings!$B$5&amp;" Curncy")</f>
        <v/>
      </c>
      <c r="E84">
        <f>IF($A84="","",$A84&amp;"25R"&amp;$C84&amp;settings!$B$5&amp;" Curncy")</f>
        <v/>
      </c>
      <c r="F84">
        <f>IF($A84="","",$A84&amp;"10R"&amp;$C84&amp;settings!$B$5&amp;" Curncy")</f>
        <v/>
      </c>
      <c r="G84">
        <f>IF($A84="","",$A84&amp;"25B"&amp;$C84&amp;settings!$B$5&amp;" Curncy")</f>
        <v/>
      </c>
      <c r="H84">
        <f>IF($A84="","",$A84&amp;"10B"&amp;$C84&amp;settings!$B$5&amp;" Curncy")</f>
        <v/>
      </c>
      <c r="I84">
        <f>IF(D84="","",BDP(D84,settings!$B$4))</f>
        <v/>
      </c>
      <c r="J84">
        <f>IF(E84="","",BDP(E84,settings!$B$4))</f>
        <v/>
      </c>
      <c r="K84">
        <f>IF(F84="","",BDP(F84,settings!$B$4))</f>
        <v/>
      </c>
      <c r="L84">
        <f>IF(G84="","",BDP(G84,settings!$B$4))</f>
        <v/>
      </c>
      <c r="M84">
        <f>IF(H84="","",BDP(H84,settings!$B$4))</f>
        <v/>
      </c>
    </row>
    <row r="85">
      <c r="A85">
        <f>IF(overlay!$A85="","",overlay!$A85)</f>
        <v/>
      </c>
      <c r="B85">
        <f>IF(overlay!$B85="","",overlay!$B85)</f>
        <v/>
      </c>
      <c r="C85">
        <f>IF($B85="","",IFERROR(VLOOKUP(UPPER(TRIM($B85)),settings!$D$3:$E$60,2,FALSE),UPPER(TRIM($B85))))</f>
        <v/>
      </c>
      <c r="D85">
        <f>IF($A85="","",$A85&amp;"V"&amp;$C85&amp;settings!$B$5&amp;" Curncy")</f>
        <v/>
      </c>
      <c r="E85">
        <f>IF($A85="","",$A85&amp;"25R"&amp;$C85&amp;settings!$B$5&amp;" Curncy")</f>
        <v/>
      </c>
      <c r="F85">
        <f>IF($A85="","",$A85&amp;"10R"&amp;$C85&amp;settings!$B$5&amp;" Curncy")</f>
        <v/>
      </c>
      <c r="G85">
        <f>IF($A85="","",$A85&amp;"25B"&amp;$C85&amp;settings!$B$5&amp;" Curncy")</f>
        <v/>
      </c>
      <c r="H85">
        <f>IF($A85="","",$A85&amp;"10B"&amp;$C85&amp;settings!$B$5&amp;" Curncy")</f>
        <v/>
      </c>
      <c r="I85">
        <f>IF(D85="","",BDP(D85,settings!$B$4))</f>
        <v/>
      </c>
      <c r="J85">
        <f>IF(E85="","",BDP(E85,settings!$B$4))</f>
        <v/>
      </c>
      <c r="K85">
        <f>IF(F85="","",BDP(F85,settings!$B$4))</f>
        <v/>
      </c>
      <c r="L85">
        <f>IF(G85="","",BDP(G85,settings!$B$4))</f>
        <v/>
      </c>
      <c r="M85">
        <f>IF(H85="","",BDP(H85,settings!$B$4))</f>
        <v/>
      </c>
    </row>
    <row r="86">
      <c r="A86">
        <f>IF(overlay!$A86="","",overlay!$A86)</f>
        <v/>
      </c>
      <c r="B86">
        <f>IF(overlay!$B86="","",overlay!$B86)</f>
        <v/>
      </c>
      <c r="C86">
        <f>IF($B86="","",IFERROR(VLOOKUP(UPPER(TRIM($B86)),settings!$D$3:$E$60,2,FALSE),UPPER(TRIM($B86))))</f>
        <v/>
      </c>
      <c r="D86">
        <f>IF($A86="","",$A86&amp;"V"&amp;$C86&amp;settings!$B$5&amp;" Curncy")</f>
        <v/>
      </c>
      <c r="E86">
        <f>IF($A86="","",$A86&amp;"25R"&amp;$C86&amp;settings!$B$5&amp;" Curncy")</f>
        <v/>
      </c>
      <c r="F86">
        <f>IF($A86="","",$A86&amp;"10R"&amp;$C86&amp;settings!$B$5&amp;" Curncy")</f>
        <v/>
      </c>
      <c r="G86">
        <f>IF($A86="","",$A86&amp;"25B"&amp;$C86&amp;settings!$B$5&amp;" Curncy")</f>
        <v/>
      </c>
      <c r="H86">
        <f>IF($A86="","",$A86&amp;"10B"&amp;$C86&amp;settings!$B$5&amp;" Curncy")</f>
        <v/>
      </c>
      <c r="I86">
        <f>IF(D86="","",BDP(D86,settings!$B$4))</f>
        <v/>
      </c>
      <c r="J86">
        <f>IF(E86="","",BDP(E86,settings!$B$4))</f>
        <v/>
      </c>
      <c r="K86">
        <f>IF(F86="","",BDP(F86,settings!$B$4))</f>
        <v/>
      </c>
      <c r="L86">
        <f>IF(G86="","",BDP(G86,settings!$B$4))</f>
        <v/>
      </c>
      <c r="M86">
        <f>IF(H86="","",BDP(H86,settings!$B$4))</f>
        <v/>
      </c>
    </row>
    <row r="87">
      <c r="A87">
        <f>IF(overlay!$A87="","",overlay!$A87)</f>
        <v/>
      </c>
      <c r="B87">
        <f>IF(overlay!$B87="","",overlay!$B87)</f>
        <v/>
      </c>
      <c r="C87">
        <f>IF($B87="","",IFERROR(VLOOKUP(UPPER(TRIM($B87)),settings!$D$3:$E$60,2,FALSE),UPPER(TRIM($B87))))</f>
        <v/>
      </c>
      <c r="D87">
        <f>IF($A87="","",$A87&amp;"V"&amp;$C87&amp;settings!$B$5&amp;" Curncy")</f>
        <v/>
      </c>
      <c r="E87">
        <f>IF($A87="","",$A87&amp;"25R"&amp;$C87&amp;settings!$B$5&amp;" Curncy")</f>
        <v/>
      </c>
      <c r="F87">
        <f>IF($A87="","",$A87&amp;"10R"&amp;$C87&amp;settings!$B$5&amp;" Curncy")</f>
        <v/>
      </c>
      <c r="G87">
        <f>IF($A87="","",$A87&amp;"25B"&amp;$C87&amp;settings!$B$5&amp;" Curncy")</f>
        <v/>
      </c>
      <c r="H87">
        <f>IF($A87="","",$A87&amp;"10B"&amp;$C87&amp;settings!$B$5&amp;" Curncy")</f>
        <v/>
      </c>
      <c r="I87">
        <f>IF(D87="","",BDP(D87,settings!$B$4))</f>
        <v/>
      </c>
      <c r="J87">
        <f>IF(E87="","",BDP(E87,settings!$B$4))</f>
        <v/>
      </c>
      <c r="K87">
        <f>IF(F87="","",BDP(F87,settings!$B$4))</f>
        <v/>
      </c>
      <c r="L87">
        <f>IF(G87="","",BDP(G87,settings!$B$4))</f>
        <v/>
      </c>
      <c r="M87">
        <f>IF(H87="","",BDP(H87,settings!$B$4))</f>
        <v/>
      </c>
    </row>
    <row r="88">
      <c r="A88">
        <f>IF(overlay!$A88="","",overlay!$A88)</f>
        <v/>
      </c>
      <c r="B88">
        <f>IF(overlay!$B88="","",overlay!$B88)</f>
        <v/>
      </c>
      <c r="C88">
        <f>IF($B88="","",IFERROR(VLOOKUP(UPPER(TRIM($B88)),settings!$D$3:$E$60,2,FALSE),UPPER(TRIM($B88))))</f>
        <v/>
      </c>
      <c r="D88">
        <f>IF($A88="","",$A88&amp;"V"&amp;$C88&amp;settings!$B$5&amp;" Curncy")</f>
        <v/>
      </c>
      <c r="E88">
        <f>IF($A88="","",$A88&amp;"25R"&amp;$C88&amp;settings!$B$5&amp;" Curncy")</f>
        <v/>
      </c>
      <c r="F88">
        <f>IF($A88="","",$A88&amp;"10R"&amp;$C88&amp;settings!$B$5&amp;" Curncy")</f>
        <v/>
      </c>
      <c r="G88">
        <f>IF($A88="","",$A88&amp;"25B"&amp;$C88&amp;settings!$B$5&amp;" Curncy")</f>
        <v/>
      </c>
      <c r="H88">
        <f>IF($A88="","",$A88&amp;"10B"&amp;$C88&amp;settings!$B$5&amp;" Curncy")</f>
        <v/>
      </c>
      <c r="I88">
        <f>IF(D88="","",BDP(D88,settings!$B$4))</f>
        <v/>
      </c>
      <c r="J88">
        <f>IF(E88="","",BDP(E88,settings!$B$4))</f>
        <v/>
      </c>
      <c r="K88">
        <f>IF(F88="","",BDP(F88,settings!$B$4))</f>
        <v/>
      </c>
      <c r="L88">
        <f>IF(G88="","",BDP(G88,settings!$B$4))</f>
        <v/>
      </c>
      <c r="M88">
        <f>IF(H88="","",BDP(H88,settings!$B$4))</f>
        <v/>
      </c>
    </row>
    <row r="89">
      <c r="A89">
        <f>IF(overlay!$A89="","",overlay!$A89)</f>
        <v/>
      </c>
      <c r="B89">
        <f>IF(overlay!$B89="","",overlay!$B89)</f>
        <v/>
      </c>
      <c r="C89">
        <f>IF($B89="","",IFERROR(VLOOKUP(UPPER(TRIM($B89)),settings!$D$3:$E$60,2,FALSE),UPPER(TRIM($B89))))</f>
        <v/>
      </c>
      <c r="D89">
        <f>IF($A89="","",$A89&amp;"V"&amp;$C89&amp;settings!$B$5&amp;" Curncy")</f>
        <v/>
      </c>
      <c r="E89">
        <f>IF($A89="","",$A89&amp;"25R"&amp;$C89&amp;settings!$B$5&amp;" Curncy")</f>
        <v/>
      </c>
      <c r="F89">
        <f>IF($A89="","",$A89&amp;"10R"&amp;$C89&amp;settings!$B$5&amp;" Curncy")</f>
        <v/>
      </c>
      <c r="G89">
        <f>IF($A89="","",$A89&amp;"25B"&amp;$C89&amp;settings!$B$5&amp;" Curncy")</f>
        <v/>
      </c>
      <c r="H89">
        <f>IF($A89="","",$A89&amp;"10B"&amp;$C89&amp;settings!$B$5&amp;" Curncy")</f>
        <v/>
      </c>
      <c r="I89">
        <f>IF(D89="","",BDP(D89,settings!$B$4))</f>
        <v/>
      </c>
      <c r="J89">
        <f>IF(E89="","",BDP(E89,settings!$B$4))</f>
        <v/>
      </c>
      <c r="K89">
        <f>IF(F89="","",BDP(F89,settings!$B$4))</f>
        <v/>
      </c>
      <c r="L89">
        <f>IF(G89="","",BDP(G89,settings!$B$4))</f>
        <v/>
      </c>
      <c r="M89">
        <f>IF(H89="","",BDP(H89,settings!$B$4))</f>
        <v/>
      </c>
    </row>
    <row r="90">
      <c r="A90">
        <f>IF(overlay!$A90="","",overlay!$A90)</f>
        <v/>
      </c>
      <c r="B90">
        <f>IF(overlay!$B90="","",overlay!$B90)</f>
        <v/>
      </c>
      <c r="C90">
        <f>IF($B90="","",IFERROR(VLOOKUP(UPPER(TRIM($B90)),settings!$D$3:$E$60,2,FALSE),UPPER(TRIM($B90))))</f>
        <v/>
      </c>
      <c r="D90">
        <f>IF($A90="","",$A90&amp;"V"&amp;$C90&amp;settings!$B$5&amp;" Curncy")</f>
        <v/>
      </c>
      <c r="E90">
        <f>IF($A90="","",$A90&amp;"25R"&amp;$C90&amp;settings!$B$5&amp;" Curncy")</f>
        <v/>
      </c>
      <c r="F90">
        <f>IF($A90="","",$A90&amp;"10R"&amp;$C90&amp;settings!$B$5&amp;" Curncy")</f>
        <v/>
      </c>
      <c r="G90">
        <f>IF($A90="","",$A90&amp;"25B"&amp;$C90&amp;settings!$B$5&amp;" Curncy")</f>
        <v/>
      </c>
      <c r="H90">
        <f>IF($A90="","",$A90&amp;"10B"&amp;$C90&amp;settings!$B$5&amp;" Curncy")</f>
        <v/>
      </c>
      <c r="I90">
        <f>IF(D90="","",BDP(D90,settings!$B$4))</f>
        <v/>
      </c>
      <c r="J90">
        <f>IF(E90="","",BDP(E90,settings!$B$4))</f>
        <v/>
      </c>
      <c r="K90">
        <f>IF(F90="","",BDP(F90,settings!$B$4))</f>
        <v/>
      </c>
      <c r="L90">
        <f>IF(G90="","",BDP(G90,settings!$B$4))</f>
        <v/>
      </c>
      <c r="M90">
        <f>IF(H90="","",BDP(H90,settings!$B$4))</f>
        <v/>
      </c>
    </row>
    <row r="91">
      <c r="A91">
        <f>IF(overlay!$A91="","",overlay!$A91)</f>
        <v/>
      </c>
      <c r="B91">
        <f>IF(overlay!$B91="","",overlay!$B91)</f>
        <v/>
      </c>
      <c r="C91">
        <f>IF($B91="","",IFERROR(VLOOKUP(UPPER(TRIM($B91)),settings!$D$3:$E$60,2,FALSE),UPPER(TRIM($B91))))</f>
        <v/>
      </c>
      <c r="D91">
        <f>IF($A91="","",$A91&amp;"V"&amp;$C91&amp;settings!$B$5&amp;" Curncy")</f>
        <v/>
      </c>
      <c r="E91">
        <f>IF($A91="","",$A91&amp;"25R"&amp;$C91&amp;settings!$B$5&amp;" Curncy")</f>
        <v/>
      </c>
      <c r="F91">
        <f>IF($A91="","",$A91&amp;"10R"&amp;$C91&amp;settings!$B$5&amp;" Curncy")</f>
        <v/>
      </c>
      <c r="G91">
        <f>IF($A91="","",$A91&amp;"25B"&amp;$C91&amp;settings!$B$5&amp;" Curncy")</f>
        <v/>
      </c>
      <c r="H91">
        <f>IF($A91="","",$A91&amp;"10B"&amp;$C91&amp;settings!$B$5&amp;" Curncy")</f>
        <v/>
      </c>
      <c r="I91">
        <f>IF(D91="","",BDP(D91,settings!$B$4))</f>
        <v/>
      </c>
      <c r="J91">
        <f>IF(E91="","",BDP(E91,settings!$B$4))</f>
        <v/>
      </c>
      <c r="K91">
        <f>IF(F91="","",BDP(F91,settings!$B$4))</f>
        <v/>
      </c>
      <c r="L91">
        <f>IF(G91="","",BDP(G91,settings!$B$4))</f>
        <v/>
      </c>
      <c r="M91">
        <f>IF(H91="","",BDP(H91,settings!$B$4))</f>
        <v/>
      </c>
    </row>
    <row r="92">
      <c r="A92">
        <f>IF(overlay!$A92="","",overlay!$A92)</f>
        <v/>
      </c>
      <c r="B92">
        <f>IF(overlay!$B92="","",overlay!$B92)</f>
        <v/>
      </c>
      <c r="C92">
        <f>IF($B92="","",IFERROR(VLOOKUP(UPPER(TRIM($B92)),settings!$D$3:$E$60,2,FALSE),UPPER(TRIM($B92))))</f>
        <v/>
      </c>
      <c r="D92">
        <f>IF($A92="","",$A92&amp;"V"&amp;$C92&amp;settings!$B$5&amp;" Curncy")</f>
        <v/>
      </c>
      <c r="E92">
        <f>IF($A92="","",$A92&amp;"25R"&amp;$C92&amp;settings!$B$5&amp;" Curncy")</f>
        <v/>
      </c>
      <c r="F92">
        <f>IF($A92="","",$A92&amp;"10R"&amp;$C92&amp;settings!$B$5&amp;" Curncy")</f>
        <v/>
      </c>
      <c r="G92">
        <f>IF($A92="","",$A92&amp;"25B"&amp;$C92&amp;settings!$B$5&amp;" Curncy")</f>
        <v/>
      </c>
      <c r="H92">
        <f>IF($A92="","",$A92&amp;"10B"&amp;$C92&amp;settings!$B$5&amp;" Curncy")</f>
        <v/>
      </c>
      <c r="I92">
        <f>IF(D92="","",BDP(D92,settings!$B$4))</f>
        <v/>
      </c>
      <c r="J92">
        <f>IF(E92="","",BDP(E92,settings!$B$4))</f>
        <v/>
      </c>
      <c r="K92">
        <f>IF(F92="","",BDP(F92,settings!$B$4))</f>
        <v/>
      </c>
      <c r="L92">
        <f>IF(G92="","",BDP(G92,settings!$B$4))</f>
        <v/>
      </c>
      <c r="M92">
        <f>IF(H92="","",BDP(H92,settings!$B$4))</f>
        <v/>
      </c>
    </row>
    <row r="93">
      <c r="A93">
        <f>IF(overlay!$A93="","",overlay!$A93)</f>
        <v/>
      </c>
      <c r="B93">
        <f>IF(overlay!$B93="","",overlay!$B93)</f>
        <v/>
      </c>
      <c r="C93">
        <f>IF($B93="","",IFERROR(VLOOKUP(UPPER(TRIM($B93)),settings!$D$3:$E$60,2,FALSE),UPPER(TRIM($B93))))</f>
        <v/>
      </c>
      <c r="D93">
        <f>IF($A93="","",$A93&amp;"V"&amp;$C93&amp;settings!$B$5&amp;" Curncy")</f>
        <v/>
      </c>
      <c r="E93">
        <f>IF($A93="","",$A93&amp;"25R"&amp;$C93&amp;settings!$B$5&amp;" Curncy")</f>
        <v/>
      </c>
      <c r="F93">
        <f>IF($A93="","",$A93&amp;"10R"&amp;$C93&amp;settings!$B$5&amp;" Curncy")</f>
        <v/>
      </c>
      <c r="G93">
        <f>IF($A93="","",$A93&amp;"25B"&amp;$C93&amp;settings!$B$5&amp;" Curncy")</f>
        <v/>
      </c>
      <c r="H93">
        <f>IF($A93="","",$A93&amp;"10B"&amp;$C93&amp;settings!$B$5&amp;" Curncy")</f>
        <v/>
      </c>
      <c r="I93">
        <f>IF(D93="","",BDP(D93,settings!$B$4))</f>
        <v/>
      </c>
      <c r="J93">
        <f>IF(E93="","",BDP(E93,settings!$B$4))</f>
        <v/>
      </c>
      <c r="K93">
        <f>IF(F93="","",BDP(F93,settings!$B$4))</f>
        <v/>
      </c>
      <c r="L93">
        <f>IF(G93="","",BDP(G93,settings!$B$4))</f>
        <v/>
      </c>
      <c r="M93">
        <f>IF(H93="","",BDP(H93,settings!$B$4))</f>
        <v/>
      </c>
    </row>
    <row r="94">
      <c r="A94">
        <f>IF(overlay!$A94="","",overlay!$A94)</f>
        <v/>
      </c>
      <c r="B94">
        <f>IF(overlay!$B94="","",overlay!$B94)</f>
        <v/>
      </c>
      <c r="C94">
        <f>IF($B94="","",IFERROR(VLOOKUP(UPPER(TRIM($B94)),settings!$D$3:$E$60,2,FALSE),UPPER(TRIM($B94))))</f>
        <v/>
      </c>
      <c r="D94">
        <f>IF($A94="","",$A94&amp;"V"&amp;$C94&amp;settings!$B$5&amp;" Curncy")</f>
        <v/>
      </c>
      <c r="E94">
        <f>IF($A94="","",$A94&amp;"25R"&amp;$C94&amp;settings!$B$5&amp;" Curncy")</f>
        <v/>
      </c>
      <c r="F94">
        <f>IF($A94="","",$A94&amp;"10R"&amp;$C94&amp;settings!$B$5&amp;" Curncy")</f>
        <v/>
      </c>
      <c r="G94">
        <f>IF($A94="","",$A94&amp;"25B"&amp;$C94&amp;settings!$B$5&amp;" Curncy")</f>
        <v/>
      </c>
      <c r="H94">
        <f>IF($A94="","",$A94&amp;"10B"&amp;$C94&amp;settings!$B$5&amp;" Curncy")</f>
        <v/>
      </c>
      <c r="I94">
        <f>IF(D94="","",BDP(D94,settings!$B$4))</f>
        <v/>
      </c>
      <c r="J94">
        <f>IF(E94="","",BDP(E94,settings!$B$4))</f>
        <v/>
      </c>
      <c r="K94">
        <f>IF(F94="","",BDP(F94,settings!$B$4))</f>
        <v/>
      </c>
      <c r="L94">
        <f>IF(G94="","",BDP(G94,settings!$B$4))</f>
        <v/>
      </c>
      <c r="M94">
        <f>IF(H94="","",BDP(H94,settings!$B$4))</f>
        <v/>
      </c>
    </row>
    <row r="95">
      <c r="A95">
        <f>IF(overlay!$A95="","",overlay!$A95)</f>
        <v/>
      </c>
      <c r="B95">
        <f>IF(overlay!$B95="","",overlay!$B95)</f>
        <v/>
      </c>
      <c r="C95">
        <f>IF($B95="","",IFERROR(VLOOKUP(UPPER(TRIM($B95)),settings!$D$3:$E$60,2,FALSE),UPPER(TRIM($B95))))</f>
        <v/>
      </c>
      <c r="D95">
        <f>IF($A95="","",$A95&amp;"V"&amp;$C95&amp;settings!$B$5&amp;" Curncy")</f>
        <v/>
      </c>
      <c r="E95">
        <f>IF($A95="","",$A95&amp;"25R"&amp;$C95&amp;settings!$B$5&amp;" Curncy")</f>
        <v/>
      </c>
      <c r="F95">
        <f>IF($A95="","",$A95&amp;"10R"&amp;$C95&amp;settings!$B$5&amp;" Curncy")</f>
        <v/>
      </c>
      <c r="G95">
        <f>IF($A95="","",$A95&amp;"25B"&amp;$C95&amp;settings!$B$5&amp;" Curncy")</f>
        <v/>
      </c>
      <c r="H95">
        <f>IF($A95="","",$A95&amp;"10B"&amp;$C95&amp;settings!$B$5&amp;" Curncy")</f>
        <v/>
      </c>
      <c r="I95">
        <f>IF(D95="","",BDP(D95,settings!$B$4))</f>
        <v/>
      </c>
      <c r="J95">
        <f>IF(E95="","",BDP(E95,settings!$B$4))</f>
        <v/>
      </c>
      <c r="K95">
        <f>IF(F95="","",BDP(F95,settings!$B$4))</f>
        <v/>
      </c>
      <c r="L95">
        <f>IF(G95="","",BDP(G95,settings!$B$4))</f>
        <v/>
      </c>
      <c r="M95">
        <f>IF(H95="","",BDP(H95,settings!$B$4))</f>
        <v/>
      </c>
    </row>
    <row r="96">
      <c r="A96">
        <f>IF(overlay!$A96="","",overlay!$A96)</f>
        <v/>
      </c>
      <c r="B96">
        <f>IF(overlay!$B96="","",overlay!$B96)</f>
        <v/>
      </c>
      <c r="C96">
        <f>IF($B96="","",IFERROR(VLOOKUP(UPPER(TRIM($B96)),settings!$D$3:$E$60,2,FALSE),UPPER(TRIM($B96))))</f>
        <v/>
      </c>
      <c r="D96">
        <f>IF($A96="","",$A96&amp;"V"&amp;$C96&amp;settings!$B$5&amp;" Curncy")</f>
        <v/>
      </c>
      <c r="E96">
        <f>IF($A96="","",$A96&amp;"25R"&amp;$C96&amp;settings!$B$5&amp;" Curncy")</f>
        <v/>
      </c>
      <c r="F96">
        <f>IF($A96="","",$A96&amp;"10R"&amp;$C96&amp;settings!$B$5&amp;" Curncy")</f>
        <v/>
      </c>
      <c r="G96">
        <f>IF($A96="","",$A96&amp;"25B"&amp;$C96&amp;settings!$B$5&amp;" Curncy")</f>
        <v/>
      </c>
      <c r="H96">
        <f>IF($A96="","",$A96&amp;"10B"&amp;$C96&amp;settings!$B$5&amp;" Curncy")</f>
        <v/>
      </c>
      <c r="I96">
        <f>IF(D96="","",BDP(D96,settings!$B$4))</f>
        <v/>
      </c>
      <c r="J96">
        <f>IF(E96="","",BDP(E96,settings!$B$4))</f>
        <v/>
      </c>
      <c r="K96">
        <f>IF(F96="","",BDP(F96,settings!$B$4))</f>
        <v/>
      </c>
      <c r="L96">
        <f>IF(G96="","",BDP(G96,settings!$B$4))</f>
        <v/>
      </c>
      <c r="M96">
        <f>IF(H96="","",BDP(H96,settings!$B$4))</f>
        <v/>
      </c>
    </row>
    <row r="97">
      <c r="A97">
        <f>IF(overlay!$A97="","",overlay!$A97)</f>
        <v/>
      </c>
      <c r="B97">
        <f>IF(overlay!$B97="","",overlay!$B97)</f>
        <v/>
      </c>
      <c r="C97">
        <f>IF($B97="","",IFERROR(VLOOKUP(UPPER(TRIM($B97)),settings!$D$3:$E$60,2,FALSE),UPPER(TRIM($B97))))</f>
        <v/>
      </c>
      <c r="D97">
        <f>IF($A97="","",$A97&amp;"V"&amp;$C97&amp;settings!$B$5&amp;" Curncy")</f>
        <v/>
      </c>
      <c r="E97">
        <f>IF($A97="","",$A97&amp;"25R"&amp;$C97&amp;settings!$B$5&amp;" Curncy")</f>
        <v/>
      </c>
      <c r="F97">
        <f>IF($A97="","",$A97&amp;"10R"&amp;$C97&amp;settings!$B$5&amp;" Curncy")</f>
        <v/>
      </c>
      <c r="G97">
        <f>IF($A97="","",$A97&amp;"25B"&amp;$C97&amp;settings!$B$5&amp;" Curncy")</f>
        <v/>
      </c>
      <c r="H97">
        <f>IF($A97="","",$A97&amp;"10B"&amp;$C97&amp;settings!$B$5&amp;" Curncy")</f>
        <v/>
      </c>
      <c r="I97">
        <f>IF(D97="","",BDP(D97,settings!$B$4))</f>
        <v/>
      </c>
      <c r="J97">
        <f>IF(E97="","",BDP(E97,settings!$B$4))</f>
        <v/>
      </c>
      <c r="K97">
        <f>IF(F97="","",BDP(F97,settings!$B$4))</f>
        <v/>
      </c>
      <c r="L97">
        <f>IF(G97="","",BDP(G97,settings!$B$4))</f>
        <v/>
      </c>
      <c r="M97">
        <f>IF(H97="","",BDP(H97,settings!$B$4))</f>
        <v/>
      </c>
    </row>
    <row r="98">
      <c r="A98">
        <f>IF(overlay!$A98="","",overlay!$A98)</f>
        <v/>
      </c>
      <c r="B98">
        <f>IF(overlay!$B98="","",overlay!$B98)</f>
        <v/>
      </c>
      <c r="C98">
        <f>IF($B98="","",IFERROR(VLOOKUP(UPPER(TRIM($B98)),settings!$D$3:$E$60,2,FALSE),UPPER(TRIM($B98))))</f>
        <v/>
      </c>
      <c r="D98">
        <f>IF($A98="","",$A98&amp;"V"&amp;$C98&amp;settings!$B$5&amp;" Curncy")</f>
        <v/>
      </c>
      <c r="E98">
        <f>IF($A98="","",$A98&amp;"25R"&amp;$C98&amp;settings!$B$5&amp;" Curncy")</f>
        <v/>
      </c>
      <c r="F98">
        <f>IF($A98="","",$A98&amp;"10R"&amp;$C98&amp;settings!$B$5&amp;" Curncy")</f>
        <v/>
      </c>
      <c r="G98">
        <f>IF($A98="","",$A98&amp;"25B"&amp;$C98&amp;settings!$B$5&amp;" Curncy")</f>
        <v/>
      </c>
      <c r="H98">
        <f>IF($A98="","",$A98&amp;"10B"&amp;$C98&amp;settings!$B$5&amp;" Curncy")</f>
        <v/>
      </c>
      <c r="I98">
        <f>IF(D98="","",BDP(D98,settings!$B$4))</f>
        <v/>
      </c>
      <c r="J98">
        <f>IF(E98="","",BDP(E98,settings!$B$4))</f>
        <v/>
      </c>
      <c r="K98">
        <f>IF(F98="","",BDP(F98,settings!$B$4))</f>
        <v/>
      </c>
      <c r="L98">
        <f>IF(G98="","",BDP(G98,settings!$B$4))</f>
        <v/>
      </c>
      <c r="M98">
        <f>IF(H98="","",BDP(H98,settings!$B$4))</f>
        <v/>
      </c>
    </row>
    <row r="99">
      <c r="A99">
        <f>IF(overlay!$A99="","",overlay!$A99)</f>
        <v/>
      </c>
      <c r="B99">
        <f>IF(overlay!$B99="","",overlay!$B99)</f>
        <v/>
      </c>
      <c r="C99">
        <f>IF($B99="","",IFERROR(VLOOKUP(UPPER(TRIM($B99)),settings!$D$3:$E$60,2,FALSE),UPPER(TRIM($B99))))</f>
        <v/>
      </c>
      <c r="D99">
        <f>IF($A99="","",$A99&amp;"V"&amp;$C99&amp;settings!$B$5&amp;" Curncy")</f>
        <v/>
      </c>
      <c r="E99">
        <f>IF($A99="","",$A99&amp;"25R"&amp;$C99&amp;settings!$B$5&amp;" Curncy")</f>
        <v/>
      </c>
      <c r="F99">
        <f>IF($A99="","",$A99&amp;"10R"&amp;$C99&amp;settings!$B$5&amp;" Curncy")</f>
        <v/>
      </c>
      <c r="G99">
        <f>IF($A99="","",$A99&amp;"25B"&amp;$C99&amp;settings!$B$5&amp;" Curncy")</f>
        <v/>
      </c>
      <c r="H99">
        <f>IF($A99="","",$A99&amp;"10B"&amp;$C99&amp;settings!$B$5&amp;" Curncy")</f>
        <v/>
      </c>
      <c r="I99">
        <f>IF(D99="","",BDP(D99,settings!$B$4))</f>
        <v/>
      </c>
      <c r="J99">
        <f>IF(E99="","",BDP(E99,settings!$B$4))</f>
        <v/>
      </c>
      <c r="K99">
        <f>IF(F99="","",BDP(F99,settings!$B$4))</f>
        <v/>
      </c>
      <c r="L99">
        <f>IF(G99="","",BDP(G99,settings!$B$4))</f>
        <v/>
      </c>
      <c r="M99">
        <f>IF(H99="","",BDP(H99,settings!$B$4))</f>
        <v/>
      </c>
    </row>
    <row r="100">
      <c r="A100">
        <f>IF(overlay!$A100="","",overlay!$A100)</f>
        <v/>
      </c>
      <c r="B100">
        <f>IF(overlay!$B100="","",overlay!$B100)</f>
        <v/>
      </c>
      <c r="C100">
        <f>IF($B100="","",IFERROR(VLOOKUP(UPPER(TRIM($B100)),settings!$D$3:$E$60,2,FALSE),UPPER(TRIM($B100))))</f>
        <v/>
      </c>
      <c r="D100">
        <f>IF($A100="","",$A100&amp;"V"&amp;$C100&amp;settings!$B$5&amp;" Curncy")</f>
        <v/>
      </c>
      <c r="E100">
        <f>IF($A100="","",$A100&amp;"25R"&amp;$C100&amp;settings!$B$5&amp;" Curncy")</f>
        <v/>
      </c>
      <c r="F100">
        <f>IF($A100="","",$A100&amp;"10R"&amp;$C100&amp;settings!$B$5&amp;" Curncy")</f>
        <v/>
      </c>
      <c r="G100">
        <f>IF($A100="","",$A100&amp;"25B"&amp;$C100&amp;settings!$B$5&amp;" Curncy")</f>
        <v/>
      </c>
      <c r="H100">
        <f>IF($A100="","",$A100&amp;"10B"&amp;$C100&amp;settings!$B$5&amp;" Curncy")</f>
        <v/>
      </c>
      <c r="I100">
        <f>IF(D100="","",BDP(D100,settings!$B$4))</f>
        <v/>
      </c>
      <c r="J100">
        <f>IF(E100="","",BDP(E100,settings!$B$4))</f>
        <v/>
      </c>
      <c r="K100">
        <f>IF(F100="","",BDP(F100,settings!$B$4))</f>
        <v/>
      </c>
      <c r="L100">
        <f>IF(G100="","",BDP(G100,settings!$B$4))</f>
        <v/>
      </c>
      <c r="M100">
        <f>IF(H100="","",BDP(H100,settings!$B$4))</f>
        <v/>
      </c>
    </row>
    <row r="101">
      <c r="A101">
        <f>IF(overlay!$A101="","",overlay!$A101)</f>
        <v/>
      </c>
      <c r="B101">
        <f>IF(overlay!$B101="","",overlay!$B101)</f>
        <v/>
      </c>
      <c r="C101">
        <f>IF($B101="","",IFERROR(VLOOKUP(UPPER(TRIM($B101)),settings!$D$3:$E$60,2,FALSE),UPPER(TRIM($B101))))</f>
        <v/>
      </c>
      <c r="D101">
        <f>IF($A101="","",$A101&amp;"V"&amp;$C101&amp;settings!$B$5&amp;" Curncy")</f>
        <v/>
      </c>
      <c r="E101">
        <f>IF($A101="","",$A101&amp;"25R"&amp;$C101&amp;settings!$B$5&amp;" Curncy")</f>
        <v/>
      </c>
      <c r="F101">
        <f>IF($A101="","",$A101&amp;"10R"&amp;$C101&amp;settings!$B$5&amp;" Curncy")</f>
        <v/>
      </c>
      <c r="G101">
        <f>IF($A101="","",$A101&amp;"25B"&amp;$C101&amp;settings!$B$5&amp;" Curncy")</f>
        <v/>
      </c>
      <c r="H101">
        <f>IF($A101="","",$A101&amp;"10B"&amp;$C101&amp;settings!$B$5&amp;" Curncy")</f>
        <v/>
      </c>
      <c r="I101">
        <f>IF(D101="","",BDP(D101,settings!$B$4))</f>
        <v/>
      </c>
      <c r="J101">
        <f>IF(E101="","",BDP(E101,settings!$B$4))</f>
        <v/>
      </c>
      <c r="K101">
        <f>IF(F101="","",BDP(F101,settings!$B$4))</f>
        <v/>
      </c>
      <c r="L101">
        <f>IF(G101="","",BDP(G101,settings!$B$4))</f>
        <v/>
      </c>
      <c r="M101">
        <f>IF(H101="","",BDP(H101,settings!$B$4))</f>
        <v/>
      </c>
    </row>
    <row r="102">
      <c r="A102">
        <f>IF(overlay!$A102="","",overlay!$A102)</f>
        <v/>
      </c>
      <c r="B102">
        <f>IF(overlay!$B102="","",overlay!$B102)</f>
        <v/>
      </c>
      <c r="C102">
        <f>IF($B102="","",IFERROR(VLOOKUP(UPPER(TRIM($B102)),settings!$D$3:$E$60,2,FALSE),UPPER(TRIM($B102))))</f>
        <v/>
      </c>
      <c r="D102">
        <f>IF($A102="","",$A102&amp;"V"&amp;$C102&amp;settings!$B$5&amp;" Curncy")</f>
        <v/>
      </c>
      <c r="E102">
        <f>IF($A102="","",$A102&amp;"25R"&amp;$C102&amp;settings!$B$5&amp;" Curncy")</f>
        <v/>
      </c>
      <c r="F102">
        <f>IF($A102="","",$A102&amp;"10R"&amp;$C102&amp;settings!$B$5&amp;" Curncy")</f>
        <v/>
      </c>
      <c r="G102">
        <f>IF($A102="","",$A102&amp;"25B"&amp;$C102&amp;settings!$B$5&amp;" Curncy")</f>
        <v/>
      </c>
      <c r="H102">
        <f>IF($A102="","",$A102&amp;"10B"&amp;$C102&amp;settings!$B$5&amp;" Curncy")</f>
        <v/>
      </c>
      <c r="I102">
        <f>IF(D102="","",BDP(D102,settings!$B$4))</f>
        <v/>
      </c>
      <c r="J102">
        <f>IF(E102="","",BDP(E102,settings!$B$4))</f>
        <v/>
      </c>
      <c r="K102">
        <f>IF(F102="","",BDP(F102,settings!$B$4))</f>
        <v/>
      </c>
      <c r="L102">
        <f>IF(G102="","",BDP(G102,settings!$B$4))</f>
        <v/>
      </c>
      <c r="M102">
        <f>IF(H102="","",BDP(H102,settings!$B$4))</f>
        <v/>
      </c>
    </row>
    <row r="103">
      <c r="A103">
        <f>IF(overlay!$A103="","",overlay!$A103)</f>
        <v/>
      </c>
      <c r="B103">
        <f>IF(overlay!$B103="","",overlay!$B103)</f>
        <v/>
      </c>
      <c r="C103">
        <f>IF($B103="","",IFERROR(VLOOKUP(UPPER(TRIM($B103)),settings!$D$3:$E$60,2,FALSE),UPPER(TRIM($B103))))</f>
        <v/>
      </c>
      <c r="D103">
        <f>IF($A103="","",$A103&amp;"V"&amp;$C103&amp;settings!$B$5&amp;" Curncy")</f>
        <v/>
      </c>
      <c r="E103">
        <f>IF($A103="","",$A103&amp;"25R"&amp;$C103&amp;settings!$B$5&amp;" Curncy")</f>
        <v/>
      </c>
      <c r="F103">
        <f>IF($A103="","",$A103&amp;"10R"&amp;$C103&amp;settings!$B$5&amp;" Curncy")</f>
        <v/>
      </c>
      <c r="G103">
        <f>IF($A103="","",$A103&amp;"25B"&amp;$C103&amp;settings!$B$5&amp;" Curncy")</f>
        <v/>
      </c>
      <c r="H103">
        <f>IF($A103="","",$A103&amp;"10B"&amp;$C103&amp;settings!$B$5&amp;" Curncy")</f>
        <v/>
      </c>
      <c r="I103">
        <f>IF(D103="","",BDP(D103,settings!$B$4))</f>
        <v/>
      </c>
      <c r="J103">
        <f>IF(E103="","",BDP(E103,settings!$B$4))</f>
        <v/>
      </c>
      <c r="K103">
        <f>IF(F103="","",BDP(F103,settings!$B$4))</f>
        <v/>
      </c>
      <c r="L103">
        <f>IF(G103="","",BDP(G103,settings!$B$4))</f>
        <v/>
      </c>
      <c r="M103">
        <f>IF(H103="","",BDP(H103,settings!$B$4))</f>
        <v/>
      </c>
    </row>
    <row r="104">
      <c r="A104">
        <f>IF(overlay!$A104="","",overlay!$A104)</f>
        <v/>
      </c>
      <c r="B104">
        <f>IF(overlay!$B104="","",overlay!$B104)</f>
        <v/>
      </c>
      <c r="C104">
        <f>IF($B104="","",IFERROR(VLOOKUP(UPPER(TRIM($B104)),settings!$D$3:$E$60,2,FALSE),UPPER(TRIM($B104))))</f>
        <v/>
      </c>
      <c r="D104">
        <f>IF($A104="","",$A104&amp;"V"&amp;$C104&amp;settings!$B$5&amp;" Curncy")</f>
        <v/>
      </c>
      <c r="E104">
        <f>IF($A104="","",$A104&amp;"25R"&amp;$C104&amp;settings!$B$5&amp;" Curncy")</f>
        <v/>
      </c>
      <c r="F104">
        <f>IF($A104="","",$A104&amp;"10R"&amp;$C104&amp;settings!$B$5&amp;" Curncy")</f>
        <v/>
      </c>
      <c r="G104">
        <f>IF($A104="","",$A104&amp;"25B"&amp;$C104&amp;settings!$B$5&amp;" Curncy")</f>
        <v/>
      </c>
      <c r="H104">
        <f>IF($A104="","",$A104&amp;"10B"&amp;$C104&amp;settings!$B$5&amp;" Curncy")</f>
        <v/>
      </c>
      <c r="I104">
        <f>IF(D104="","",BDP(D104,settings!$B$4))</f>
        <v/>
      </c>
      <c r="J104">
        <f>IF(E104="","",BDP(E104,settings!$B$4))</f>
        <v/>
      </c>
      <c r="K104">
        <f>IF(F104="","",BDP(F104,settings!$B$4))</f>
        <v/>
      </c>
      <c r="L104">
        <f>IF(G104="","",BDP(G104,settings!$B$4))</f>
        <v/>
      </c>
      <c r="M104">
        <f>IF(H104="","",BDP(H104,settings!$B$4))</f>
        <v/>
      </c>
    </row>
    <row r="105">
      <c r="A105">
        <f>IF(overlay!$A105="","",overlay!$A105)</f>
        <v/>
      </c>
      <c r="B105">
        <f>IF(overlay!$B105="","",overlay!$B105)</f>
        <v/>
      </c>
      <c r="C105">
        <f>IF($B105="","",IFERROR(VLOOKUP(UPPER(TRIM($B105)),settings!$D$3:$E$60,2,FALSE),UPPER(TRIM($B105))))</f>
        <v/>
      </c>
      <c r="D105">
        <f>IF($A105="","",$A105&amp;"V"&amp;$C105&amp;settings!$B$5&amp;" Curncy")</f>
        <v/>
      </c>
      <c r="E105">
        <f>IF($A105="","",$A105&amp;"25R"&amp;$C105&amp;settings!$B$5&amp;" Curncy")</f>
        <v/>
      </c>
      <c r="F105">
        <f>IF($A105="","",$A105&amp;"10R"&amp;$C105&amp;settings!$B$5&amp;" Curncy")</f>
        <v/>
      </c>
      <c r="G105">
        <f>IF($A105="","",$A105&amp;"25B"&amp;$C105&amp;settings!$B$5&amp;" Curncy")</f>
        <v/>
      </c>
      <c r="H105">
        <f>IF($A105="","",$A105&amp;"10B"&amp;$C105&amp;settings!$B$5&amp;" Curncy")</f>
        <v/>
      </c>
      <c r="I105">
        <f>IF(D105="","",BDP(D105,settings!$B$4))</f>
        <v/>
      </c>
      <c r="J105">
        <f>IF(E105="","",BDP(E105,settings!$B$4))</f>
        <v/>
      </c>
      <c r="K105">
        <f>IF(F105="","",BDP(F105,settings!$B$4))</f>
        <v/>
      </c>
      <c r="L105">
        <f>IF(G105="","",BDP(G105,settings!$B$4))</f>
        <v/>
      </c>
      <c r="M105">
        <f>IF(H105="","",BDP(H105,settings!$B$4))</f>
        <v/>
      </c>
    </row>
    <row r="106">
      <c r="A106">
        <f>IF(overlay!$A106="","",overlay!$A106)</f>
        <v/>
      </c>
      <c r="B106">
        <f>IF(overlay!$B106="","",overlay!$B106)</f>
        <v/>
      </c>
      <c r="C106">
        <f>IF($B106="","",IFERROR(VLOOKUP(UPPER(TRIM($B106)),settings!$D$3:$E$60,2,FALSE),UPPER(TRIM($B106))))</f>
        <v/>
      </c>
      <c r="D106">
        <f>IF($A106="","",$A106&amp;"V"&amp;$C106&amp;settings!$B$5&amp;" Curncy")</f>
        <v/>
      </c>
      <c r="E106">
        <f>IF($A106="","",$A106&amp;"25R"&amp;$C106&amp;settings!$B$5&amp;" Curncy")</f>
        <v/>
      </c>
      <c r="F106">
        <f>IF($A106="","",$A106&amp;"10R"&amp;$C106&amp;settings!$B$5&amp;" Curncy")</f>
        <v/>
      </c>
      <c r="G106">
        <f>IF($A106="","",$A106&amp;"25B"&amp;$C106&amp;settings!$B$5&amp;" Curncy")</f>
        <v/>
      </c>
      <c r="H106">
        <f>IF($A106="","",$A106&amp;"10B"&amp;$C106&amp;settings!$B$5&amp;" Curncy")</f>
        <v/>
      </c>
      <c r="I106">
        <f>IF(D106="","",BDP(D106,settings!$B$4))</f>
        <v/>
      </c>
      <c r="J106">
        <f>IF(E106="","",BDP(E106,settings!$B$4))</f>
        <v/>
      </c>
      <c r="K106">
        <f>IF(F106="","",BDP(F106,settings!$B$4))</f>
        <v/>
      </c>
      <c r="L106">
        <f>IF(G106="","",BDP(G106,settings!$B$4))</f>
        <v/>
      </c>
      <c r="M106">
        <f>IF(H106="","",BDP(H106,settings!$B$4))</f>
        <v/>
      </c>
    </row>
    <row r="107">
      <c r="A107">
        <f>IF(overlay!$A107="","",overlay!$A107)</f>
        <v/>
      </c>
      <c r="B107">
        <f>IF(overlay!$B107="","",overlay!$B107)</f>
        <v/>
      </c>
      <c r="C107">
        <f>IF($B107="","",IFERROR(VLOOKUP(UPPER(TRIM($B107)),settings!$D$3:$E$60,2,FALSE),UPPER(TRIM($B107))))</f>
        <v/>
      </c>
      <c r="D107">
        <f>IF($A107="","",$A107&amp;"V"&amp;$C107&amp;settings!$B$5&amp;" Curncy")</f>
        <v/>
      </c>
      <c r="E107">
        <f>IF($A107="","",$A107&amp;"25R"&amp;$C107&amp;settings!$B$5&amp;" Curncy")</f>
        <v/>
      </c>
      <c r="F107">
        <f>IF($A107="","",$A107&amp;"10R"&amp;$C107&amp;settings!$B$5&amp;" Curncy")</f>
        <v/>
      </c>
      <c r="G107">
        <f>IF($A107="","",$A107&amp;"25B"&amp;$C107&amp;settings!$B$5&amp;" Curncy")</f>
        <v/>
      </c>
      <c r="H107">
        <f>IF($A107="","",$A107&amp;"10B"&amp;$C107&amp;settings!$B$5&amp;" Curncy")</f>
        <v/>
      </c>
      <c r="I107">
        <f>IF(D107="","",BDP(D107,settings!$B$4))</f>
        <v/>
      </c>
      <c r="J107">
        <f>IF(E107="","",BDP(E107,settings!$B$4))</f>
        <v/>
      </c>
      <c r="K107">
        <f>IF(F107="","",BDP(F107,settings!$B$4))</f>
        <v/>
      </c>
      <c r="L107">
        <f>IF(G107="","",BDP(G107,settings!$B$4))</f>
        <v/>
      </c>
      <c r="M107">
        <f>IF(H107="","",BDP(H107,settings!$B$4))</f>
        <v/>
      </c>
    </row>
    <row r="108">
      <c r="A108">
        <f>IF(overlay!$A108="","",overlay!$A108)</f>
        <v/>
      </c>
      <c r="B108">
        <f>IF(overlay!$B108="","",overlay!$B108)</f>
        <v/>
      </c>
      <c r="C108">
        <f>IF($B108="","",IFERROR(VLOOKUP(UPPER(TRIM($B108)),settings!$D$3:$E$60,2,FALSE),UPPER(TRIM($B108))))</f>
        <v/>
      </c>
      <c r="D108">
        <f>IF($A108="","",$A108&amp;"V"&amp;$C108&amp;settings!$B$5&amp;" Curncy")</f>
        <v/>
      </c>
      <c r="E108">
        <f>IF($A108="","",$A108&amp;"25R"&amp;$C108&amp;settings!$B$5&amp;" Curncy")</f>
        <v/>
      </c>
      <c r="F108">
        <f>IF($A108="","",$A108&amp;"10R"&amp;$C108&amp;settings!$B$5&amp;" Curncy")</f>
        <v/>
      </c>
      <c r="G108">
        <f>IF($A108="","",$A108&amp;"25B"&amp;$C108&amp;settings!$B$5&amp;" Curncy")</f>
        <v/>
      </c>
      <c r="H108">
        <f>IF($A108="","",$A108&amp;"10B"&amp;$C108&amp;settings!$B$5&amp;" Curncy")</f>
        <v/>
      </c>
      <c r="I108">
        <f>IF(D108="","",BDP(D108,settings!$B$4))</f>
        <v/>
      </c>
      <c r="J108">
        <f>IF(E108="","",BDP(E108,settings!$B$4))</f>
        <v/>
      </c>
      <c r="K108">
        <f>IF(F108="","",BDP(F108,settings!$B$4))</f>
        <v/>
      </c>
      <c r="L108">
        <f>IF(G108="","",BDP(G108,settings!$B$4))</f>
        <v/>
      </c>
      <c r="M108">
        <f>IF(H108="","",BDP(H108,settings!$B$4))</f>
        <v/>
      </c>
    </row>
    <row r="109">
      <c r="A109">
        <f>IF(overlay!$A109="","",overlay!$A109)</f>
        <v/>
      </c>
      <c r="B109">
        <f>IF(overlay!$B109="","",overlay!$B109)</f>
        <v/>
      </c>
      <c r="C109">
        <f>IF($B109="","",IFERROR(VLOOKUP(UPPER(TRIM($B109)),settings!$D$3:$E$60,2,FALSE),UPPER(TRIM($B109))))</f>
        <v/>
      </c>
      <c r="D109">
        <f>IF($A109="","",$A109&amp;"V"&amp;$C109&amp;settings!$B$5&amp;" Curncy")</f>
        <v/>
      </c>
      <c r="E109">
        <f>IF($A109="","",$A109&amp;"25R"&amp;$C109&amp;settings!$B$5&amp;" Curncy")</f>
        <v/>
      </c>
      <c r="F109">
        <f>IF($A109="","",$A109&amp;"10R"&amp;$C109&amp;settings!$B$5&amp;" Curncy")</f>
        <v/>
      </c>
      <c r="G109">
        <f>IF($A109="","",$A109&amp;"25B"&amp;$C109&amp;settings!$B$5&amp;" Curncy")</f>
        <v/>
      </c>
      <c r="H109">
        <f>IF($A109="","",$A109&amp;"10B"&amp;$C109&amp;settings!$B$5&amp;" Curncy")</f>
        <v/>
      </c>
      <c r="I109">
        <f>IF(D109="","",BDP(D109,settings!$B$4))</f>
        <v/>
      </c>
      <c r="J109">
        <f>IF(E109="","",BDP(E109,settings!$B$4))</f>
        <v/>
      </c>
      <c r="K109">
        <f>IF(F109="","",BDP(F109,settings!$B$4))</f>
        <v/>
      </c>
      <c r="L109">
        <f>IF(G109="","",BDP(G109,settings!$B$4))</f>
        <v/>
      </c>
      <c r="M109">
        <f>IF(H109="","",BDP(H109,settings!$B$4))</f>
        <v/>
      </c>
    </row>
    <row r="110">
      <c r="A110">
        <f>IF(overlay!$A110="","",overlay!$A110)</f>
        <v/>
      </c>
      <c r="B110">
        <f>IF(overlay!$B110="","",overlay!$B110)</f>
        <v/>
      </c>
      <c r="C110">
        <f>IF($B110="","",IFERROR(VLOOKUP(UPPER(TRIM($B110)),settings!$D$3:$E$60,2,FALSE),UPPER(TRIM($B110))))</f>
        <v/>
      </c>
      <c r="D110">
        <f>IF($A110="","",$A110&amp;"V"&amp;$C110&amp;settings!$B$5&amp;" Curncy")</f>
        <v/>
      </c>
      <c r="E110">
        <f>IF($A110="","",$A110&amp;"25R"&amp;$C110&amp;settings!$B$5&amp;" Curncy")</f>
        <v/>
      </c>
      <c r="F110">
        <f>IF($A110="","",$A110&amp;"10R"&amp;$C110&amp;settings!$B$5&amp;" Curncy")</f>
        <v/>
      </c>
      <c r="G110">
        <f>IF($A110="","",$A110&amp;"25B"&amp;$C110&amp;settings!$B$5&amp;" Curncy")</f>
        <v/>
      </c>
      <c r="H110">
        <f>IF($A110="","",$A110&amp;"10B"&amp;$C110&amp;settings!$B$5&amp;" Curncy")</f>
        <v/>
      </c>
      <c r="I110">
        <f>IF(D110="","",BDP(D110,settings!$B$4))</f>
        <v/>
      </c>
      <c r="J110">
        <f>IF(E110="","",BDP(E110,settings!$B$4))</f>
        <v/>
      </c>
      <c r="K110">
        <f>IF(F110="","",BDP(F110,settings!$B$4))</f>
        <v/>
      </c>
      <c r="L110">
        <f>IF(G110="","",BDP(G110,settings!$B$4))</f>
        <v/>
      </c>
      <c r="M110">
        <f>IF(H110="","",BDP(H110,settings!$B$4))</f>
        <v/>
      </c>
    </row>
    <row r="111">
      <c r="A111">
        <f>IF(overlay!$A111="","",overlay!$A111)</f>
        <v/>
      </c>
      <c r="B111">
        <f>IF(overlay!$B111="","",overlay!$B111)</f>
        <v/>
      </c>
      <c r="C111">
        <f>IF($B111="","",IFERROR(VLOOKUP(UPPER(TRIM($B111)),settings!$D$3:$E$60,2,FALSE),UPPER(TRIM($B111))))</f>
        <v/>
      </c>
      <c r="D111">
        <f>IF($A111="","",$A111&amp;"V"&amp;$C111&amp;settings!$B$5&amp;" Curncy")</f>
        <v/>
      </c>
      <c r="E111">
        <f>IF($A111="","",$A111&amp;"25R"&amp;$C111&amp;settings!$B$5&amp;" Curncy")</f>
        <v/>
      </c>
      <c r="F111">
        <f>IF($A111="","",$A111&amp;"10R"&amp;$C111&amp;settings!$B$5&amp;" Curncy")</f>
        <v/>
      </c>
      <c r="G111">
        <f>IF($A111="","",$A111&amp;"25B"&amp;$C111&amp;settings!$B$5&amp;" Curncy")</f>
        <v/>
      </c>
      <c r="H111">
        <f>IF($A111="","",$A111&amp;"10B"&amp;$C111&amp;settings!$B$5&amp;" Curncy")</f>
        <v/>
      </c>
      <c r="I111">
        <f>IF(D111="","",BDP(D111,settings!$B$4))</f>
        <v/>
      </c>
      <c r="J111">
        <f>IF(E111="","",BDP(E111,settings!$B$4))</f>
        <v/>
      </c>
      <c r="K111">
        <f>IF(F111="","",BDP(F111,settings!$B$4))</f>
        <v/>
      </c>
      <c r="L111">
        <f>IF(G111="","",BDP(G111,settings!$B$4))</f>
        <v/>
      </c>
      <c r="M111">
        <f>IF(H111="","",BDP(H111,settings!$B$4))</f>
        <v/>
      </c>
    </row>
    <row r="112">
      <c r="A112">
        <f>IF(overlay!$A112="","",overlay!$A112)</f>
        <v/>
      </c>
      <c r="B112">
        <f>IF(overlay!$B112="","",overlay!$B112)</f>
        <v/>
      </c>
      <c r="C112">
        <f>IF($B112="","",IFERROR(VLOOKUP(UPPER(TRIM($B112)),settings!$D$3:$E$60,2,FALSE),UPPER(TRIM($B112))))</f>
        <v/>
      </c>
      <c r="D112">
        <f>IF($A112="","",$A112&amp;"V"&amp;$C112&amp;settings!$B$5&amp;" Curncy")</f>
        <v/>
      </c>
      <c r="E112">
        <f>IF($A112="","",$A112&amp;"25R"&amp;$C112&amp;settings!$B$5&amp;" Curncy")</f>
        <v/>
      </c>
      <c r="F112">
        <f>IF($A112="","",$A112&amp;"10R"&amp;$C112&amp;settings!$B$5&amp;" Curncy")</f>
        <v/>
      </c>
      <c r="G112">
        <f>IF($A112="","",$A112&amp;"25B"&amp;$C112&amp;settings!$B$5&amp;" Curncy")</f>
        <v/>
      </c>
      <c r="H112">
        <f>IF($A112="","",$A112&amp;"10B"&amp;$C112&amp;settings!$B$5&amp;" Curncy")</f>
        <v/>
      </c>
      <c r="I112">
        <f>IF(D112="","",BDP(D112,settings!$B$4))</f>
        <v/>
      </c>
      <c r="J112">
        <f>IF(E112="","",BDP(E112,settings!$B$4))</f>
        <v/>
      </c>
      <c r="K112">
        <f>IF(F112="","",BDP(F112,settings!$B$4))</f>
        <v/>
      </c>
      <c r="L112">
        <f>IF(G112="","",BDP(G112,settings!$B$4))</f>
        <v/>
      </c>
      <c r="M112">
        <f>IF(H112="","",BDP(H112,settings!$B$4))</f>
        <v/>
      </c>
    </row>
    <row r="113">
      <c r="A113">
        <f>IF(overlay!$A113="","",overlay!$A113)</f>
        <v/>
      </c>
      <c r="B113">
        <f>IF(overlay!$B113="","",overlay!$B113)</f>
        <v/>
      </c>
      <c r="C113">
        <f>IF($B113="","",IFERROR(VLOOKUP(UPPER(TRIM($B113)),settings!$D$3:$E$60,2,FALSE),UPPER(TRIM($B113))))</f>
        <v/>
      </c>
      <c r="D113">
        <f>IF($A113="","",$A113&amp;"V"&amp;$C113&amp;settings!$B$5&amp;" Curncy")</f>
        <v/>
      </c>
      <c r="E113">
        <f>IF($A113="","",$A113&amp;"25R"&amp;$C113&amp;settings!$B$5&amp;" Curncy")</f>
        <v/>
      </c>
      <c r="F113">
        <f>IF($A113="","",$A113&amp;"10R"&amp;$C113&amp;settings!$B$5&amp;" Curncy")</f>
        <v/>
      </c>
      <c r="G113">
        <f>IF($A113="","",$A113&amp;"25B"&amp;$C113&amp;settings!$B$5&amp;" Curncy")</f>
        <v/>
      </c>
      <c r="H113">
        <f>IF($A113="","",$A113&amp;"10B"&amp;$C113&amp;settings!$B$5&amp;" Curncy")</f>
        <v/>
      </c>
      <c r="I113">
        <f>IF(D113="","",BDP(D113,settings!$B$4))</f>
        <v/>
      </c>
      <c r="J113">
        <f>IF(E113="","",BDP(E113,settings!$B$4))</f>
        <v/>
      </c>
      <c r="K113">
        <f>IF(F113="","",BDP(F113,settings!$B$4))</f>
        <v/>
      </c>
      <c r="L113">
        <f>IF(G113="","",BDP(G113,settings!$B$4))</f>
        <v/>
      </c>
      <c r="M113">
        <f>IF(H113="","",BDP(H113,settings!$B$4))</f>
        <v/>
      </c>
    </row>
    <row r="114">
      <c r="A114">
        <f>IF(overlay!$A114="","",overlay!$A114)</f>
        <v/>
      </c>
      <c r="B114">
        <f>IF(overlay!$B114="","",overlay!$B114)</f>
        <v/>
      </c>
      <c r="C114">
        <f>IF($B114="","",IFERROR(VLOOKUP(UPPER(TRIM($B114)),settings!$D$3:$E$60,2,FALSE),UPPER(TRIM($B114))))</f>
        <v/>
      </c>
      <c r="D114">
        <f>IF($A114="","",$A114&amp;"V"&amp;$C114&amp;settings!$B$5&amp;" Curncy")</f>
        <v/>
      </c>
      <c r="E114">
        <f>IF($A114="","",$A114&amp;"25R"&amp;$C114&amp;settings!$B$5&amp;" Curncy")</f>
        <v/>
      </c>
      <c r="F114">
        <f>IF($A114="","",$A114&amp;"10R"&amp;$C114&amp;settings!$B$5&amp;" Curncy")</f>
        <v/>
      </c>
      <c r="G114">
        <f>IF($A114="","",$A114&amp;"25B"&amp;$C114&amp;settings!$B$5&amp;" Curncy")</f>
        <v/>
      </c>
      <c r="H114">
        <f>IF($A114="","",$A114&amp;"10B"&amp;$C114&amp;settings!$B$5&amp;" Curncy")</f>
        <v/>
      </c>
      <c r="I114">
        <f>IF(D114="","",BDP(D114,settings!$B$4))</f>
        <v/>
      </c>
      <c r="J114">
        <f>IF(E114="","",BDP(E114,settings!$B$4))</f>
        <v/>
      </c>
      <c r="K114">
        <f>IF(F114="","",BDP(F114,settings!$B$4))</f>
        <v/>
      </c>
      <c r="L114">
        <f>IF(G114="","",BDP(G114,settings!$B$4))</f>
        <v/>
      </c>
      <c r="M114">
        <f>IF(H114="","",BDP(H114,settings!$B$4))</f>
        <v/>
      </c>
    </row>
    <row r="115">
      <c r="A115">
        <f>IF(overlay!$A115="","",overlay!$A115)</f>
        <v/>
      </c>
      <c r="B115">
        <f>IF(overlay!$B115="","",overlay!$B115)</f>
        <v/>
      </c>
      <c r="C115">
        <f>IF($B115="","",IFERROR(VLOOKUP(UPPER(TRIM($B115)),settings!$D$3:$E$60,2,FALSE),UPPER(TRIM($B115))))</f>
        <v/>
      </c>
      <c r="D115">
        <f>IF($A115="","",$A115&amp;"V"&amp;$C115&amp;settings!$B$5&amp;" Curncy")</f>
        <v/>
      </c>
      <c r="E115">
        <f>IF($A115="","",$A115&amp;"25R"&amp;$C115&amp;settings!$B$5&amp;" Curncy")</f>
        <v/>
      </c>
      <c r="F115">
        <f>IF($A115="","",$A115&amp;"10R"&amp;$C115&amp;settings!$B$5&amp;" Curncy")</f>
        <v/>
      </c>
      <c r="G115">
        <f>IF($A115="","",$A115&amp;"25B"&amp;$C115&amp;settings!$B$5&amp;" Curncy")</f>
        <v/>
      </c>
      <c r="H115">
        <f>IF($A115="","",$A115&amp;"10B"&amp;$C115&amp;settings!$B$5&amp;" Curncy")</f>
        <v/>
      </c>
      <c r="I115">
        <f>IF(D115="","",BDP(D115,settings!$B$4))</f>
        <v/>
      </c>
      <c r="J115">
        <f>IF(E115="","",BDP(E115,settings!$B$4))</f>
        <v/>
      </c>
      <c r="K115">
        <f>IF(F115="","",BDP(F115,settings!$B$4))</f>
        <v/>
      </c>
      <c r="L115">
        <f>IF(G115="","",BDP(G115,settings!$B$4))</f>
        <v/>
      </c>
      <c r="M115">
        <f>IF(H115="","",BDP(H115,settings!$B$4))</f>
        <v/>
      </c>
    </row>
    <row r="116">
      <c r="A116">
        <f>IF(overlay!$A116="","",overlay!$A116)</f>
        <v/>
      </c>
      <c r="B116">
        <f>IF(overlay!$B116="","",overlay!$B116)</f>
        <v/>
      </c>
      <c r="C116">
        <f>IF($B116="","",IFERROR(VLOOKUP(UPPER(TRIM($B116)),settings!$D$3:$E$60,2,FALSE),UPPER(TRIM($B116))))</f>
        <v/>
      </c>
      <c r="D116">
        <f>IF($A116="","",$A116&amp;"V"&amp;$C116&amp;settings!$B$5&amp;" Curncy")</f>
        <v/>
      </c>
      <c r="E116">
        <f>IF($A116="","",$A116&amp;"25R"&amp;$C116&amp;settings!$B$5&amp;" Curncy")</f>
        <v/>
      </c>
      <c r="F116">
        <f>IF($A116="","",$A116&amp;"10R"&amp;$C116&amp;settings!$B$5&amp;" Curncy")</f>
        <v/>
      </c>
      <c r="G116">
        <f>IF($A116="","",$A116&amp;"25B"&amp;$C116&amp;settings!$B$5&amp;" Curncy")</f>
        <v/>
      </c>
      <c r="H116">
        <f>IF($A116="","",$A116&amp;"10B"&amp;$C116&amp;settings!$B$5&amp;" Curncy")</f>
        <v/>
      </c>
      <c r="I116">
        <f>IF(D116="","",BDP(D116,settings!$B$4))</f>
        <v/>
      </c>
      <c r="J116">
        <f>IF(E116="","",BDP(E116,settings!$B$4))</f>
        <v/>
      </c>
      <c r="K116">
        <f>IF(F116="","",BDP(F116,settings!$B$4))</f>
        <v/>
      </c>
      <c r="L116">
        <f>IF(G116="","",BDP(G116,settings!$B$4))</f>
        <v/>
      </c>
      <c r="M116">
        <f>IF(H116="","",BDP(H116,settings!$B$4))</f>
        <v/>
      </c>
    </row>
    <row r="117">
      <c r="A117">
        <f>IF(overlay!$A117="","",overlay!$A117)</f>
        <v/>
      </c>
      <c r="B117">
        <f>IF(overlay!$B117="","",overlay!$B117)</f>
        <v/>
      </c>
      <c r="C117">
        <f>IF($B117="","",IFERROR(VLOOKUP(UPPER(TRIM($B117)),settings!$D$3:$E$60,2,FALSE),UPPER(TRIM($B117))))</f>
        <v/>
      </c>
      <c r="D117">
        <f>IF($A117="","",$A117&amp;"V"&amp;$C117&amp;settings!$B$5&amp;" Curncy")</f>
        <v/>
      </c>
      <c r="E117">
        <f>IF($A117="","",$A117&amp;"25R"&amp;$C117&amp;settings!$B$5&amp;" Curncy")</f>
        <v/>
      </c>
      <c r="F117">
        <f>IF($A117="","",$A117&amp;"10R"&amp;$C117&amp;settings!$B$5&amp;" Curncy")</f>
        <v/>
      </c>
      <c r="G117">
        <f>IF($A117="","",$A117&amp;"25B"&amp;$C117&amp;settings!$B$5&amp;" Curncy")</f>
        <v/>
      </c>
      <c r="H117">
        <f>IF($A117="","",$A117&amp;"10B"&amp;$C117&amp;settings!$B$5&amp;" Curncy")</f>
        <v/>
      </c>
      <c r="I117">
        <f>IF(D117="","",BDP(D117,settings!$B$4))</f>
        <v/>
      </c>
      <c r="J117">
        <f>IF(E117="","",BDP(E117,settings!$B$4))</f>
        <v/>
      </c>
      <c r="K117">
        <f>IF(F117="","",BDP(F117,settings!$B$4))</f>
        <v/>
      </c>
      <c r="L117">
        <f>IF(G117="","",BDP(G117,settings!$B$4))</f>
        <v/>
      </c>
      <c r="M117">
        <f>IF(H117="","",BDP(H117,settings!$B$4))</f>
        <v/>
      </c>
    </row>
    <row r="118">
      <c r="A118">
        <f>IF(overlay!$A118="","",overlay!$A118)</f>
        <v/>
      </c>
      <c r="B118">
        <f>IF(overlay!$B118="","",overlay!$B118)</f>
        <v/>
      </c>
      <c r="C118">
        <f>IF($B118="","",IFERROR(VLOOKUP(UPPER(TRIM($B118)),settings!$D$3:$E$60,2,FALSE),UPPER(TRIM($B118))))</f>
        <v/>
      </c>
      <c r="D118">
        <f>IF($A118="","",$A118&amp;"V"&amp;$C118&amp;settings!$B$5&amp;" Curncy")</f>
        <v/>
      </c>
      <c r="E118">
        <f>IF($A118="","",$A118&amp;"25R"&amp;$C118&amp;settings!$B$5&amp;" Curncy")</f>
        <v/>
      </c>
      <c r="F118">
        <f>IF($A118="","",$A118&amp;"10R"&amp;$C118&amp;settings!$B$5&amp;" Curncy")</f>
        <v/>
      </c>
      <c r="G118">
        <f>IF($A118="","",$A118&amp;"25B"&amp;$C118&amp;settings!$B$5&amp;" Curncy")</f>
        <v/>
      </c>
      <c r="H118">
        <f>IF($A118="","",$A118&amp;"10B"&amp;$C118&amp;settings!$B$5&amp;" Curncy")</f>
        <v/>
      </c>
      <c r="I118">
        <f>IF(D118="","",BDP(D118,settings!$B$4))</f>
        <v/>
      </c>
      <c r="J118">
        <f>IF(E118="","",BDP(E118,settings!$B$4))</f>
        <v/>
      </c>
      <c r="K118">
        <f>IF(F118="","",BDP(F118,settings!$B$4))</f>
        <v/>
      </c>
      <c r="L118">
        <f>IF(G118="","",BDP(G118,settings!$B$4))</f>
        <v/>
      </c>
      <c r="M118">
        <f>IF(H118="","",BDP(H118,settings!$B$4))</f>
        <v/>
      </c>
    </row>
    <row r="119">
      <c r="A119">
        <f>IF(overlay!$A119="","",overlay!$A119)</f>
        <v/>
      </c>
      <c r="B119">
        <f>IF(overlay!$B119="","",overlay!$B119)</f>
        <v/>
      </c>
      <c r="C119">
        <f>IF($B119="","",IFERROR(VLOOKUP(UPPER(TRIM($B119)),settings!$D$3:$E$60,2,FALSE),UPPER(TRIM($B119))))</f>
        <v/>
      </c>
      <c r="D119">
        <f>IF($A119="","",$A119&amp;"V"&amp;$C119&amp;settings!$B$5&amp;" Curncy")</f>
        <v/>
      </c>
      <c r="E119">
        <f>IF($A119="","",$A119&amp;"25R"&amp;$C119&amp;settings!$B$5&amp;" Curncy")</f>
        <v/>
      </c>
      <c r="F119">
        <f>IF($A119="","",$A119&amp;"10R"&amp;$C119&amp;settings!$B$5&amp;" Curncy")</f>
        <v/>
      </c>
      <c r="G119">
        <f>IF($A119="","",$A119&amp;"25B"&amp;$C119&amp;settings!$B$5&amp;" Curncy")</f>
        <v/>
      </c>
      <c r="H119">
        <f>IF($A119="","",$A119&amp;"10B"&amp;$C119&amp;settings!$B$5&amp;" Curncy")</f>
        <v/>
      </c>
      <c r="I119">
        <f>IF(D119="","",BDP(D119,settings!$B$4))</f>
        <v/>
      </c>
      <c r="J119">
        <f>IF(E119="","",BDP(E119,settings!$B$4))</f>
        <v/>
      </c>
      <c r="K119">
        <f>IF(F119="","",BDP(F119,settings!$B$4))</f>
        <v/>
      </c>
      <c r="L119">
        <f>IF(G119="","",BDP(G119,settings!$B$4))</f>
        <v/>
      </c>
      <c r="M119">
        <f>IF(H119="","",BDP(H119,settings!$B$4))</f>
        <v/>
      </c>
    </row>
    <row r="120">
      <c r="A120">
        <f>IF(overlay!$A120="","",overlay!$A120)</f>
        <v/>
      </c>
      <c r="B120">
        <f>IF(overlay!$B120="","",overlay!$B120)</f>
        <v/>
      </c>
      <c r="C120">
        <f>IF($B120="","",IFERROR(VLOOKUP(UPPER(TRIM($B120)),settings!$D$3:$E$60,2,FALSE),UPPER(TRIM($B120))))</f>
        <v/>
      </c>
      <c r="D120">
        <f>IF($A120="","",$A120&amp;"V"&amp;$C120&amp;settings!$B$5&amp;" Curncy")</f>
        <v/>
      </c>
      <c r="E120">
        <f>IF($A120="","",$A120&amp;"25R"&amp;$C120&amp;settings!$B$5&amp;" Curncy")</f>
        <v/>
      </c>
      <c r="F120">
        <f>IF($A120="","",$A120&amp;"10R"&amp;$C120&amp;settings!$B$5&amp;" Curncy")</f>
        <v/>
      </c>
      <c r="G120">
        <f>IF($A120="","",$A120&amp;"25B"&amp;$C120&amp;settings!$B$5&amp;" Curncy")</f>
        <v/>
      </c>
      <c r="H120">
        <f>IF($A120="","",$A120&amp;"10B"&amp;$C120&amp;settings!$B$5&amp;" Curncy")</f>
        <v/>
      </c>
      <c r="I120">
        <f>IF(D120="","",BDP(D120,settings!$B$4))</f>
        <v/>
      </c>
      <c r="J120">
        <f>IF(E120="","",BDP(E120,settings!$B$4))</f>
        <v/>
      </c>
      <c r="K120">
        <f>IF(F120="","",BDP(F120,settings!$B$4))</f>
        <v/>
      </c>
      <c r="L120">
        <f>IF(G120="","",BDP(G120,settings!$B$4))</f>
        <v/>
      </c>
      <c r="M120">
        <f>IF(H120="","",BDP(H120,settings!$B$4))</f>
        <v/>
      </c>
    </row>
    <row r="121">
      <c r="A121">
        <f>IF(overlay!$A121="","",overlay!$A121)</f>
        <v/>
      </c>
      <c r="B121">
        <f>IF(overlay!$B121="","",overlay!$B121)</f>
        <v/>
      </c>
      <c r="C121">
        <f>IF($B121="","",IFERROR(VLOOKUP(UPPER(TRIM($B121)),settings!$D$3:$E$60,2,FALSE),UPPER(TRIM($B121))))</f>
        <v/>
      </c>
      <c r="D121">
        <f>IF($A121="","",$A121&amp;"V"&amp;$C121&amp;settings!$B$5&amp;" Curncy")</f>
        <v/>
      </c>
      <c r="E121">
        <f>IF($A121="","",$A121&amp;"25R"&amp;$C121&amp;settings!$B$5&amp;" Curncy")</f>
        <v/>
      </c>
      <c r="F121">
        <f>IF($A121="","",$A121&amp;"10R"&amp;$C121&amp;settings!$B$5&amp;" Curncy")</f>
        <v/>
      </c>
      <c r="G121">
        <f>IF($A121="","",$A121&amp;"25B"&amp;$C121&amp;settings!$B$5&amp;" Curncy")</f>
        <v/>
      </c>
      <c r="H121">
        <f>IF($A121="","",$A121&amp;"10B"&amp;$C121&amp;settings!$B$5&amp;" Curncy")</f>
        <v/>
      </c>
      <c r="I121">
        <f>IF(D121="","",BDP(D121,settings!$B$4))</f>
        <v/>
      </c>
      <c r="J121">
        <f>IF(E121="","",BDP(E121,settings!$B$4))</f>
        <v/>
      </c>
      <c r="K121">
        <f>IF(F121="","",BDP(F121,settings!$B$4))</f>
        <v/>
      </c>
      <c r="L121">
        <f>IF(G121="","",BDP(G121,settings!$B$4))</f>
        <v/>
      </c>
      <c r="M121">
        <f>IF(H121="","",BDP(H121,settings!$B$4))</f>
        <v/>
      </c>
    </row>
    <row r="122">
      <c r="A122">
        <f>IF(overlay!$A122="","",overlay!$A122)</f>
        <v/>
      </c>
      <c r="B122">
        <f>IF(overlay!$B122="","",overlay!$B122)</f>
        <v/>
      </c>
      <c r="C122">
        <f>IF($B122="","",IFERROR(VLOOKUP(UPPER(TRIM($B122)),settings!$D$3:$E$60,2,FALSE),UPPER(TRIM($B122))))</f>
        <v/>
      </c>
      <c r="D122">
        <f>IF($A122="","",$A122&amp;"V"&amp;$C122&amp;settings!$B$5&amp;" Curncy")</f>
        <v/>
      </c>
      <c r="E122">
        <f>IF($A122="","",$A122&amp;"25R"&amp;$C122&amp;settings!$B$5&amp;" Curncy")</f>
        <v/>
      </c>
      <c r="F122">
        <f>IF($A122="","",$A122&amp;"10R"&amp;$C122&amp;settings!$B$5&amp;" Curncy")</f>
        <v/>
      </c>
      <c r="G122">
        <f>IF($A122="","",$A122&amp;"25B"&amp;$C122&amp;settings!$B$5&amp;" Curncy")</f>
        <v/>
      </c>
      <c r="H122">
        <f>IF($A122="","",$A122&amp;"10B"&amp;$C122&amp;settings!$B$5&amp;" Curncy")</f>
        <v/>
      </c>
      <c r="I122">
        <f>IF(D122="","",BDP(D122,settings!$B$4))</f>
        <v/>
      </c>
      <c r="J122">
        <f>IF(E122="","",BDP(E122,settings!$B$4))</f>
        <v/>
      </c>
      <c r="K122">
        <f>IF(F122="","",BDP(F122,settings!$B$4))</f>
        <v/>
      </c>
      <c r="L122">
        <f>IF(G122="","",BDP(G122,settings!$B$4))</f>
        <v/>
      </c>
      <c r="M122">
        <f>IF(H122="","",BDP(H122,settings!$B$4))</f>
        <v/>
      </c>
    </row>
    <row r="123">
      <c r="A123">
        <f>IF(overlay!$A123="","",overlay!$A123)</f>
        <v/>
      </c>
      <c r="B123">
        <f>IF(overlay!$B123="","",overlay!$B123)</f>
        <v/>
      </c>
      <c r="C123">
        <f>IF($B123="","",IFERROR(VLOOKUP(UPPER(TRIM($B123)),settings!$D$3:$E$60,2,FALSE),UPPER(TRIM($B123))))</f>
        <v/>
      </c>
      <c r="D123">
        <f>IF($A123="","",$A123&amp;"V"&amp;$C123&amp;settings!$B$5&amp;" Curncy")</f>
        <v/>
      </c>
      <c r="E123">
        <f>IF($A123="","",$A123&amp;"25R"&amp;$C123&amp;settings!$B$5&amp;" Curncy")</f>
        <v/>
      </c>
      <c r="F123">
        <f>IF($A123="","",$A123&amp;"10R"&amp;$C123&amp;settings!$B$5&amp;" Curncy")</f>
        <v/>
      </c>
      <c r="G123">
        <f>IF($A123="","",$A123&amp;"25B"&amp;$C123&amp;settings!$B$5&amp;" Curncy")</f>
        <v/>
      </c>
      <c r="H123">
        <f>IF($A123="","",$A123&amp;"10B"&amp;$C123&amp;settings!$B$5&amp;" Curncy")</f>
        <v/>
      </c>
      <c r="I123">
        <f>IF(D123="","",BDP(D123,settings!$B$4))</f>
        <v/>
      </c>
      <c r="J123">
        <f>IF(E123="","",BDP(E123,settings!$B$4))</f>
        <v/>
      </c>
      <c r="K123">
        <f>IF(F123="","",BDP(F123,settings!$B$4))</f>
        <v/>
      </c>
      <c r="L123">
        <f>IF(G123="","",BDP(G123,settings!$B$4))</f>
        <v/>
      </c>
      <c r="M123">
        <f>IF(H123="","",BDP(H123,settings!$B$4))</f>
        <v/>
      </c>
    </row>
    <row r="124">
      <c r="A124">
        <f>IF(overlay!$A124="","",overlay!$A124)</f>
        <v/>
      </c>
      <c r="B124">
        <f>IF(overlay!$B124="","",overlay!$B124)</f>
        <v/>
      </c>
      <c r="C124">
        <f>IF($B124="","",IFERROR(VLOOKUP(UPPER(TRIM($B124)),settings!$D$3:$E$60,2,FALSE),UPPER(TRIM($B124))))</f>
        <v/>
      </c>
      <c r="D124">
        <f>IF($A124="","",$A124&amp;"V"&amp;$C124&amp;settings!$B$5&amp;" Curncy")</f>
        <v/>
      </c>
      <c r="E124">
        <f>IF($A124="","",$A124&amp;"25R"&amp;$C124&amp;settings!$B$5&amp;" Curncy")</f>
        <v/>
      </c>
      <c r="F124">
        <f>IF($A124="","",$A124&amp;"10R"&amp;$C124&amp;settings!$B$5&amp;" Curncy")</f>
        <v/>
      </c>
      <c r="G124">
        <f>IF($A124="","",$A124&amp;"25B"&amp;$C124&amp;settings!$B$5&amp;" Curncy")</f>
        <v/>
      </c>
      <c r="H124">
        <f>IF($A124="","",$A124&amp;"10B"&amp;$C124&amp;settings!$B$5&amp;" Curncy")</f>
        <v/>
      </c>
      <c r="I124">
        <f>IF(D124="","",BDP(D124,settings!$B$4))</f>
        <v/>
      </c>
      <c r="J124">
        <f>IF(E124="","",BDP(E124,settings!$B$4))</f>
        <v/>
      </c>
      <c r="K124">
        <f>IF(F124="","",BDP(F124,settings!$B$4))</f>
        <v/>
      </c>
      <c r="L124">
        <f>IF(G124="","",BDP(G124,settings!$B$4))</f>
        <v/>
      </c>
      <c r="M124">
        <f>IF(H124="","",BDP(H124,settings!$B$4))</f>
        <v/>
      </c>
    </row>
    <row r="125">
      <c r="A125">
        <f>IF(overlay!$A125="","",overlay!$A125)</f>
        <v/>
      </c>
      <c r="B125">
        <f>IF(overlay!$B125="","",overlay!$B125)</f>
        <v/>
      </c>
      <c r="C125">
        <f>IF($B125="","",IFERROR(VLOOKUP(UPPER(TRIM($B125)),settings!$D$3:$E$60,2,FALSE),UPPER(TRIM($B125))))</f>
        <v/>
      </c>
      <c r="D125">
        <f>IF($A125="","",$A125&amp;"V"&amp;$C125&amp;settings!$B$5&amp;" Curncy")</f>
        <v/>
      </c>
      <c r="E125">
        <f>IF($A125="","",$A125&amp;"25R"&amp;$C125&amp;settings!$B$5&amp;" Curncy")</f>
        <v/>
      </c>
      <c r="F125">
        <f>IF($A125="","",$A125&amp;"10R"&amp;$C125&amp;settings!$B$5&amp;" Curncy")</f>
        <v/>
      </c>
      <c r="G125">
        <f>IF($A125="","",$A125&amp;"25B"&amp;$C125&amp;settings!$B$5&amp;" Curncy")</f>
        <v/>
      </c>
      <c r="H125">
        <f>IF($A125="","",$A125&amp;"10B"&amp;$C125&amp;settings!$B$5&amp;" Curncy")</f>
        <v/>
      </c>
      <c r="I125">
        <f>IF(D125="","",BDP(D125,settings!$B$4))</f>
        <v/>
      </c>
      <c r="J125">
        <f>IF(E125="","",BDP(E125,settings!$B$4))</f>
        <v/>
      </c>
      <c r="K125">
        <f>IF(F125="","",BDP(F125,settings!$B$4))</f>
        <v/>
      </c>
      <c r="L125">
        <f>IF(G125="","",BDP(G125,settings!$B$4))</f>
        <v/>
      </c>
      <c r="M125">
        <f>IF(H125="","",BDP(H125,settings!$B$4))</f>
        <v/>
      </c>
    </row>
    <row r="126">
      <c r="A126">
        <f>IF(overlay!$A126="","",overlay!$A126)</f>
        <v/>
      </c>
      <c r="B126">
        <f>IF(overlay!$B126="","",overlay!$B126)</f>
        <v/>
      </c>
      <c r="C126">
        <f>IF($B126="","",IFERROR(VLOOKUP(UPPER(TRIM($B126)),settings!$D$3:$E$60,2,FALSE),UPPER(TRIM($B126))))</f>
        <v/>
      </c>
      <c r="D126">
        <f>IF($A126="","",$A126&amp;"V"&amp;$C126&amp;settings!$B$5&amp;" Curncy")</f>
        <v/>
      </c>
      <c r="E126">
        <f>IF($A126="","",$A126&amp;"25R"&amp;$C126&amp;settings!$B$5&amp;" Curncy")</f>
        <v/>
      </c>
      <c r="F126">
        <f>IF($A126="","",$A126&amp;"10R"&amp;$C126&amp;settings!$B$5&amp;" Curncy")</f>
        <v/>
      </c>
      <c r="G126">
        <f>IF($A126="","",$A126&amp;"25B"&amp;$C126&amp;settings!$B$5&amp;" Curncy")</f>
        <v/>
      </c>
      <c r="H126">
        <f>IF($A126="","",$A126&amp;"10B"&amp;$C126&amp;settings!$B$5&amp;" Curncy")</f>
        <v/>
      </c>
      <c r="I126">
        <f>IF(D126="","",BDP(D126,settings!$B$4))</f>
        <v/>
      </c>
      <c r="J126">
        <f>IF(E126="","",BDP(E126,settings!$B$4))</f>
        <v/>
      </c>
      <c r="K126">
        <f>IF(F126="","",BDP(F126,settings!$B$4))</f>
        <v/>
      </c>
      <c r="L126">
        <f>IF(G126="","",BDP(G126,settings!$B$4))</f>
        <v/>
      </c>
      <c r="M126">
        <f>IF(H126="","",BDP(H126,settings!$B$4))</f>
        <v/>
      </c>
    </row>
    <row r="127">
      <c r="A127">
        <f>IF(overlay!$A127="","",overlay!$A127)</f>
        <v/>
      </c>
      <c r="B127">
        <f>IF(overlay!$B127="","",overlay!$B127)</f>
        <v/>
      </c>
      <c r="C127">
        <f>IF($B127="","",IFERROR(VLOOKUP(UPPER(TRIM($B127)),settings!$D$3:$E$60,2,FALSE),UPPER(TRIM($B127))))</f>
        <v/>
      </c>
      <c r="D127">
        <f>IF($A127="","",$A127&amp;"V"&amp;$C127&amp;settings!$B$5&amp;" Curncy")</f>
        <v/>
      </c>
      <c r="E127">
        <f>IF($A127="","",$A127&amp;"25R"&amp;$C127&amp;settings!$B$5&amp;" Curncy")</f>
        <v/>
      </c>
      <c r="F127">
        <f>IF($A127="","",$A127&amp;"10R"&amp;$C127&amp;settings!$B$5&amp;" Curncy")</f>
        <v/>
      </c>
      <c r="G127">
        <f>IF($A127="","",$A127&amp;"25B"&amp;$C127&amp;settings!$B$5&amp;" Curncy")</f>
        <v/>
      </c>
      <c r="H127">
        <f>IF($A127="","",$A127&amp;"10B"&amp;$C127&amp;settings!$B$5&amp;" Curncy")</f>
        <v/>
      </c>
      <c r="I127">
        <f>IF(D127="","",BDP(D127,settings!$B$4))</f>
        <v/>
      </c>
      <c r="J127">
        <f>IF(E127="","",BDP(E127,settings!$B$4))</f>
        <v/>
      </c>
      <c r="K127">
        <f>IF(F127="","",BDP(F127,settings!$B$4))</f>
        <v/>
      </c>
      <c r="L127">
        <f>IF(G127="","",BDP(G127,settings!$B$4))</f>
        <v/>
      </c>
      <c r="M127">
        <f>IF(H127="","",BDP(H127,settings!$B$4))</f>
        <v/>
      </c>
    </row>
    <row r="128">
      <c r="A128">
        <f>IF(overlay!$A128="","",overlay!$A128)</f>
        <v/>
      </c>
      <c r="B128">
        <f>IF(overlay!$B128="","",overlay!$B128)</f>
        <v/>
      </c>
      <c r="C128">
        <f>IF($B128="","",IFERROR(VLOOKUP(UPPER(TRIM($B128)),settings!$D$3:$E$60,2,FALSE),UPPER(TRIM($B128))))</f>
        <v/>
      </c>
      <c r="D128">
        <f>IF($A128="","",$A128&amp;"V"&amp;$C128&amp;settings!$B$5&amp;" Curncy")</f>
        <v/>
      </c>
      <c r="E128">
        <f>IF($A128="","",$A128&amp;"25R"&amp;$C128&amp;settings!$B$5&amp;" Curncy")</f>
        <v/>
      </c>
      <c r="F128">
        <f>IF($A128="","",$A128&amp;"10R"&amp;$C128&amp;settings!$B$5&amp;" Curncy")</f>
        <v/>
      </c>
      <c r="G128">
        <f>IF($A128="","",$A128&amp;"25B"&amp;$C128&amp;settings!$B$5&amp;" Curncy")</f>
        <v/>
      </c>
      <c r="H128">
        <f>IF($A128="","",$A128&amp;"10B"&amp;$C128&amp;settings!$B$5&amp;" Curncy")</f>
        <v/>
      </c>
      <c r="I128">
        <f>IF(D128="","",BDP(D128,settings!$B$4))</f>
        <v/>
      </c>
      <c r="J128">
        <f>IF(E128="","",BDP(E128,settings!$B$4))</f>
        <v/>
      </c>
      <c r="K128">
        <f>IF(F128="","",BDP(F128,settings!$B$4))</f>
        <v/>
      </c>
      <c r="L128">
        <f>IF(G128="","",BDP(G128,settings!$B$4))</f>
        <v/>
      </c>
      <c r="M128">
        <f>IF(H128="","",BDP(H128,settings!$B$4))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58" customWidth="1" min="3" max="3"/>
    <col width="26" customWidth="1" min="4" max="4"/>
    <col width="16" customWidth="1" min="5" max="5"/>
    <col width="2" customWidth="1" min="6" max="6"/>
    <col width="90" customWidth="1" min="7" max="7"/>
  </cols>
  <sheetData>
    <row r="1">
      <c r="A1" s="2" t="inlineStr">
        <is>
          <t>setting</t>
        </is>
      </c>
      <c r="B1" s="2" t="inlineStr">
        <is>
          <t>value</t>
        </is>
      </c>
      <c r="C1" s="2" t="inlineStr">
        <is>
          <t>what it is</t>
        </is>
      </c>
      <c r="D1" s="2" t="inlineStr">
        <is>
          <t>tenor as CONFIG writes it</t>
        </is>
      </c>
      <c r="E1" s="2" t="inlineStr">
        <is>
          <t>Bloomberg code</t>
        </is>
      </c>
      <c r="G1" s="2" t="inlineStr">
        <is>
          <t>How to use</t>
        </is>
      </c>
    </row>
    <row r="2">
      <c r="A2" t="inlineStr">
        <is>
          <t>volkit workbook</t>
        </is>
      </c>
      <c r="B2" s="3" t="inlineStr">
        <is>
          <t>vol_marks.xlsx</t>
        </is>
      </c>
      <c r="C2" s="1" t="inlineStr">
        <is>
          <t>whose CONFIG names the pairs and tenors; a bare name is beside this file</t>
        </is>
      </c>
      <c r="D2" s="1" t="inlineStr">
        <is>
          <t>(anything not listed is used upper-cased: 1m -&gt; 1M)</t>
        </is>
      </c>
      <c r="G2" s="4" t="inlineStr">
        <is>
          <t>1. Open on a Bloomberg terminal with the Excel add-in loaded; the pulls fill in by themselves.</t>
        </is>
      </c>
    </row>
    <row r="3">
      <c r="A3" t="inlineStr">
        <is>
          <t>pricing source</t>
        </is>
      </c>
      <c r="B3" s="3" t="inlineStr"/>
      <c r="C3" s="1" t="inlineStr">
        <is>
          <t>blank for the terminal's default, or BGN, CMPN ...: goes into the ticker</t>
        </is>
      </c>
      <c r="D3" t="inlineStr">
        <is>
          <t>1D</t>
        </is>
      </c>
      <c r="E3" t="inlineStr">
        <is>
          <t>ON</t>
        </is>
      </c>
      <c r="G3" s="4" t="inlineStr">
        <is>
          <t>2. When 'quotes in' stops rising, save. volkit reads what was saved, never the live cells.</t>
        </is>
      </c>
    </row>
    <row r="4">
      <c r="A4" t="inlineStr">
        <is>
          <t>field</t>
        </is>
      </c>
      <c r="B4" s="3" t="inlineStr">
        <is>
          <t>PX_LAST</t>
        </is>
      </c>
      <c r="C4" s="1" t="inlineStr">
        <is>
          <t>what BDP asks for</t>
        </is>
      </c>
      <c r="D4" t="inlineStr">
        <is>
          <t>ON</t>
        </is>
      </c>
      <c r="E4" t="inlineStr">
        <is>
          <t>ON</t>
        </is>
      </c>
      <c r="G4" s="4" t="inlineStr">
        <is>
          <t>3. Vol bulk processing &gt; overlay &gt; Browse... this file. A blank quote falls through to the book.</t>
        </is>
      </c>
    </row>
    <row r="5">
      <c r="A5" t="inlineStr">
        <is>
          <t>ticker suffix</t>
        </is>
      </c>
      <c r="B5">
        <f>IF(TRIM(B3)="",""," "&amp;TRIM(B3))</f>
        <v/>
      </c>
      <c r="C5" s="1" t="inlineStr">
        <is>
          <t>worked out from the source</t>
        </is>
      </c>
      <c r="D5" t="inlineStr">
        <is>
          <t>O/N</t>
        </is>
      </c>
      <c r="E5" t="inlineStr">
        <is>
          <t>ON</t>
        </is>
      </c>
      <c r="G5" s="4" t="inlineStr">
        <is>
          <t>The list: import volkit_bbg_overlay.bas (Alt+F11, File &gt; Import) and save as .xlsm once.</t>
        </is>
      </c>
    </row>
    <row r="6">
      <c r="A6" t="inlineStr">
        <is>
          <t>quotes in</t>
        </is>
      </c>
      <c r="B6">
        <f>COUNT(overlay!C3:G5000)</f>
        <v/>
      </c>
      <c r="C6" s="1" t="inlineStr">
        <is>
          <t>numbers on the overlay sheet now</t>
        </is>
      </c>
      <c r="D6" t="inlineStr">
        <is>
          <t>OVERNIGHT</t>
        </is>
      </c>
      <c r="E6" t="inlineStr">
        <is>
          <t>ON</t>
        </is>
      </c>
      <c r="G6" s="4" t="inlineStr">
        <is>
          <t xml:space="preserve">   It then re-reads CONFIG every time this file opens; VolkitBbgRefreshList does it on demand.</t>
        </is>
      </c>
    </row>
    <row r="7">
      <c r="A7" t="inlineStr">
        <is>
          <t>quotes asked</t>
        </is>
      </c>
      <c r="B7">
        <f>SUMPRODUCT(--(bbg!D3:H5000&lt;&gt;""))</f>
        <v/>
      </c>
      <c r="C7" s="1" t="inlineStr">
        <is>
          <t>tickers asked for</t>
        </is>
      </c>
      <c r="D7" t="inlineStr">
        <is>
          <t>1WK</t>
        </is>
      </c>
      <c r="E7" t="inlineStr">
        <is>
          <t>1W</t>
        </is>
      </c>
      <c r="G7" s="4" t="inlineStr">
        <is>
          <t>Keep 'overlay' the first sheet: the overlay reader reads the first sheet only.</t>
        </is>
      </c>
    </row>
    <row r="8">
      <c r="A8" t="inlineStr">
        <is>
          <t>list read</t>
        </is>
      </c>
      <c r="B8" t="inlineStr">
        <is>
          <t>written by volkit 2026-09-25 10:05 from vol_marks.xlsx</t>
        </is>
      </c>
      <c r="C8" s="1" t="inlineStr">
        <is>
          <t>when the macro last read CONFIG, or why it could not</t>
        </is>
      </c>
      <c r="D8" t="inlineStr">
        <is>
          <t>12M</t>
        </is>
      </c>
      <c r="E8" t="inlineStr">
        <is>
          <t>1Y</t>
        </is>
      </c>
    </row>
    <row r="9">
      <c r="A9" t="inlineStr">
        <is>
          <t>pairs</t>
        </is>
      </c>
      <c r="B9" t="n">
        <v>14</v>
      </c>
      <c r="C9" s="1" t="inlineStr"/>
      <c r="D9" t="inlineStr">
        <is>
          <t>24M</t>
        </is>
      </c>
      <c r="E9" t="inlineStr">
        <is>
          <t>2Y</t>
        </is>
      </c>
    </row>
    <row r="10">
      <c r="A10" t="inlineStr">
        <is>
          <t>tenors</t>
        </is>
      </c>
      <c r="B10" t="n">
        <v>9</v>
      </c>
      <c r="C10" s="1" t="inlineStr"/>
      <c r="D10" t="inlineStr">
        <is>
          <t>36M</t>
        </is>
      </c>
      <c r="E10" t="inlineStr">
        <is>
          <t>3Y</t>
        </is>
      </c>
    </row>
    <row r="11">
      <c r="D11" t="inlineStr">
        <is>
          <t>48M</t>
        </is>
      </c>
      <c r="E11" t="inlineStr">
        <is>
          <t>4Y</t>
        </is>
      </c>
    </row>
    <row r="12">
      <c r="D12" t="inlineStr">
        <is>
          <t>60M</t>
        </is>
      </c>
      <c r="E12" t="inlineStr">
        <is>
          <t>5Y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2026-09-25T02:05:02Z</dcterms:created>
  <dcterms:modified xsi:type="dcterms:W3CDTF">2026-09-25T02:05:02Z</dcterms:modified>
</cp:coreProperties>
</file>