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6" autoFilterDateGrouping="1"/>
  </bookViews>
  <sheets>
    <sheet name="INDIC_CONFIG" sheetId="1" state="visible" r:id="rId1"/>
    <sheet name="CONFIG" sheetId="2" state="visible" r:id="rId2"/>
    <sheet name="NZDUSD" sheetId="3" state="visible" r:id="rId3"/>
    <sheet name="GBPUSD" sheetId="4" state="visible" r:id="rId4"/>
    <sheet name="GBPNZD" sheetId="5" state="visible" r:id="rId5"/>
    <sheet name="EURGBP" sheetId="6" state="visible" r:id="rId6"/>
    <sheet name="USDHKD" sheetId="7" state="visible" r:id="rId7"/>
    <sheet name="GBPCNH" sheetId="8" state="visible" r:id="rId8"/>
    <sheet name="AUDCNH" sheetId="9" state="visible" r:id="rId9"/>
    <sheet name="NZDCNH" sheetId="10" state="visible" r:id="rId10"/>
    <sheet name="CNHHKD" sheetId="11" state="visible" r:id="rId11"/>
    <sheet name="EURCNH" sheetId="12" state="visible" r:id="rId12"/>
    <sheet name="AUDJPY" sheetId="13" state="visible" r:id="rId13"/>
    <sheet name="EURJPY" sheetId="14" state="visible" r:id="rId14"/>
    <sheet name="EURUSD" sheetId="15" state="visible" r:id="rId15"/>
    <sheet name="AUDUSD" sheetId="16" state="visible" r:id="rId16"/>
    <sheet name="USDJPY" sheetId="17" state="visible" r:id="rId17"/>
    <sheet name="USDCNH" sheetId="18" state="visible" r:id="rId18"/>
    <sheet name="USDCNY" sheetId="19" state="visible" r:id="rId19"/>
    <sheet name="PARAMS" sheetId="20" state="visible" r:id="rId20"/>
    <sheet name="Sales Margin" sheetId="21" state="visible" r:id="rId21"/>
    <sheet name="Vega Weights" sheetId="22" state="visible" r:id="rId22"/>
  </sheets>
  <definedNames>
    <definedName name="Z_64F0AAC0_1236_4FB2_9E8A_12AD3842C0BD_.wvu.FilterData" localSheetId="20" hidden="0" function="0" vbProcedure="0">'Sales Margin'!$A$1:$R$182</definedName>
    <definedName name="Z_81AAB545_7656_4D3C_8F22_762E98CA81B2_.wvu.FilterData" localSheetId="20" hidden="0" function="0" vbProcedure="0">'Sales Margin'!$A$1:$R$182</definedName>
    <definedName name="Z_8C944F8C_AC8F_4B48_8B68_3AD45640FBA6_.wvu.FilterData" localSheetId="20" hidden="0" function="0" vbProcedure="0">'Sales Margin'!$A$1:$R$182</definedName>
    <definedName name="Z_AB88714F_A79A_40C3_8F7E_7C98A490C99F_.wvu.FilterData" localSheetId="20" hidden="0" function="0" vbProcedure="0">'Sales Margin'!$A$1:$R$182</definedName>
    <definedName name="Z_ABFC3E4C_399F_4010_AE44_A9AAF44B0325_.wvu.FilterData" localSheetId="20" hidden="0" function="0" vbProcedure="0">'Sales Margin'!$A$1:$R$182</definedName>
    <definedName name="Z_AF799A72_7346_4011_907D_DA80820251FF_.wvu.FilterData" localSheetId="20" hidden="0" function="0" vbProcedure="0">'Sales Margin'!$A$1:$R$182</definedName>
    <definedName name="Z_F127F633_57F9_4222_A583_BDC3B762EFE8_.wvu.FilterData" localSheetId="20" hidden="0" function="0" vbProcedure="0">'Sales Margin'!$A$1:$R$182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_(* #,##0.000_);_(* \(#,##0.000\);_(* \-??_);_(@_)"/>
    <numFmt numFmtId="165" formatCode="0.000"/>
    <numFmt numFmtId="166" formatCode="0.0000"/>
    <numFmt numFmtId="167" formatCode="_(* #,##0_);_(* \(#,##0\);_(* \-??_);_(@_)"/>
    <numFmt numFmtId="168" formatCode="_(* #,##0.0000_);_(* \(#,##0.0000\);_(* \-??_);_(@_)"/>
    <numFmt numFmtId="169" formatCode="_(* #,##0.00000_);_(* \(#,##0.00000\);_(* \-??_);_(@_)"/>
    <numFmt numFmtId="170" formatCode="0.000%"/>
    <numFmt numFmtId="171" formatCode="_(* #,##0.00_);_(* \(#,##0.00\);_(* \-??_);_(@_)"/>
    <numFmt numFmtId="172" formatCode="dd/mm/yyyy"/>
  </numFmts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"/>
      <family val="2"/>
      <color rgb="FF000000"/>
      <sz val="11"/>
    </font>
    <font>
      <name val="SimSun"/>
      <charset val="134"/>
      <family val="0"/>
      <color rgb="FF6A8759"/>
      <sz val="9"/>
    </font>
    <font>
      <name val="Calibri"/>
      <charset val="1"/>
      <family val="2"/>
      <color rgb="FF1F497D"/>
      <sz val="11"/>
    </font>
    <font>
      <name val="Calibri"/>
      <charset val="1"/>
      <family val="0"/>
      <sz val="11"/>
    </font>
    <font>
      <name val="Arial"/>
      <color indexed="8"/>
      <sz val="10"/>
    </font>
  </fonts>
  <fills count="9">
    <fill>
      <patternFill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rgb="FFD9D9D9"/>
        <bgColor rgb="FFD0CECE"/>
      </patternFill>
    </fill>
    <fill>
      <patternFill patternType="solid">
        <fgColor rgb="FFBFBFBF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6A8759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/>
      <bottom/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8">
    <xf numFmtId="0" fontId="0" fillId="0" borderId="0" applyAlignment="1">
      <alignment horizontal="general" vertical="bottom"/>
    </xf>
    <xf numFmtId="171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6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15">
      <alignment horizontal="general" vertical="bottom"/>
    </xf>
    <xf numFmtId="169" fontId="0" fillId="0" borderId="0" applyAlignment="1" pivotButton="0" quotePrefix="0" xfId="15">
      <alignment horizontal="general" vertical="bottom"/>
    </xf>
    <xf numFmtId="168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19">
      <alignment horizontal="general" vertical="bottom"/>
    </xf>
    <xf numFmtId="171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15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49" fontId="8" fillId="7" borderId="2" applyAlignment="1" pivotButton="0" quotePrefix="0" xfId="0">
      <alignment vertical="bottom"/>
    </xf>
    <xf numFmtId="49" fontId="8" fillId="7" borderId="3" applyAlignment="1" pivotButton="0" quotePrefix="0" xfId="0">
      <alignment vertical="bottom"/>
    </xf>
    <xf numFmtId="49" fontId="8" fillId="7" borderId="4" applyAlignment="1" pivotButton="0" quotePrefix="0" xfId="0">
      <alignment vertical="bottom"/>
    </xf>
    <xf numFmtId="165" fontId="8" fillId="8" borderId="0" applyAlignment="1" pivotButton="0" quotePrefix="0" xfId="0">
      <alignment vertical="bottom"/>
    </xf>
    <xf numFmtId="165" fontId="8" fillId="7" borderId="5" applyAlignment="1" pivotButton="0" quotePrefix="0" xfId="0">
      <alignment vertical="bottom"/>
    </xf>
    <xf numFmtId="165" fontId="8" fillId="7" borderId="4" applyAlignment="1" pivotButton="0" quotePrefix="0" xfId="0">
      <alignment vertical="bottom"/>
    </xf>
    <xf numFmtId="165" fontId="8" fillId="8" borderId="6" applyAlignment="1" pivotButton="0" quotePrefix="0" xfId="0">
      <alignment vertical="bottom"/>
    </xf>
    <xf numFmtId="165" fontId="8" fillId="8" borderId="7" applyAlignment="1" pivotButton="0" quotePrefix="0" xfId="0">
      <alignment vertical="bottom"/>
    </xf>
    <xf numFmtId="165" fontId="8" fillId="8" borderId="8" applyAlignment="1" pivotButton="0" quotePrefix="0" xfId="0">
      <alignment vertical="bottom"/>
    </xf>
    <xf numFmtId="0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15">
      <alignment horizontal="general" vertical="bottom"/>
    </xf>
    <xf numFmtId="169" fontId="0" fillId="0" borderId="0" applyAlignment="1" pivotButton="0" quotePrefix="0" xfId="15">
      <alignment horizontal="general" vertical="bottom"/>
    </xf>
    <xf numFmtId="168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19">
      <alignment horizontal="general" vertical="bottom"/>
    </xf>
    <xf numFmtId="167" fontId="0" fillId="0" borderId="0" applyAlignment="1" pivotButton="0" quotePrefix="0" xfId="15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Percent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8759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E7" activeCellId="0" sqref="E7"/>
    </sheetView>
  </sheetViews>
  <sheetFormatPr baseColWidth="8" defaultColWidth="8.82421875" defaultRowHeight="12.75" zeroHeight="0" outlineLevelRow="0"/>
  <sheetData>
    <row r="1" ht="12.75" customHeight="1" s="27">
      <c r="A1" s="28" t="inlineStr">
        <is>
          <t>indication.xlsx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0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H4" activeCellId="0" sqref="H4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BASE</t>
        </is>
      </c>
      <c r="B1" s="29" t="inlineStr">
        <is>
          <t>COR</t>
        </is>
      </c>
      <c r="C1" s="29" t="inlineStr">
        <is>
          <t>AUDJPY</t>
        </is>
      </c>
      <c r="D1" s="29" t="inlineStr">
        <is>
          <t>EURJPY</t>
        </is>
      </c>
      <c r="E1" s="29" t="inlineStr">
        <is>
          <t>EURCNH</t>
        </is>
      </c>
      <c r="F1" s="29" t="inlineStr">
        <is>
          <t>GBPNZD</t>
        </is>
      </c>
      <c r="G1" s="29" t="inlineStr">
        <is>
          <t>EURGBP</t>
        </is>
      </c>
      <c r="H1" s="29" t="inlineStr">
        <is>
          <t>GBPCNH</t>
        </is>
      </c>
      <c r="I1" s="29" t="inlineStr">
        <is>
          <t>TENORS</t>
        </is>
      </c>
    </row>
    <row r="2" ht="12.75" customHeight="1" s="27">
      <c r="A2" s="29" t="inlineStr">
        <is>
          <t>USDCNH</t>
        </is>
      </c>
      <c r="B2" s="29" t="inlineStr">
        <is>
          <t>AUDJPY</t>
        </is>
      </c>
      <c r="C2" s="29" t="inlineStr">
        <is>
          <t>AUDUSD</t>
        </is>
      </c>
      <c r="D2" s="29" t="inlineStr">
        <is>
          <t>EURUSD</t>
        </is>
      </c>
      <c r="E2" s="29" t="inlineStr">
        <is>
          <t>EURUSD</t>
        </is>
      </c>
      <c r="F2" s="29" t="inlineStr">
        <is>
          <t>GBPUSD</t>
        </is>
      </c>
      <c r="G2" s="29" t="inlineStr">
        <is>
          <t>EURUSD</t>
        </is>
      </c>
      <c r="H2" s="29" t="inlineStr">
        <is>
          <t>GBPUSD</t>
        </is>
      </c>
      <c r="I2" s="29" t="inlineStr">
        <is>
          <t>1w</t>
        </is>
      </c>
    </row>
    <row r="3" ht="12.75" customHeight="1" s="27">
      <c r="A3" s="29" t="inlineStr">
        <is>
          <t>USDCNY</t>
        </is>
      </c>
      <c r="B3" s="29" t="inlineStr">
        <is>
          <t>EURJPY</t>
        </is>
      </c>
      <c r="C3" s="29" t="inlineStr">
        <is>
          <t>USDJPY</t>
        </is>
      </c>
      <c r="D3" s="29" t="inlineStr">
        <is>
          <t>USDJPY</t>
        </is>
      </c>
      <c r="E3" s="29" t="inlineStr">
        <is>
          <t>USDCNH</t>
        </is>
      </c>
      <c r="F3" s="29" t="inlineStr">
        <is>
          <t>NZDUSD</t>
        </is>
      </c>
      <c r="G3" s="29" t="inlineStr">
        <is>
          <t>GBPUSD</t>
        </is>
      </c>
      <c r="H3" s="29" t="inlineStr">
        <is>
          <t>USDCNH</t>
        </is>
      </c>
      <c r="I3" s="29" t="inlineStr">
        <is>
          <t>2w</t>
        </is>
      </c>
    </row>
    <row r="4" ht="12.75" customHeight="1" s="27">
      <c r="A4" s="29" t="inlineStr">
        <is>
          <t>USDJPY</t>
        </is>
      </c>
      <c r="B4" s="29" t="inlineStr">
        <is>
          <t>EURCNH</t>
        </is>
      </c>
      <c r="I4" s="29" t="inlineStr">
        <is>
          <t>3w</t>
        </is>
      </c>
    </row>
    <row r="5" ht="12.75" customHeight="1" s="27">
      <c r="A5" s="29" t="inlineStr">
        <is>
          <t>AUDUSD</t>
        </is>
      </c>
      <c r="B5" s="29" t="inlineStr">
        <is>
          <t>GBPNZD</t>
        </is>
      </c>
      <c r="I5" s="29" t="inlineStr">
        <is>
          <t>1m</t>
        </is>
      </c>
    </row>
    <row r="6" ht="12.75" customHeight="1" s="27">
      <c r="A6" s="29" t="inlineStr">
        <is>
          <t>EURUSD</t>
        </is>
      </c>
      <c r="B6" s="29" t="inlineStr">
        <is>
          <t>EURGBP</t>
        </is>
      </c>
      <c r="I6" s="29" t="inlineStr">
        <is>
          <t>2m</t>
        </is>
      </c>
    </row>
    <row r="7" ht="12.75" customHeight="1" s="27">
      <c r="A7" s="29" t="inlineStr">
        <is>
          <t>GBPUSD</t>
        </is>
      </c>
      <c r="B7" s="29" t="inlineStr">
        <is>
          <t>GBPCNH</t>
        </is>
      </c>
      <c r="I7" s="29" t="inlineStr">
        <is>
          <t>3m</t>
        </is>
      </c>
    </row>
    <row r="8" ht="12.75" customHeight="1" s="27">
      <c r="A8" s="29" t="inlineStr">
        <is>
          <t>NZDUSD</t>
        </is>
      </c>
      <c r="I8" s="29" t="inlineStr">
        <is>
          <t>6m</t>
        </is>
      </c>
    </row>
    <row r="9" ht="12.75" customHeight="1" s="27">
      <c r="A9" s="30" t="inlineStr">
        <is>
          <t>USDHKD</t>
        </is>
      </c>
      <c r="I9" s="29" t="inlineStr">
        <is>
          <t>9m</t>
        </is>
      </c>
    </row>
    <row r="10" ht="12.75" customHeight="1" s="27">
      <c r="I10" s="29" t="inlineStr">
        <is>
          <t>1y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C2" activeCellId="0" sqref="C2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31">
        <f>C2*2.8</f>
        <v>0.756</v>
      </c>
      <c r="C2" s="29" t="n">
        <v>0.27</v>
      </c>
      <c r="D2" s="29" t="n">
        <v>-0.955</v>
      </c>
      <c r="E2" s="31">
        <f>D2*1.8</f>
        <v>-1.719</v>
      </c>
    </row>
    <row r="3" ht="12.75" customHeight="1" s="27">
      <c r="A3" s="29" t="inlineStr">
        <is>
          <t>2W</t>
        </is>
      </c>
      <c r="B3" s="31">
        <f>C3*2.8</f>
        <v>0.791</v>
      </c>
      <c r="C3" s="29" t="n">
        <v>0.2825</v>
      </c>
      <c r="D3" s="29" t="n">
        <v>-1.0825</v>
      </c>
      <c r="E3" s="31">
        <f>D3*1.8</f>
        <v>-1.9485</v>
      </c>
    </row>
    <row r="4" ht="12.75" customHeight="1" s="27">
      <c r="A4" s="29" t="inlineStr">
        <is>
          <t>3W</t>
        </is>
      </c>
      <c r="B4" s="31">
        <f>C4*2.8</f>
        <v>0.847</v>
      </c>
      <c r="C4" s="29" t="n">
        <v>0.3025</v>
      </c>
      <c r="D4" s="29" t="n">
        <v>-1.24</v>
      </c>
      <c r="E4" s="31">
        <f>D4*1.9</f>
        <v>-2.356</v>
      </c>
    </row>
    <row r="5" ht="12.75" customHeight="1" s="27">
      <c r="A5" s="29" t="inlineStr">
        <is>
          <t>1M</t>
        </is>
      </c>
      <c r="B5" s="31">
        <f>C5*2.9</f>
        <v>0.90625</v>
      </c>
      <c r="C5" s="29" t="n">
        <v>0.3125</v>
      </c>
      <c r="D5" s="29" t="n">
        <v>-1.21</v>
      </c>
      <c r="E5" s="31">
        <f>D5*1.9</f>
        <v>-2.299</v>
      </c>
    </row>
    <row r="6" ht="12.75" customHeight="1" s="27">
      <c r="A6" s="29" t="inlineStr">
        <is>
          <t>2M</t>
        </is>
      </c>
      <c r="B6" s="31">
        <f>C6*3</f>
        <v>1.05</v>
      </c>
      <c r="C6" s="29" t="n">
        <v>0.35</v>
      </c>
      <c r="D6" s="29" t="n">
        <v>-1.34</v>
      </c>
      <c r="E6" s="31">
        <f>D6*1.9</f>
        <v>-2.546</v>
      </c>
    </row>
    <row r="7" ht="12.75" customHeight="1" s="27">
      <c r="A7" s="29" t="inlineStr">
        <is>
          <t>3M</t>
        </is>
      </c>
      <c r="B7" s="31">
        <f>C7*3</f>
        <v>1.125</v>
      </c>
      <c r="C7" s="29" t="n">
        <v>0.375</v>
      </c>
      <c r="D7" s="29" t="n">
        <v>-1.455</v>
      </c>
      <c r="E7" s="31">
        <f>D7*1.9</f>
        <v>-2.7645</v>
      </c>
    </row>
    <row r="8" ht="12.75" customHeight="1" s="27">
      <c r="A8" s="29" t="inlineStr">
        <is>
          <t>6M</t>
        </is>
      </c>
      <c r="B8" s="31">
        <f>C8*3.1</f>
        <v>1.26325</v>
      </c>
      <c r="C8" s="29" t="n">
        <v>0.4075</v>
      </c>
      <c r="D8" s="29" t="n">
        <v>-1.59</v>
      </c>
      <c r="E8" s="31">
        <f>D8*1.9</f>
        <v>-3.021</v>
      </c>
    </row>
    <row r="9" ht="12.75" customHeight="1" s="27">
      <c r="A9" s="29" t="inlineStr">
        <is>
          <t>9M</t>
        </is>
      </c>
      <c r="B9" s="31">
        <f>C9*3.1</f>
        <v>1.333</v>
      </c>
      <c r="C9" s="29" t="n">
        <v>0.43</v>
      </c>
      <c r="D9" s="29" t="n">
        <v>-1.65</v>
      </c>
      <c r="E9" s="31">
        <f>D9*1.9</f>
        <v>-3.135</v>
      </c>
    </row>
    <row r="10" ht="12.75" customHeight="1" s="27">
      <c r="A10" s="29" t="inlineStr">
        <is>
          <t>1Y</t>
        </is>
      </c>
      <c r="B10" s="31">
        <f>C10*3.2</f>
        <v>1.416</v>
      </c>
      <c r="C10" s="29" t="n">
        <v>0.4425</v>
      </c>
      <c r="D10" s="29" t="n">
        <v>-1.71</v>
      </c>
      <c r="E10" s="31">
        <f>D10*1.9</f>
        <v>-3.249</v>
      </c>
    </row>
    <row r="11" ht="12.75" customHeight="1" s="27">
      <c r="A11" s="29" t="inlineStr">
        <is>
          <t>2Y</t>
        </is>
      </c>
      <c r="B11" s="31">
        <f>C11*3.5</f>
        <v>1.46125</v>
      </c>
      <c r="C11" s="29" t="n">
        <v>0.4175</v>
      </c>
      <c r="D11" s="29" t="n">
        <v>-1.8525</v>
      </c>
      <c r="E11" s="31">
        <f>D11*1.9</f>
        <v>-3.51975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E24" activeCellId="0" sqref="E24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31">
        <f>C2*3</f>
        <v>0.5775</v>
      </c>
      <c r="C2" s="29" t="n">
        <v>0.1925</v>
      </c>
      <c r="D2" s="29" t="n">
        <v>-0.445</v>
      </c>
      <c r="E2" s="31">
        <f>D2*1.85</f>
        <v>-0.82325</v>
      </c>
    </row>
    <row r="3" ht="12.75" customHeight="1" s="27">
      <c r="A3" s="29" t="inlineStr">
        <is>
          <t>2W</t>
        </is>
      </c>
      <c r="B3" s="31">
        <f>C3*3</f>
        <v>0.6</v>
      </c>
      <c r="C3" s="29" t="n">
        <v>0.2</v>
      </c>
      <c r="D3" s="29" t="n">
        <v>-0.5</v>
      </c>
      <c r="E3" s="31">
        <f>D3*1.85</f>
        <v>-0.925</v>
      </c>
    </row>
    <row r="4" ht="12.75" customHeight="1" s="27">
      <c r="A4" s="29" t="inlineStr">
        <is>
          <t>3W</t>
        </is>
      </c>
      <c r="B4" s="31">
        <f>C4*3</f>
        <v>0.585</v>
      </c>
      <c r="C4" s="29" t="n">
        <v>0.195</v>
      </c>
      <c r="D4" s="29" t="n">
        <v>-0.595</v>
      </c>
      <c r="E4" s="31">
        <f>D4*1.85</f>
        <v>-1.10075</v>
      </c>
    </row>
    <row r="5" ht="12.75" customHeight="1" s="27">
      <c r="A5" s="29" t="inlineStr">
        <is>
          <t>1M</t>
        </is>
      </c>
      <c r="B5" s="31">
        <f>C5*3.15</f>
        <v>0.693</v>
      </c>
      <c r="C5" s="29" t="n">
        <v>0.22</v>
      </c>
      <c r="D5" s="29" t="n">
        <v>-0.5825</v>
      </c>
      <c r="E5" s="31">
        <f>D5*1.85</f>
        <v>-1.077625</v>
      </c>
    </row>
    <row r="6" ht="12.75" customHeight="1" s="27">
      <c r="A6" s="29" t="inlineStr">
        <is>
          <t>2M</t>
        </is>
      </c>
      <c r="B6" s="31">
        <f>C6*3.15</f>
        <v>0.80325</v>
      </c>
      <c r="C6" s="29" t="n">
        <v>0.255</v>
      </c>
      <c r="D6" s="29" t="n">
        <v>-0.7425</v>
      </c>
      <c r="E6" s="31">
        <f>D6*1.85</f>
        <v>-1.373625</v>
      </c>
    </row>
    <row r="7" ht="12.75" customHeight="1" s="27">
      <c r="A7" s="29" t="inlineStr">
        <is>
          <t>3M</t>
        </is>
      </c>
      <c r="B7" s="31">
        <f>C7*3.2</f>
        <v>0.928</v>
      </c>
      <c r="C7" s="29" t="n">
        <v>0.29</v>
      </c>
      <c r="D7" s="29" t="n">
        <v>-0.8075</v>
      </c>
      <c r="E7" s="31">
        <f>D7*1.85</f>
        <v>-1.493875</v>
      </c>
    </row>
    <row r="8" ht="12.75" customHeight="1" s="27">
      <c r="A8" s="29" t="inlineStr">
        <is>
          <t>6M</t>
        </is>
      </c>
      <c r="B8" s="31">
        <f>C8*3.25</f>
        <v>1.18625</v>
      </c>
      <c r="C8" s="29" t="n">
        <v>0.365</v>
      </c>
      <c r="D8" s="29" t="n">
        <v>-0.9399999999999999</v>
      </c>
      <c r="E8" s="31">
        <f>D8*1.875</f>
        <v>-1.7625</v>
      </c>
    </row>
    <row r="9" ht="12.75" customHeight="1" s="27">
      <c r="A9" s="29" t="inlineStr">
        <is>
          <t>9M</t>
        </is>
      </c>
      <c r="B9" s="31">
        <f>C9*3.25</f>
        <v>1.3</v>
      </c>
      <c r="C9" s="29" t="n">
        <v>0.4</v>
      </c>
      <c r="D9" s="29" t="n">
        <v>-1.08</v>
      </c>
      <c r="E9" s="31">
        <f>D9*1.875</f>
        <v>-2.025</v>
      </c>
    </row>
    <row r="10" ht="12.75" customHeight="1" s="27">
      <c r="A10" s="29" t="inlineStr">
        <is>
          <t>1Y</t>
        </is>
      </c>
      <c r="B10" s="31">
        <f>C10*3.4</f>
        <v>1.411</v>
      </c>
      <c r="C10" s="29" t="n">
        <v>0.415</v>
      </c>
      <c r="D10" s="29" t="n">
        <v>-1.12</v>
      </c>
      <c r="E10" s="31">
        <f>D10*1.875</f>
        <v>-2.1</v>
      </c>
    </row>
    <row r="11" ht="12.75" customHeight="1" s="27">
      <c r="A11" s="29" t="inlineStr">
        <is>
          <t>2Y</t>
        </is>
      </c>
      <c r="B11" s="31">
        <f>C11*3.4</f>
        <v>1.462</v>
      </c>
      <c r="C11" s="29" t="n">
        <v>0.43</v>
      </c>
      <c r="D11" s="29" t="n">
        <v>-1.2</v>
      </c>
      <c r="E11" s="31">
        <f>D11*1.875</f>
        <v>-2.25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31">
        <f>C2*3.75</f>
        <v>0.825</v>
      </c>
      <c r="C2" s="29" t="n">
        <v>0.22</v>
      </c>
      <c r="D2" s="29" t="n">
        <v>0.48</v>
      </c>
      <c r="E2" s="31">
        <f>D2*1.3</f>
        <v>0.624</v>
      </c>
    </row>
    <row r="3" ht="12.75" customHeight="1" s="27">
      <c r="A3" s="29" t="inlineStr">
        <is>
          <t>2W</t>
        </is>
      </c>
      <c r="B3" s="31">
        <f>C3*3.75</f>
        <v>0.834375</v>
      </c>
      <c r="C3" s="29" t="n">
        <v>0.2225</v>
      </c>
      <c r="D3" s="29" t="n">
        <v>0.505</v>
      </c>
      <c r="E3" s="31">
        <f>D3*1.8</f>
        <v>0.909</v>
      </c>
    </row>
    <row r="4" ht="12.75" customHeight="1" s="27">
      <c r="A4" s="29" t="inlineStr">
        <is>
          <t>3W</t>
        </is>
      </c>
      <c r="B4" s="31">
        <f>C4*3.75</f>
        <v>0.84375</v>
      </c>
      <c r="C4" s="29" t="n">
        <v>0.225</v>
      </c>
      <c r="D4" s="29" t="n">
        <v>0.52</v>
      </c>
      <c r="E4" s="31">
        <f>D4*1.8</f>
        <v>0.936</v>
      </c>
    </row>
    <row r="5" ht="12.75" customHeight="1" s="27">
      <c r="A5" s="29" t="inlineStr">
        <is>
          <t>1M</t>
        </is>
      </c>
      <c r="B5" s="31">
        <f>C5*3.75</f>
        <v>0.871875</v>
      </c>
      <c r="C5" s="29" t="n">
        <v>0.2325</v>
      </c>
      <c r="D5" s="29" t="n">
        <v>0.555</v>
      </c>
      <c r="E5" s="31">
        <f>D5*1.8</f>
        <v>0.999</v>
      </c>
    </row>
    <row r="6" ht="12.75" customHeight="1" s="27">
      <c r="A6" s="29" t="inlineStr">
        <is>
          <t>2M</t>
        </is>
      </c>
      <c r="B6" s="31">
        <f>C6*3.75</f>
        <v>0.95625</v>
      </c>
      <c r="C6" s="29" t="n">
        <v>0.255</v>
      </c>
      <c r="D6" s="29" t="n">
        <v>0.5625</v>
      </c>
      <c r="E6" s="31">
        <f>D6*1.8</f>
        <v>1.0125</v>
      </c>
    </row>
    <row r="7" ht="12.75" customHeight="1" s="27">
      <c r="A7" s="29" t="inlineStr">
        <is>
          <t>3M</t>
        </is>
      </c>
      <c r="B7" s="31">
        <f>C7*3.85</f>
        <v>1.126125</v>
      </c>
      <c r="C7" s="29" t="n">
        <v>0.2925</v>
      </c>
      <c r="D7" s="29" t="n">
        <v>0.5775</v>
      </c>
      <c r="E7" s="31">
        <f>D7*1.8</f>
        <v>1.0395</v>
      </c>
    </row>
    <row r="8" ht="12.75" customHeight="1" s="27">
      <c r="A8" s="29" t="inlineStr">
        <is>
          <t>6M</t>
        </is>
      </c>
      <c r="B8" s="31">
        <f>C8*3.85</f>
        <v>1.318625</v>
      </c>
      <c r="C8" s="29" t="n">
        <v>0.3425</v>
      </c>
      <c r="D8" s="29" t="n">
        <v>0.5575</v>
      </c>
      <c r="E8" s="31">
        <f>D8*1.8</f>
        <v>1.0035</v>
      </c>
    </row>
    <row r="9" ht="12.75" customHeight="1" s="27">
      <c r="A9" s="29" t="inlineStr">
        <is>
          <t>9M</t>
        </is>
      </c>
      <c r="B9" s="31">
        <f>C9*3.85</f>
        <v>1.52075</v>
      </c>
      <c r="C9" s="29" t="n">
        <v>0.395</v>
      </c>
      <c r="D9" s="29" t="n">
        <v>0.5875</v>
      </c>
      <c r="E9" s="31">
        <f>D9*1.8</f>
        <v>1.0575</v>
      </c>
    </row>
    <row r="10" ht="12.75" customHeight="1" s="27">
      <c r="A10" s="29" t="inlineStr">
        <is>
          <t>1Y</t>
        </is>
      </c>
      <c r="B10" s="31">
        <f>C10*4</f>
        <v>1.6</v>
      </c>
      <c r="C10" s="29" t="n">
        <v>0.4</v>
      </c>
      <c r="D10" s="29" t="n">
        <v>0.58</v>
      </c>
      <c r="E10" s="31">
        <f>D10*1.8</f>
        <v>1.044</v>
      </c>
    </row>
    <row r="11" ht="12.75" customHeight="1" s="27">
      <c r="A11" s="29" t="inlineStr">
        <is>
          <t>2Y</t>
        </is>
      </c>
      <c r="B11" s="31">
        <f>C11*4.1</f>
        <v>1.71175</v>
      </c>
      <c r="C11" s="29" t="n">
        <v>0.4175</v>
      </c>
      <c r="D11" s="29" t="n">
        <v>0.6625</v>
      </c>
      <c r="E11" s="31">
        <f>D11*1.8</f>
        <v>1.1925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C2" activeCellId="0" sqref="C2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31">
        <f>C2*3.1</f>
        <v>0.33325</v>
      </c>
      <c r="C2" s="29" t="n">
        <v>0.1075</v>
      </c>
      <c r="D2" s="29" t="n">
        <v>0.34</v>
      </c>
      <c r="E2" s="31">
        <f>D2*1.8</f>
        <v>0.612</v>
      </c>
    </row>
    <row r="3" ht="12.75" customHeight="1" s="27">
      <c r="A3" s="29" t="inlineStr">
        <is>
          <t>2W</t>
        </is>
      </c>
      <c r="B3" s="31">
        <f>C3*3.1</f>
        <v>0.3875</v>
      </c>
      <c r="C3" s="29" t="n">
        <v>0.125</v>
      </c>
      <c r="D3" s="29" t="n">
        <v>0.39</v>
      </c>
      <c r="E3" s="31">
        <f>D3*1.8</f>
        <v>0.702</v>
      </c>
    </row>
    <row r="4" ht="12.75" customHeight="1" s="27">
      <c r="A4" s="29" t="inlineStr">
        <is>
          <t>3W</t>
        </is>
      </c>
      <c r="B4" s="31">
        <f>C4*3.1</f>
        <v>0.465</v>
      </c>
      <c r="C4" s="29" t="n">
        <v>0.15</v>
      </c>
      <c r="D4" s="29" t="n">
        <v>0.425</v>
      </c>
      <c r="E4" s="31">
        <f>D4*1.8</f>
        <v>0.765</v>
      </c>
    </row>
    <row r="5" ht="12.75" customHeight="1" s="27">
      <c r="A5" s="29" t="inlineStr">
        <is>
          <t>1M</t>
        </is>
      </c>
      <c r="B5" s="31">
        <f>C5*3.1</f>
        <v>0.403</v>
      </c>
      <c r="C5" s="29" t="n">
        <v>0.13</v>
      </c>
      <c r="D5" s="29" t="n">
        <v>0.49</v>
      </c>
      <c r="E5" s="31">
        <f>D5*1.85</f>
        <v>0.9065</v>
      </c>
    </row>
    <row r="6" ht="12.75" customHeight="1" s="27">
      <c r="A6" s="29" t="inlineStr">
        <is>
          <t>2M</t>
        </is>
      </c>
      <c r="B6" s="31">
        <f>C6*3.1</f>
        <v>0.4805</v>
      </c>
      <c r="C6" s="29" t="n">
        <v>0.155</v>
      </c>
      <c r="D6" s="29" t="n">
        <v>0.575</v>
      </c>
      <c r="E6" s="31">
        <f>D6*1.85</f>
        <v>1.06375</v>
      </c>
    </row>
    <row r="7" ht="12.75" customHeight="1" s="27">
      <c r="A7" s="29" t="inlineStr">
        <is>
          <t>3M</t>
        </is>
      </c>
      <c r="B7" s="31">
        <f>C7*3.1</f>
        <v>0.558</v>
      </c>
      <c r="C7" s="29" t="n">
        <v>0.18</v>
      </c>
      <c r="D7" s="29" t="n">
        <v>0.6475</v>
      </c>
      <c r="E7" s="31">
        <f>D7*1.85</f>
        <v>1.197875</v>
      </c>
    </row>
    <row r="8" ht="12.75" customHeight="1" s="27">
      <c r="A8" s="29" t="inlineStr">
        <is>
          <t>6M</t>
        </is>
      </c>
      <c r="B8" s="31">
        <f>C8*3.1</f>
        <v>0.72075</v>
      </c>
      <c r="C8" s="29" t="n">
        <v>0.2325</v>
      </c>
      <c r="D8" s="29" t="n">
        <v>0.7875</v>
      </c>
      <c r="E8" s="31">
        <f>D8*1.85</f>
        <v>1.456875</v>
      </c>
    </row>
    <row r="9" ht="12.75" customHeight="1" s="27">
      <c r="A9" s="29" t="inlineStr">
        <is>
          <t>9M</t>
        </is>
      </c>
      <c r="B9" s="31">
        <f>C9*3.1</f>
        <v>0.79825</v>
      </c>
      <c r="C9" s="29" t="n">
        <v>0.2575</v>
      </c>
      <c r="D9" s="29" t="n">
        <v>0.8625</v>
      </c>
      <c r="E9" s="31">
        <f>D9*1.85</f>
        <v>1.595625</v>
      </c>
    </row>
    <row r="10" ht="12.75" customHeight="1" s="27">
      <c r="A10" s="29" t="inlineStr">
        <is>
          <t>1Y</t>
        </is>
      </c>
      <c r="B10" s="31">
        <f>C10*3.2</f>
        <v>0.84</v>
      </c>
      <c r="C10" s="29" t="n">
        <v>0.2625</v>
      </c>
      <c r="D10" s="29" t="n">
        <v>0.9125</v>
      </c>
      <c r="E10" s="31">
        <f>D10*1.85</f>
        <v>1.688125</v>
      </c>
    </row>
    <row r="11" ht="12.75" customHeight="1" s="27">
      <c r="A11" s="29" t="inlineStr">
        <is>
          <t>2Y</t>
        </is>
      </c>
      <c r="B11" s="31">
        <f>C11*3.2</f>
        <v>1.08</v>
      </c>
      <c r="C11" s="29" t="n">
        <v>0.3375</v>
      </c>
      <c r="D11" s="29" t="n">
        <v>0.8675</v>
      </c>
      <c r="E11" s="31">
        <f>D11*1.85</f>
        <v>1.604875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.851559999999999" customWidth="1" style="27" min="1" max="1"/>
    <col width="8.851559999999999" customWidth="1" style="27" min="6" max="6"/>
  </cols>
  <sheetData>
    <row r="1">
      <c r="A1" s="32" t="inlineStr">
        <is>
          <t>expiry</t>
        </is>
      </c>
      <c r="B1" s="33" t="inlineStr">
        <is>
          <t>ST 10D</t>
        </is>
      </c>
      <c r="C1" s="32" t="inlineStr">
        <is>
          <t>ST 25D</t>
        </is>
      </c>
      <c r="D1" s="32" t="inlineStr">
        <is>
          <t>RR 25D</t>
        </is>
      </c>
      <c r="E1" s="33" t="inlineStr">
        <is>
          <t>RR 10D</t>
        </is>
      </c>
    </row>
    <row r="2">
      <c r="A2" s="34" t="inlineStr">
        <is>
          <t>1W</t>
        </is>
      </c>
      <c r="B2" s="35">
        <f t="array" ref="B2">C2*3.4</f>
        <v>0.6205</v>
      </c>
      <c r="C2" s="36" t="n">
        <v>0.1825</v>
      </c>
      <c r="D2" s="37" t="n">
        <v>0.385</v>
      </c>
      <c r="E2" s="38">
        <f t="array" ref="E2">D2*2.05</f>
        <v>0.78925</v>
      </c>
    </row>
    <row r="3">
      <c r="A3" s="34" t="inlineStr">
        <is>
          <t>2W</t>
        </is>
      </c>
      <c r="B3" s="35">
        <f t="array" ref="B3">C3*3.4</f>
        <v>0.6375</v>
      </c>
      <c r="C3" s="36" t="n">
        <v>0.1875</v>
      </c>
      <c r="D3" s="37" t="n">
        <v>0.45</v>
      </c>
      <c r="E3" s="38">
        <f t="array" ref="E3">D3*2.15</f>
        <v>0.9675</v>
      </c>
    </row>
    <row r="4">
      <c r="A4" s="34" t="inlineStr">
        <is>
          <t>1M</t>
        </is>
      </c>
      <c r="B4" s="35">
        <f t="array" ref="B4">C4*3.4</f>
        <v>0.731</v>
      </c>
      <c r="C4" s="36" t="n">
        <v>0.215</v>
      </c>
      <c r="D4" s="37" t="n">
        <v>0.525</v>
      </c>
      <c r="E4" s="38">
        <f t="array" ref="E4">D4*2.3</f>
        <v>1.2075</v>
      </c>
    </row>
    <row r="5">
      <c r="A5" s="34" t="inlineStr">
        <is>
          <t>2M</t>
        </is>
      </c>
      <c r="B5" s="35">
        <f t="array" ref="B5">C5*3.4</f>
        <v>0.816</v>
      </c>
      <c r="C5" s="36" t="n">
        <v>0.24</v>
      </c>
      <c r="D5" s="37" t="n">
        <v>0.66</v>
      </c>
      <c r="E5" s="38">
        <f t="array" ref="E5">D5*2.3</f>
        <v>1.518</v>
      </c>
    </row>
    <row r="6">
      <c r="A6" s="34" t="inlineStr">
        <is>
          <t>3M</t>
        </is>
      </c>
      <c r="B6" s="35">
        <f t="array" ref="B6">C6*3.4</f>
        <v>0.867</v>
      </c>
      <c r="C6" s="36" t="n">
        <v>0.255</v>
      </c>
      <c r="D6" s="37" t="n">
        <v>0.74</v>
      </c>
      <c r="E6" s="38">
        <f t="array" ref="E6">D6*2.3</f>
        <v>1.702</v>
      </c>
    </row>
    <row r="7">
      <c r="A7" s="34" t="inlineStr">
        <is>
          <t>6M</t>
        </is>
      </c>
      <c r="B7" s="35">
        <f t="array" ref="B7">C7*3.4</f>
        <v>0.986</v>
      </c>
      <c r="C7" s="36" t="n">
        <v>0.29</v>
      </c>
      <c r="D7" s="37" t="n">
        <v>0.95</v>
      </c>
      <c r="E7" s="38">
        <f t="array" ref="E7">D7*2.3</f>
        <v>2.185</v>
      </c>
    </row>
    <row r="8">
      <c r="A8" s="34" t="inlineStr">
        <is>
          <t>9M</t>
        </is>
      </c>
      <c r="B8" s="35">
        <f t="array" ref="B8">C8*3.4</f>
        <v>1.122</v>
      </c>
      <c r="C8" s="36" t="n">
        <v>0.33</v>
      </c>
      <c r="D8" s="37" t="n">
        <v>1.07</v>
      </c>
      <c r="E8" s="38">
        <f t="array" ref="E8">D8*2.3</f>
        <v>2.461</v>
      </c>
    </row>
    <row r="9">
      <c r="A9" s="34" t="inlineStr">
        <is>
          <t>1Y</t>
        </is>
      </c>
      <c r="B9" s="35">
        <f t="array" ref="B9">C9*3.4</f>
        <v>1.207</v>
      </c>
      <c r="C9" s="36" t="n">
        <v>0.355</v>
      </c>
      <c r="D9" s="37" t="n">
        <v>1.15</v>
      </c>
      <c r="E9" s="38">
        <f t="array" ref="E9">D9*2.3</f>
        <v>2.645</v>
      </c>
    </row>
    <row r="10">
      <c r="A10" s="34" t="inlineStr">
        <is>
          <t>2Y</t>
        </is>
      </c>
      <c r="B10" s="39">
        <f t="array" ref="B10">C10*3.4</f>
        <v>1.292</v>
      </c>
      <c r="C10" s="36" t="n">
        <v>0.38</v>
      </c>
      <c r="D10" s="37" t="n">
        <v>1.25</v>
      </c>
      <c r="E10" s="40">
        <f t="array" ref="E10">D10*2.3</f>
        <v>2.875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31">
        <f>C2*3.75</f>
        <v>0.703125</v>
      </c>
      <c r="C2" s="29" t="n">
        <v>0.1875</v>
      </c>
      <c r="D2" s="29" t="n">
        <v>0.095</v>
      </c>
      <c r="E2" s="31">
        <f>D2*1.3</f>
        <v>0.1235</v>
      </c>
    </row>
    <row r="3" ht="12.75" customHeight="1" s="27">
      <c r="A3" s="29" t="inlineStr">
        <is>
          <t>2W</t>
        </is>
      </c>
      <c r="B3" s="31">
        <f>C3*3.75</f>
        <v>0.73125</v>
      </c>
      <c r="C3" s="29" t="n">
        <v>0.195</v>
      </c>
      <c r="D3" s="29" t="n">
        <v>0.14</v>
      </c>
      <c r="E3" s="31">
        <f>D3*1.8</f>
        <v>0.252</v>
      </c>
    </row>
    <row r="4" ht="12.75" customHeight="1" s="27">
      <c r="A4" s="29" t="inlineStr">
        <is>
          <t>3W</t>
        </is>
      </c>
      <c r="B4" s="31">
        <f>C4*3.75</f>
        <v>0.75</v>
      </c>
      <c r="C4" s="29" t="n">
        <v>0.2</v>
      </c>
      <c r="D4" s="29" t="n">
        <v>0.145</v>
      </c>
      <c r="E4" s="31">
        <f>D4*1.8</f>
        <v>0.261</v>
      </c>
    </row>
    <row r="5" ht="12.75" customHeight="1" s="27">
      <c r="A5" s="29" t="inlineStr">
        <is>
          <t>1M</t>
        </is>
      </c>
      <c r="B5" s="31">
        <f>C5*3.75</f>
        <v>0.75</v>
      </c>
      <c r="C5" s="29" t="n">
        <v>0.2</v>
      </c>
      <c r="D5" s="29" t="n">
        <v>0.1575</v>
      </c>
      <c r="E5" s="31">
        <f>D5*1.8</f>
        <v>0.2835</v>
      </c>
    </row>
    <row r="6" ht="12.75" customHeight="1" s="27">
      <c r="A6" s="29" t="inlineStr">
        <is>
          <t>2M</t>
        </is>
      </c>
      <c r="B6" s="31">
        <f>C6*3.75</f>
        <v>0.834375</v>
      </c>
      <c r="C6" s="29" t="n">
        <v>0.2225</v>
      </c>
      <c r="D6" s="29" t="n">
        <v>0.185</v>
      </c>
      <c r="E6" s="31">
        <f>D6*1.8</f>
        <v>0.333</v>
      </c>
    </row>
    <row r="7" ht="12.75" customHeight="1" s="27">
      <c r="A7" s="29" t="inlineStr">
        <is>
          <t>3M</t>
        </is>
      </c>
      <c r="B7" s="31">
        <f>C7*3.85</f>
        <v>1.001</v>
      </c>
      <c r="C7" s="29" t="n">
        <v>0.26</v>
      </c>
      <c r="D7" s="29" t="n">
        <v>0.23</v>
      </c>
      <c r="E7" s="31">
        <f>D7*1.8</f>
        <v>0.414</v>
      </c>
    </row>
    <row r="8" ht="12.75" customHeight="1" s="27">
      <c r="A8" s="29" t="inlineStr">
        <is>
          <t>6M</t>
        </is>
      </c>
      <c r="B8" s="31">
        <f>C8*3.85</f>
        <v>1.155</v>
      </c>
      <c r="C8" s="29" t="n">
        <v>0.3</v>
      </c>
      <c r="D8" s="29" t="n">
        <v>0.355</v>
      </c>
      <c r="E8" s="31">
        <f>D8*1.8</f>
        <v>0.639</v>
      </c>
    </row>
    <row r="9" ht="12.75" customHeight="1" s="27">
      <c r="A9" s="29" t="inlineStr">
        <is>
          <t>9M</t>
        </is>
      </c>
      <c r="B9" s="31">
        <f>C9*3.85</f>
        <v>1.36675</v>
      </c>
      <c r="C9" s="29" t="n">
        <v>0.355</v>
      </c>
      <c r="D9" s="29" t="n">
        <v>0.375</v>
      </c>
      <c r="E9" s="31">
        <f>D9*1.8</f>
        <v>0.675</v>
      </c>
    </row>
    <row r="10" ht="12.75" customHeight="1" s="27">
      <c r="A10" s="29" t="inlineStr">
        <is>
          <t>1Y</t>
        </is>
      </c>
      <c r="B10" s="31">
        <f>C10*4</f>
        <v>1.45</v>
      </c>
      <c r="C10" s="29" t="n">
        <v>0.3625</v>
      </c>
      <c r="D10" s="29" t="n">
        <v>0.46</v>
      </c>
      <c r="E10" s="31">
        <f>D10*1.8</f>
        <v>0.828</v>
      </c>
    </row>
    <row r="11" ht="12.75" customHeight="1" s="27">
      <c r="A11" s="29" t="inlineStr">
        <is>
          <t>2Y</t>
        </is>
      </c>
      <c r="B11" s="31">
        <f>C11*4.1</f>
        <v>1.64</v>
      </c>
      <c r="C11" s="29" t="n">
        <v>0.4</v>
      </c>
      <c r="D11" s="29" t="n">
        <v>0.435</v>
      </c>
      <c r="E11" s="31">
        <f>D11*1.8</f>
        <v>0.783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82421875" defaultRowHeight="12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82421875" defaultRowHeight="12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82421875" defaultRowHeight="12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D13" activeCellId="0" sqref="D13"/>
    </sheetView>
  </sheetViews>
  <sheetFormatPr baseColWidth="8" defaultColWidth="8.82421875" defaultRowHeight="12.75" zeroHeight="0" outlineLevelRow="0"/>
  <cols>
    <col width="8.289999999999999" customWidth="1" style="29" min="2" max="2"/>
    <col width="13.57" customWidth="1" style="29" min="11" max="11"/>
  </cols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41">
        <f>C2*3.4</f>
        <v>0.476</v>
      </c>
      <c r="C2" s="29" t="n">
        <v>0.14</v>
      </c>
      <c r="D2" s="29" t="n">
        <v>0.0475</v>
      </c>
      <c r="E2" s="41">
        <f>D2*2.6</f>
        <v>0.1235</v>
      </c>
    </row>
    <row r="3" ht="12.75" customHeight="1" s="27">
      <c r="A3" s="29" t="inlineStr">
        <is>
          <t>2W</t>
        </is>
      </c>
      <c r="B3" s="41">
        <f>C3*3.4</f>
        <v>0.4675</v>
      </c>
      <c r="C3" s="29" t="n">
        <v>0.1375</v>
      </c>
      <c r="D3" s="29" t="n">
        <v>0.1225</v>
      </c>
      <c r="E3" s="41">
        <f>D3*1.8</f>
        <v>0.2205</v>
      </c>
    </row>
    <row r="4" ht="12.75" customHeight="1" s="27">
      <c r="A4" s="29" t="inlineStr">
        <is>
          <t>1M</t>
        </is>
      </c>
      <c r="B4" s="41">
        <f>C4*3.4</f>
        <v>0.5695</v>
      </c>
      <c r="C4" s="29" t="n">
        <v>0.1675</v>
      </c>
      <c r="D4" s="29" t="n">
        <v>0.26</v>
      </c>
      <c r="E4" s="41">
        <f>D4*1.8</f>
        <v>0.468</v>
      </c>
    </row>
    <row r="5" ht="12.75" customHeight="1" s="27">
      <c r="A5" s="29" t="inlineStr">
        <is>
          <t>2M</t>
        </is>
      </c>
      <c r="B5" s="41">
        <f>C5*3.4</f>
        <v>0.663</v>
      </c>
      <c r="C5" s="29" t="n">
        <v>0.195</v>
      </c>
      <c r="D5" s="29" t="n">
        <v>0.36</v>
      </c>
      <c r="E5" s="41">
        <f>D5*1.8</f>
        <v>0.648</v>
      </c>
    </row>
    <row r="6" ht="12.75" customHeight="1" s="27">
      <c r="A6" s="29" t="inlineStr">
        <is>
          <t>3M</t>
        </is>
      </c>
      <c r="B6" s="41">
        <f>C6*3.4</f>
        <v>0.765</v>
      </c>
      <c r="C6" s="29" t="n">
        <v>0.225</v>
      </c>
      <c r="D6" s="29" t="n">
        <v>0.4625</v>
      </c>
      <c r="E6" s="41">
        <f>D6*1.8</f>
        <v>0.8325</v>
      </c>
    </row>
    <row r="7" ht="12.75" customHeight="1" s="27">
      <c r="A7" s="29" t="inlineStr">
        <is>
          <t>6M</t>
        </is>
      </c>
      <c r="B7" s="41">
        <f>C7*3.4</f>
        <v>0.867</v>
      </c>
      <c r="C7" s="29" t="n">
        <v>0.255</v>
      </c>
      <c r="D7" s="29" t="n">
        <v>0.6775</v>
      </c>
      <c r="E7" s="41">
        <f>D7*1.8</f>
        <v>1.2195</v>
      </c>
    </row>
    <row r="8" ht="12.75" customHeight="1" s="27">
      <c r="A8" s="29" t="inlineStr">
        <is>
          <t>9M</t>
        </is>
      </c>
      <c r="B8" s="41">
        <f>C8*3.4</f>
        <v>1.02</v>
      </c>
      <c r="C8" s="29" t="n">
        <v>0.3</v>
      </c>
      <c r="D8" s="29" t="n">
        <v>0.57</v>
      </c>
      <c r="E8" s="41">
        <f>D8*1.8</f>
        <v>1.026</v>
      </c>
    </row>
    <row r="9" ht="12.75" customHeight="1" s="27">
      <c r="A9" s="29" t="inlineStr">
        <is>
          <t>1Y</t>
        </is>
      </c>
      <c r="B9" s="41">
        <f>C9*3.4</f>
        <v>1.122</v>
      </c>
      <c r="C9" s="29" t="n">
        <v>0.33</v>
      </c>
      <c r="D9" s="29" t="n">
        <v>0.925</v>
      </c>
      <c r="E9" s="41">
        <f>D9*1.8</f>
        <v>1.665</v>
      </c>
    </row>
    <row r="10" ht="12.75" customHeight="1" s="27">
      <c r="A10" s="29" t="inlineStr">
        <is>
          <t>2Y</t>
        </is>
      </c>
      <c r="B10" s="41">
        <f>C10*3.4</f>
        <v>1.207</v>
      </c>
      <c r="C10" s="29" t="n">
        <v>0.355</v>
      </c>
      <c r="D10" s="29" t="n">
        <v>1.1225</v>
      </c>
      <c r="E10" s="41">
        <f>D10*1.8</f>
        <v>2.0205</v>
      </c>
    </row>
    <row r="11"/>
    <row r="12"/>
    <row r="13"/>
    <row r="14"/>
    <row r="15"/>
    <row r="16"/>
    <row r="17"/>
    <row r="18"/>
    <row r="19"/>
    <row r="20" ht="12.75" customHeight="1" s="27">
      <c r="K20" s="42" t="n"/>
    </row>
    <row r="21" ht="12.75" customHeight="1" s="27">
      <c r="K21" s="42" t="n"/>
    </row>
    <row r="22" ht="12.75" customHeight="1" s="27">
      <c r="K22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G9" activeCellId="0" sqref="G9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43">
        <f>C2*3.25</f>
        <v>0.706875</v>
      </c>
      <c r="C2" s="29" t="n">
        <v>0.2175</v>
      </c>
      <c r="D2" s="29" t="n">
        <v>-1.25</v>
      </c>
      <c r="E2" s="43">
        <f>D2*1.825</f>
        <v>-2.28125</v>
      </c>
    </row>
    <row r="3" ht="12.75" customHeight="1" s="27">
      <c r="A3" s="29" t="inlineStr">
        <is>
          <t>2W</t>
        </is>
      </c>
      <c r="B3" s="43">
        <f>C3*3.25</f>
        <v>0.755625</v>
      </c>
      <c r="C3" s="29" t="n">
        <v>0.2325</v>
      </c>
      <c r="D3" s="29" t="n">
        <v>-1.2925</v>
      </c>
      <c r="E3" s="43">
        <f>D3*1.825</f>
        <v>-2.3588125</v>
      </c>
    </row>
    <row r="4" ht="12.75" customHeight="1" s="27">
      <c r="A4" s="29" t="inlineStr">
        <is>
          <t>3W</t>
        </is>
      </c>
      <c r="B4" s="43">
        <f>C4*3.25</f>
        <v>1.105</v>
      </c>
      <c r="C4" s="29" t="n">
        <v>0.34</v>
      </c>
      <c r="D4" s="29" t="n">
        <v>-1.2975</v>
      </c>
      <c r="E4" s="43">
        <f>D4*1.825</f>
        <v>-2.3679375</v>
      </c>
    </row>
    <row r="5" ht="12.75" customHeight="1" s="27">
      <c r="A5" s="29" t="inlineStr">
        <is>
          <t>1M</t>
        </is>
      </c>
      <c r="B5" s="43">
        <f>C5*3.75</f>
        <v>0.965625</v>
      </c>
      <c r="C5" s="29" t="n">
        <v>0.2575</v>
      </c>
      <c r="D5" s="29" t="n">
        <v>-1.47</v>
      </c>
      <c r="E5" s="43">
        <f>D5*1.825</f>
        <v>-2.68275</v>
      </c>
    </row>
    <row r="6" ht="12.75" customHeight="1" s="27">
      <c r="A6" s="29" t="inlineStr">
        <is>
          <t>2M</t>
        </is>
      </c>
      <c r="B6" s="43">
        <f>4*C6</f>
        <v>1.26</v>
      </c>
      <c r="C6" s="29" t="n">
        <v>0.315</v>
      </c>
      <c r="D6" s="29" t="n">
        <v>-1.84</v>
      </c>
      <c r="E6" s="43">
        <f>D6*1.825</f>
        <v>-3.358</v>
      </c>
    </row>
    <row r="7" ht="12.75" customHeight="1" s="27">
      <c r="A7" s="29" t="inlineStr">
        <is>
          <t>3M</t>
        </is>
      </c>
      <c r="B7" s="43">
        <f>4*C7</f>
        <v>1.41</v>
      </c>
      <c r="C7" s="29" t="n">
        <v>0.3525</v>
      </c>
      <c r="D7" s="29" t="n">
        <v>-2.1575</v>
      </c>
      <c r="E7" s="43">
        <f>D7*1.825</f>
        <v>-3.9374375</v>
      </c>
    </row>
    <row r="8" ht="12.75" customHeight="1" s="27">
      <c r="A8" s="29" t="inlineStr">
        <is>
          <t>6M</t>
        </is>
      </c>
      <c r="B8" s="43">
        <f>4*C8</f>
        <v>1.68</v>
      </c>
      <c r="C8" s="29" t="n">
        <v>0.42</v>
      </c>
      <c r="D8" s="29" t="n">
        <v>-2.5675</v>
      </c>
      <c r="E8" s="43">
        <f>D8*1.825</f>
        <v>-4.6856875</v>
      </c>
    </row>
    <row r="9" ht="12.75" customHeight="1" s="27">
      <c r="A9" s="29" t="inlineStr">
        <is>
          <t>9M</t>
        </is>
      </c>
      <c r="B9" s="43">
        <f>4*C9</f>
        <v>1.87</v>
      </c>
      <c r="C9" s="29" t="n">
        <v>0.4675</v>
      </c>
      <c r="D9" s="29" t="n">
        <v>-2.735</v>
      </c>
      <c r="E9" s="43">
        <f>D9*1.825</f>
        <v>-4.991375</v>
      </c>
    </row>
    <row r="10" ht="12.75" customHeight="1" s="27">
      <c r="A10" s="29" t="inlineStr">
        <is>
          <t>1Y</t>
        </is>
      </c>
      <c r="B10" s="43">
        <f>4.25*C10</f>
        <v>2.135625</v>
      </c>
      <c r="C10" s="29" t="n">
        <v>0.5024999999999999</v>
      </c>
      <c r="D10" s="29" t="n">
        <v>-2.875</v>
      </c>
      <c r="E10" s="43">
        <f>D10*1.825</f>
        <v>-5.246875</v>
      </c>
    </row>
    <row r="11" ht="12.75" customHeight="1" s="27">
      <c r="A11" s="29" t="inlineStr">
        <is>
          <t>2Y</t>
        </is>
      </c>
      <c r="B11" s="43">
        <f>4.25*C11</f>
        <v>2.295</v>
      </c>
      <c r="C11" s="29" t="n">
        <v>0.54</v>
      </c>
      <c r="D11" s="29" t="n">
        <v>-3.34</v>
      </c>
      <c r="E11" s="43">
        <f>D11*1.825</f>
        <v>-6.0955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E8" activeCellId="0" sqref="E8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43">
        <f>3.25*C2</f>
        <v>0.6175</v>
      </c>
      <c r="C2" s="29" t="n">
        <v>0.19</v>
      </c>
      <c r="D2" s="29" t="n">
        <v>-0.43</v>
      </c>
      <c r="E2" s="43">
        <f>D2*1.8</f>
        <v>-0.774</v>
      </c>
    </row>
    <row r="3" ht="12.75" customHeight="1" s="27">
      <c r="A3" s="29" t="inlineStr">
        <is>
          <t>2W</t>
        </is>
      </c>
      <c r="B3" s="43">
        <f>3.25*C3</f>
        <v>0.65</v>
      </c>
      <c r="C3" s="29" t="n">
        <v>0.2</v>
      </c>
      <c r="D3" s="29" t="n">
        <v>-0.415</v>
      </c>
      <c r="E3" s="43">
        <f>D3*1.8</f>
        <v>-0.747</v>
      </c>
    </row>
    <row r="4" ht="12.75" customHeight="1" s="27">
      <c r="A4" s="29" t="inlineStr">
        <is>
          <t>3W</t>
        </is>
      </c>
      <c r="B4" s="43">
        <f>3.25*C4</f>
        <v>0.6175</v>
      </c>
      <c r="C4" s="29" t="n">
        <v>0.19</v>
      </c>
      <c r="D4" s="29" t="n">
        <v>-0.37</v>
      </c>
      <c r="E4" s="43">
        <f>D4*1.8</f>
        <v>-0.666</v>
      </c>
    </row>
    <row r="5" ht="12.75" customHeight="1" s="27">
      <c r="A5" s="29" t="inlineStr">
        <is>
          <t>1M</t>
        </is>
      </c>
      <c r="B5" s="43">
        <f>3.25*C5</f>
        <v>0.76375</v>
      </c>
      <c r="C5" s="29" t="n">
        <v>0.235</v>
      </c>
      <c r="D5" s="29" t="n">
        <v>-0.475</v>
      </c>
      <c r="E5" s="43">
        <f>D5*1.8</f>
        <v>-0.855</v>
      </c>
    </row>
    <row r="6" ht="12.75" customHeight="1" s="27">
      <c r="A6" s="29" t="inlineStr">
        <is>
          <t>2M</t>
        </is>
      </c>
      <c r="B6" s="43">
        <f>3.25*C6</f>
        <v>0.869375</v>
      </c>
      <c r="C6" s="29" t="n">
        <v>0.2675</v>
      </c>
      <c r="D6" s="29" t="n">
        <v>-0.6625</v>
      </c>
      <c r="E6" s="43">
        <f>D6*1.8</f>
        <v>-1.1925</v>
      </c>
    </row>
    <row r="7" ht="12.75" customHeight="1" s="27">
      <c r="A7" s="29" t="inlineStr">
        <is>
          <t>3M</t>
        </is>
      </c>
      <c r="B7" s="43">
        <f>3.25*C7</f>
        <v>0.950625</v>
      </c>
      <c r="C7" s="29" t="n">
        <v>0.2925</v>
      </c>
      <c r="D7" s="29" t="n">
        <v>-0.8275</v>
      </c>
      <c r="E7" s="43">
        <f>D7*1.825</f>
        <v>-1.5101875</v>
      </c>
    </row>
    <row r="8" ht="12.75" customHeight="1" s="27">
      <c r="A8" s="29" t="inlineStr">
        <is>
          <t>6M</t>
        </is>
      </c>
      <c r="B8" s="43">
        <f>3.25*C8</f>
        <v>1.129375</v>
      </c>
      <c r="C8" s="29" t="n">
        <v>0.3475</v>
      </c>
      <c r="D8" s="29" t="n">
        <v>-1.0925</v>
      </c>
      <c r="E8" s="43">
        <f>D8*1.825</f>
        <v>-1.9938125</v>
      </c>
    </row>
    <row r="9" ht="12.75" customHeight="1" s="27">
      <c r="A9" s="29" t="inlineStr">
        <is>
          <t>9M</t>
        </is>
      </c>
      <c r="B9" s="43">
        <f>3.25*C9</f>
        <v>1.259375</v>
      </c>
      <c r="C9" s="29" t="n">
        <v>0.3875</v>
      </c>
      <c r="D9" s="29" t="n">
        <v>-1.2925</v>
      </c>
      <c r="E9" s="43">
        <f>D9*1.825</f>
        <v>-2.3588125</v>
      </c>
    </row>
    <row r="10" ht="12.75" customHeight="1" s="27">
      <c r="A10" s="29" t="inlineStr">
        <is>
          <t>1Y</t>
        </is>
      </c>
      <c r="B10" s="43">
        <f>3.25*C10</f>
        <v>1.291875</v>
      </c>
      <c r="C10" s="29" t="n">
        <v>0.3975</v>
      </c>
      <c r="D10" s="29" t="n">
        <v>-1.3775</v>
      </c>
      <c r="E10" s="43">
        <f>D10*1.825</f>
        <v>-2.5139375</v>
      </c>
    </row>
    <row r="11" ht="12.75" customHeight="1" s="27">
      <c r="A11" s="29" t="inlineStr">
        <is>
          <t>2Y</t>
        </is>
      </c>
      <c r="B11" s="43">
        <f>3.25*C11</f>
        <v>1.3975</v>
      </c>
      <c r="C11" s="29" t="n">
        <v>0.43</v>
      </c>
      <c r="D11" s="29" t="n">
        <v>-1.685</v>
      </c>
      <c r="E11" s="44">
        <f>D11*1.75</f>
        <v>-2.94875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G7" activeCellId="0" sqref="G7"/>
    </sheetView>
  </sheetViews>
  <sheetFormatPr baseColWidth="8" defaultColWidth="8.859375" defaultRowHeight="12.75" zeroHeight="0" outlineLevelRow="0"/>
  <cols>
    <col width="6.42" customWidth="1" style="29" min="1" max="1"/>
    <col width="7.71" customWidth="1" style="29" min="2" max="3"/>
    <col width="7.87" customWidth="1" style="29" min="4" max="5"/>
  </cols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31">
        <f>C2*3</f>
        <v>0.4425</v>
      </c>
      <c r="C2" s="29" t="n">
        <v>0.1475</v>
      </c>
      <c r="D2" s="29" t="n">
        <v>-0.18</v>
      </c>
      <c r="E2" s="31">
        <f>D2*1.75</f>
        <v>-0.315</v>
      </c>
    </row>
    <row r="3" ht="12.75" customHeight="1" s="27">
      <c r="A3" s="29" t="inlineStr">
        <is>
          <t>2W</t>
        </is>
      </c>
      <c r="B3" s="31">
        <f>C3*3</f>
        <v>0.4575</v>
      </c>
      <c r="C3" s="29" t="n">
        <v>0.1525</v>
      </c>
      <c r="D3" s="29" t="n">
        <v>-0.165</v>
      </c>
      <c r="E3" s="31">
        <f>D3*1.75</f>
        <v>-0.28875</v>
      </c>
    </row>
    <row r="4" ht="12.75" customHeight="1" s="27">
      <c r="A4" s="29" t="inlineStr">
        <is>
          <t>3W</t>
        </is>
      </c>
      <c r="B4" s="31">
        <f>C4*3</f>
        <v>0.4875</v>
      </c>
      <c r="C4" s="29" t="n">
        <v>0.1625</v>
      </c>
      <c r="D4" s="29" t="n">
        <v>-0.1775</v>
      </c>
      <c r="E4" s="31">
        <f>D4*1.75</f>
        <v>-0.310625</v>
      </c>
    </row>
    <row r="5" ht="12.75" customHeight="1" s="27">
      <c r="A5" s="29" t="inlineStr">
        <is>
          <t>1M</t>
        </is>
      </c>
      <c r="B5" s="31">
        <f>C5*3</f>
        <v>0.5175</v>
      </c>
      <c r="C5" s="29" t="n">
        <v>0.1725</v>
      </c>
      <c r="D5" s="29" t="n">
        <v>-0.1225</v>
      </c>
      <c r="E5" s="31">
        <f>D5*1.75</f>
        <v>-0.214375</v>
      </c>
    </row>
    <row r="6" ht="12.75" customHeight="1" s="27">
      <c r="A6" s="29" t="inlineStr">
        <is>
          <t>2M</t>
        </is>
      </c>
      <c r="B6" s="31">
        <f>C6*3</f>
        <v>0.585</v>
      </c>
      <c r="C6" s="29" t="n">
        <v>0.195</v>
      </c>
      <c r="D6" s="29" t="n">
        <v>-0.1025</v>
      </c>
      <c r="E6" s="31">
        <f>D6*1.75</f>
        <v>-0.179375</v>
      </c>
    </row>
    <row r="7" ht="12.75" customHeight="1" s="27">
      <c r="A7" s="29" t="inlineStr">
        <is>
          <t>3M</t>
        </is>
      </c>
      <c r="B7" s="31">
        <f>C7*3</f>
        <v>0.6375</v>
      </c>
      <c r="C7" s="29" t="n">
        <v>0.2125</v>
      </c>
      <c r="D7" s="29" t="n">
        <v>-0.0925</v>
      </c>
      <c r="E7" s="31">
        <f>D7*1.8</f>
        <v>-0.1665</v>
      </c>
    </row>
    <row r="8" ht="12.75" customHeight="1" s="27">
      <c r="A8" s="29" t="inlineStr">
        <is>
          <t>6M</t>
        </is>
      </c>
      <c r="B8" s="31">
        <f>C8*3.25</f>
        <v>0.8775</v>
      </c>
      <c r="C8" s="29" t="n">
        <v>0.27</v>
      </c>
      <c r="D8" s="29" t="n">
        <v>-0.04</v>
      </c>
      <c r="E8" s="31">
        <f>D8*1.8</f>
        <v>-0.072</v>
      </c>
    </row>
    <row r="9" ht="12.75" customHeight="1" s="27">
      <c r="A9" s="29" t="inlineStr">
        <is>
          <t>9M</t>
        </is>
      </c>
      <c r="B9" s="31">
        <f>C9*3.5</f>
        <v>1.04125</v>
      </c>
      <c r="C9" s="29" t="n">
        <v>0.2975</v>
      </c>
      <c r="D9" s="29" t="n">
        <v>0.0025</v>
      </c>
      <c r="E9" s="31">
        <f>D9*1.825</f>
        <v>0.0045625</v>
      </c>
    </row>
    <row r="10" ht="12.75" customHeight="1" s="27">
      <c r="A10" s="29" t="inlineStr">
        <is>
          <t>1Y</t>
        </is>
      </c>
      <c r="B10" s="31">
        <f>C10*3.55</f>
        <v>1.144875</v>
      </c>
      <c r="C10" s="29" t="n">
        <v>0.3225</v>
      </c>
      <c r="D10" s="29" t="n">
        <v>0.025</v>
      </c>
      <c r="E10" s="31">
        <f>D10*1.85</f>
        <v>0.04625</v>
      </c>
    </row>
    <row r="11" ht="12.75" customHeight="1" s="27">
      <c r="A11" s="29" t="inlineStr">
        <is>
          <t>2Y</t>
        </is>
      </c>
      <c r="B11" s="31">
        <f>C11*3.55</f>
        <v>1.207</v>
      </c>
      <c r="C11" s="29" t="n">
        <v>0.34</v>
      </c>
      <c r="D11" s="29" t="n">
        <v>-0.055</v>
      </c>
      <c r="E11" s="31">
        <f>D11*2.15</f>
        <v>-0.11825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F13" activeCellId="0" sqref="F13"/>
    </sheetView>
  </sheetViews>
  <sheetFormatPr baseColWidth="8" defaultColWidth="8.859375" defaultRowHeight="12.75" zeroHeight="0" outlineLevelRow="0"/>
  <cols>
    <col width="6.42" customWidth="1" style="29" min="1" max="1"/>
    <col width="7.71" customWidth="1" style="29" min="2" max="3"/>
    <col width="7.87" customWidth="1" style="29" min="4" max="5"/>
  </cols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43">
        <f>C2*3</f>
        <v>0.8175</v>
      </c>
      <c r="C2" s="29" t="n">
        <v>0.2725</v>
      </c>
      <c r="D2" s="29" t="n">
        <v>-0.9175</v>
      </c>
      <c r="E2" s="43">
        <f>D2*1.8</f>
        <v>-1.6515</v>
      </c>
    </row>
    <row r="3" ht="12.75" customHeight="1" s="27">
      <c r="A3" s="29" t="inlineStr">
        <is>
          <t>2W</t>
        </is>
      </c>
      <c r="B3" s="43">
        <f>C3*3</f>
        <v>0.8775</v>
      </c>
      <c r="C3" s="29" t="n">
        <v>0.2925</v>
      </c>
      <c r="D3" s="29" t="n">
        <v>-1.0425</v>
      </c>
      <c r="E3" s="43">
        <f>D3*1.8</f>
        <v>-1.8765</v>
      </c>
    </row>
    <row r="4" ht="12.75" customHeight="1" s="27">
      <c r="A4" s="29" t="inlineStr">
        <is>
          <t>3W</t>
        </is>
      </c>
      <c r="B4" s="43">
        <f>C4*3</f>
        <v>0.93</v>
      </c>
      <c r="C4" s="29" t="n">
        <v>0.31</v>
      </c>
      <c r="D4" s="29" t="n">
        <v>-1.205</v>
      </c>
      <c r="E4" s="43">
        <f>D4*1.8</f>
        <v>-2.169</v>
      </c>
    </row>
    <row r="5" ht="12.75" customHeight="1" s="27">
      <c r="A5" s="29" t="inlineStr">
        <is>
          <t>1M</t>
        </is>
      </c>
      <c r="B5" s="43">
        <f>C5*3</f>
        <v>1.02</v>
      </c>
      <c r="C5" s="29" t="n">
        <v>0.34</v>
      </c>
      <c r="D5" s="29" t="n">
        <v>-1.295</v>
      </c>
      <c r="E5" s="43">
        <f>D5*1.825</f>
        <v>-2.363375</v>
      </c>
    </row>
    <row r="6" ht="12.75" customHeight="1" s="27">
      <c r="A6" s="29" t="inlineStr">
        <is>
          <t>2M</t>
        </is>
      </c>
      <c r="B6" s="43">
        <f>C6*3</f>
        <v>1.11</v>
      </c>
      <c r="C6" s="29" t="n">
        <v>0.37</v>
      </c>
      <c r="D6" s="29" t="n">
        <v>-1.425</v>
      </c>
      <c r="E6" s="43">
        <f>D6*1.825</f>
        <v>-2.600625</v>
      </c>
    </row>
    <row r="7" ht="12.75" customHeight="1" s="27">
      <c r="A7" s="29" t="inlineStr">
        <is>
          <t>3M</t>
        </is>
      </c>
      <c r="B7" s="43">
        <f>C7*3</f>
        <v>1.1925</v>
      </c>
      <c r="C7" s="29" t="n">
        <v>0.3975</v>
      </c>
      <c r="D7" s="29" t="n">
        <v>-1.4875</v>
      </c>
      <c r="E7" s="43">
        <f>D7*1.825</f>
        <v>-2.7146875</v>
      </c>
    </row>
    <row r="8" ht="12.75" customHeight="1" s="27">
      <c r="A8" s="29" t="inlineStr">
        <is>
          <t>6M</t>
        </is>
      </c>
      <c r="B8" s="43">
        <f>C8*3</f>
        <v>1.3125</v>
      </c>
      <c r="C8" s="29" t="n">
        <v>0.4375</v>
      </c>
      <c r="D8" s="29" t="n">
        <v>-1.6475</v>
      </c>
      <c r="E8" s="43">
        <f>D8*1.825</f>
        <v>-3.0066875</v>
      </c>
    </row>
    <row r="9" ht="12.75" customHeight="1" s="27">
      <c r="A9" s="29" t="inlineStr">
        <is>
          <t>9M</t>
        </is>
      </c>
      <c r="B9" s="43">
        <f>C9*3</f>
        <v>1.3575</v>
      </c>
      <c r="C9" s="29" t="n">
        <v>0.4525</v>
      </c>
      <c r="D9" s="29" t="n">
        <v>-1.7175</v>
      </c>
      <c r="E9" s="43">
        <f>D9*1.85</f>
        <v>-3.177375</v>
      </c>
    </row>
    <row r="10" ht="12.75" customHeight="1" s="27">
      <c r="A10" s="29" t="inlineStr">
        <is>
          <t>1Y</t>
        </is>
      </c>
      <c r="B10" s="43">
        <f>C10*3</f>
        <v>1.4025</v>
      </c>
      <c r="C10" s="29" t="n">
        <v>0.4675</v>
      </c>
      <c r="D10" s="29" t="n">
        <v>-1.7675</v>
      </c>
      <c r="E10" s="43">
        <f>D10*1.85</f>
        <v>-3.269875</v>
      </c>
    </row>
    <row r="11" ht="12.75" customHeight="1" s="27">
      <c r="A11" s="29" t="inlineStr">
        <is>
          <t>2Y</t>
        </is>
      </c>
      <c r="B11" s="43">
        <f>C11*3</f>
        <v>1.47</v>
      </c>
      <c r="C11" s="29" t="n">
        <v>0.49</v>
      </c>
      <c r="D11" s="29" t="n">
        <v>-1.75</v>
      </c>
      <c r="E11" s="43">
        <f>D11*1.85</f>
        <v>-3.2375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K7" activeCellId="0" sqref="K7"/>
    </sheetView>
  </sheetViews>
  <sheetFormatPr baseColWidth="8" defaultColWidth="8.859375" defaultRowHeight="12.75" zeroHeight="0" outlineLevelRow="0"/>
  <cols>
    <col width="6.42" customWidth="1" style="29" min="1" max="1"/>
    <col width="7.71" customWidth="1" style="29" min="2" max="3"/>
    <col width="7.87" customWidth="1" style="29" min="4" max="5"/>
  </cols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41">
        <f>C2*3</f>
        <v>0.6525</v>
      </c>
      <c r="C2" s="29" t="n">
        <v>0.2175</v>
      </c>
      <c r="D2" s="29" t="n">
        <v>-0.0275</v>
      </c>
      <c r="E2" s="31">
        <f>1.85*D2</f>
        <v>-0.050875</v>
      </c>
    </row>
    <row r="3" ht="12.75" customHeight="1" s="27">
      <c r="A3" s="29" t="inlineStr">
        <is>
          <t>2W</t>
        </is>
      </c>
      <c r="B3" s="41">
        <f>C3*3</f>
        <v>0.675</v>
      </c>
      <c r="C3" s="29" t="n">
        <v>0.225</v>
      </c>
      <c r="D3" s="29" t="n">
        <v>-0.11</v>
      </c>
      <c r="E3" s="31">
        <f>1.85*D3</f>
        <v>-0.2035</v>
      </c>
    </row>
    <row r="4" ht="12.75" customHeight="1" s="27">
      <c r="A4" s="29" t="inlineStr">
        <is>
          <t>3W</t>
        </is>
      </c>
      <c r="B4" s="41">
        <f>C4*3</f>
        <v>0.735</v>
      </c>
      <c r="C4" s="29" t="n">
        <v>0.245</v>
      </c>
      <c r="D4" s="29" t="n">
        <v>-0.1475</v>
      </c>
      <c r="E4" s="31">
        <f>1.85*D4</f>
        <v>-0.272875</v>
      </c>
    </row>
    <row r="5" ht="12.75" customHeight="1" s="27">
      <c r="A5" s="29" t="inlineStr">
        <is>
          <t>1M</t>
        </is>
      </c>
      <c r="B5" s="41">
        <f>C5*3</f>
        <v>0.72</v>
      </c>
      <c r="C5" s="29" t="n">
        <v>0.24</v>
      </c>
      <c r="D5" s="29" t="n">
        <v>-0.24</v>
      </c>
      <c r="E5" s="31">
        <f>1.85*D5</f>
        <v>-0.444</v>
      </c>
    </row>
    <row r="6" ht="12.75" customHeight="1" s="27">
      <c r="A6" s="29" t="inlineStr">
        <is>
          <t>2M</t>
        </is>
      </c>
      <c r="B6" s="41">
        <f>C6*3</f>
        <v>0.8025</v>
      </c>
      <c r="C6" s="29" t="n">
        <v>0.2675</v>
      </c>
      <c r="D6" s="29" t="n">
        <v>-0.4575</v>
      </c>
      <c r="E6" s="31">
        <f>1.85*D6</f>
        <v>-0.846375</v>
      </c>
    </row>
    <row r="7" ht="12.75" customHeight="1" s="27">
      <c r="A7" s="29" t="inlineStr">
        <is>
          <t>3M</t>
        </is>
      </c>
      <c r="B7" s="41">
        <f>C7*3</f>
        <v>0.87</v>
      </c>
      <c r="C7" s="29" t="n">
        <v>0.29</v>
      </c>
      <c r="D7" s="29" t="n">
        <v>-0.645</v>
      </c>
      <c r="E7" s="31">
        <f>1.85*D7</f>
        <v>-1.19325</v>
      </c>
    </row>
    <row r="8" ht="12.75" customHeight="1" s="27">
      <c r="A8" s="29" t="inlineStr">
        <is>
          <t>6M</t>
        </is>
      </c>
      <c r="B8" s="41">
        <f>C8*3</f>
        <v>0.99</v>
      </c>
      <c r="C8" s="29" t="n">
        <v>0.33</v>
      </c>
      <c r="D8" s="29" t="n">
        <v>-0.9575</v>
      </c>
      <c r="E8" s="44">
        <f>D8*2</f>
        <v>-1.915</v>
      </c>
    </row>
    <row r="9" ht="12.75" customHeight="1" s="27">
      <c r="A9" s="29" t="inlineStr">
        <is>
          <t>9M</t>
        </is>
      </c>
      <c r="B9" s="41">
        <f>C9*3</f>
        <v>1.065</v>
      </c>
      <c r="C9" s="29" t="n">
        <v>0.355</v>
      </c>
      <c r="D9" s="29" t="n">
        <v>-1.0925</v>
      </c>
      <c r="E9" s="31">
        <f>1.875*D9</f>
        <v>-2.0484375</v>
      </c>
    </row>
    <row r="10" ht="12.75" customHeight="1" s="27">
      <c r="A10" s="29" t="inlineStr">
        <is>
          <t>1Y</t>
        </is>
      </c>
      <c r="B10" s="45">
        <f>3.25*C10</f>
        <v>1.2025</v>
      </c>
      <c r="C10" s="29" t="n">
        <v>0.37</v>
      </c>
      <c r="D10" s="29" t="n">
        <v>-1.19</v>
      </c>
      <c r="E10" s="31">
        <f>1.875*D10</f>
        <v>-2.23125</v>
      </c>
    </row>
    <row r="11" ht="12.75" customHeight="1" s="27">
      <c r="A11" s="29" t="inlineStr">
        <is>
          <t>2Y</t>
        </is>
      </c>
      <c r="B11" s="45">
        <f>3.5*C11</f>
        <v>1.4525</v>
      </c>
      <c r="C11" s="29" t="n">
        <v>0.415</v>
      </c>
      <c r="D11" s="29" t="n">
        <v>-1.42</v>
      </c>
      <c r="E11" s="31">
        <f>1.875*D11</f>
        <v>-2.6625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U30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selection pane="topLeft" activeCell="I15" activeCellId="0" sqref="I15"/>
    </sheetView>
  </sheetViews>
  <sheetFormatPr baseColWidth="8" defaultColWidth="8.859375" defaultRowHeight="12.75" zeroHeight="0" outlineLevelRow="0"/>
  <cols>
    <col width="6.42" customWidth="1" style="29" min="1" max="1"/>
    <col width="7.71" customWidth="1" style="29" min="2" max="3"/>
    <col width="7.87" customWidth="1" style="29" min="4" max="5"/>
    <col width="10.29" customWidth="1" style="29" min="8" max="8"/>
    <col width="12.86" customWidth="1" style="29" min="12" max="12"/>
    <col width="15" customWidth="1" style="29" min="13" max="13"/>
    <col width="12.86" customWidth="1" style="29" min="15" max="15"/>
  </cols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46">
        <f>+C2*3.4</f>
        <v>0.6205</v>
      </c>
      <c r="C2" s="47" t="n">
        <v>0.1825</v>
      </c>
      <c r="D2" s="47" t="n">
        <v>0.385</v>
      </c>
      <c r="E2" s="46">
        <f>+D2*2.05</f>
        <v>0.78925</v>
      </c>
    </row>
    <row r="3" ht="12.75" customHeight="1" s="27">
      <c r="A3" s="29" t="inlineStr">
        <is>
          <t>2W</t>
        </is>
      </c>
      <c r="B3" s="46">
        <f>+C3*3.4</f>
        <v>0.6375</v>
      </c>
      <c r="C3" s="47" t="n">
        <v>0.1875</v>
      </c>
      <c r="D3" s="47" t="n">
        <v>0.45</v>
      </c>
      <c r="E3" s="46">
        <f>+D3*2.15</f>
        <v>0.9675</v>
      </c>
    </row>
    <row r="4" ht="12.75" customHeight="1" s="27">
      <c r="A4" s="29" t="inlineStr">
        <is>
          <t>1M</t>
        </is>
      </c>
      <c r="B4" s="46">
        <f>+C4*3.4</f>
        <v>0.731</v>
      </c>
      <c r="C4" s="47" t="n">
        <v>0.215</v>
      </c>
      <c r="D4" s="47" t="n">
        <v>0.525</v>
      </c>
      <c r="E4" s="46">
        <f>+D4*2.3</f>
        <v>1.2075</v>
      </c>
    </row>
    <row r="5" ht="12.75" customHeight="1" s="27">
      <c r="A5" s="29" t="inlineStr">
        <is>
          <t>2M</t>
        </is>
      </c>
      <c r="B5" s="46">
        <f>+C5*3.4</f>
        <v>0.816</v>
      </c>
      <c r="C5" s="47" t="n">
        <v>0.24</v>
      </c>
      <c r="D5" s="47" t="n">
        <v>0.66</v>
      </c>
      <c r="E5" s="46">
        <f>+D5*2.3</f>
        <v>1.518</v>
      </c>
    </row>
    <row r="6" ht="12.75" customHeight="1" s="27">
      <c r="A6" s="29" t="inlineStr">
        <is>
          <t>3M</t>
        </is>
      </c>
      <c r="B6" s="46">
        <f>+C6*3.4</f>
        <v>0.867</v>
      </c>
      <c r="C6" s="47" t="n">
        <v>0.255</v>
      </c>
      <c r="D6" s="47" t="n">
        <v>0.74</v>
      </c>
      <c r="E6" s="46">
        <f>+D6*2.3</f>
        <v>1.702</v>
      </c>
      <c r="L6" s="48" t="n"/>
    </row>
    <row r="7" ht="12.75" customHeight="1" s="27">
      <c r="A7" s="29" t="inlineStr">
        <is>
          <t>6M</t>
        </is>
      </c>
      <c r="B7" s="46">
        <f>+C7*3.4</f>
        <v>0.986</v>
      </c>
      <c r="C7" s="47" t="n">
        <v>0.29</v>
      </c>
      <c r="D7" s="47" t="n">
        <v>0.95</v>
      </c>
      <c r="E7" s="46">
        <f>+D7*2.3</f>
        <v>2.185</v>
      </c>
    </row>
    <row r="8" ht="12.75" customHeight="1" s="27">
      <c r="A8" s="29" t="inlineStr">
        <is>
          <t>9M</t>
        </is>
      </c>
      <c r="B8" s="46">
        <f>+C8*3.4</f>
        <v>1.122</v>
      </c>
      <c r="C8" s="47" t="n">
        <v>0.33</v>
      </c>
      <c r="D8" s="47" t="n">
        <v>1.07</v>
      </c>
      <c r="E8" s="46">
        <f>+D8*2.3</f>
        <v>2.461</v>
      </c>
      <c r="L8" s="49" t="n"/>
    </row>
    <row r="9" ht="12.75" customHeight="1" s="27">
      <c r="A9" s="29" t="inlineStr">
        <is>
          <t>1Y</t>
        </is>
      </c>
      <c r="B9" s="46">
        <f>+C9*3.4</f>
        <v>1.207</v>
      </c>
      <c r="C9" s="47" t="n">
        <v>0.355</v>
      </c>
      <c r="D9" s="47" t="n">
        <v>1.15</v>
      </c>
      <c r="E9" s="46">
        <f>+D9*2.3</f>
        <v>2.645</v>
      </c>
      <c r="O9" s="50" t="n"/>
    </row>
    <row r="10" ht="12.75" customHeight="1" s="27">
      <c r="A10" s="29" t="inlineStr">
        <is>
          <t>2Y</t>
        </is>
      </c>
      <c r="B10" s="46">
        <f>+C10*3.4</f>
        <v>1.292</v>
      </c>
      <c r="C10" s="47" t="n">
        <v>0.38</v>
      </c>
      <c r="D10" s="47" t="n">
        <v>1.25</v>
      </c>
      <c r="E10" s="46">
        <f>+D10*2.3</f>
        <v>2.875</v>
      </c>
      <c r="O10" s="51" t="n"/>
    </row>
    <row r="11"/>
    <row r="12" ht="12.75" customHeight="1" s="27">
      <c r="T12" s="49" t="n"/>
      <c r="U12" s="52" t="n"/>
    </row>
    <row r="13" ht="12.75" customHeight="1" s="27">
      <c r="T13" s="49" t="n"/>
    </row>
    <row r="14"/>
    <row r="15"/>
    <row r="16"/>
    <row r="17"/>
    <row r="18"/>
    <row r="19" ht="12.75" customHeight="1" s="27">
      <c r="J19" s="53" t="n"/>
    </row>
    <row r="20" ht="12.75" customHeight="1" s="27">
      <c r="L20" s="49" t="n"/>
    </row>
    <row r="21" ht="12.75" customHeight="1" s="27">
      <c r="L21" s="17" t="n"/>
    </row>
    <row r="22"/>
    <row r="23"/>
    <row r="24"/>
    <row r="25"/>
    <row r="26"/>
    <row r="27"/>
    <row r="28"/>
    <row r="29"/>
    <row r="30" ht="12.75" customHeight="1" s="27">
      <c r="L30" s="54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E5" activeCellId="0" sqref="E5"/>
    </sheetView>
  </sheetViews>
  <sheetFormatPr baseColWidth="8" defaultColWidth="8.82421875" defaultRowHeight="12.75" zeroHeight="0" outlineLevelRow="0"/>
  <sheetData>
    <row r="1" ht="12.75" customHeight="1" s="27">
      <c r="A1" s="29" t="inlineStr">
        <is>
          <t>expiry</t>
        </is>
      </c>
      <c r="B1" s="29" t="inlineStr">
        <is>
          <t>ST 10D</t>
        </is>
      </c>
      <c r="C1" s="29" t="inlineStr">
        <is>
          <t>ST 25D</t>
        </is>
      </c>
      <c r="D1" s="29" t="inlineStr">
        <is>
          <t>RR 25D</t>
        </is>
      </c>
      <c r="E1" s="29" t="inlineStr">
        <is>
          <t>RR 10D</t>
        </is>
      </c>
    </row>
    <row r="2" ht="12.75" customHeight="1" s="27">
      <c r="A2" s="29" t="inlineStr">
        <is>
          <t>1W</t>
        </is>
      </c>
      <c r="B2" s="46">
        <f>C2*1.4</f>
        <v>0.546</v>
      </c>
      <c r="C2" s="47" t="n">
        <v>0.39</v>
      </c>
      <c r="D2" s="47" t="n">
        <v>0.5</v>
      </c>
      <c r="E2" s="46">
        <f>D2*1.2</f>
        <v>0.6</v>
      </c>
    </row>
    <row r="3" ht="12.75" customHeight="1" s="27">
      <c r="A3" s="29" t="inlineStr">
        <is>
          <t>2W</t>
        </is>
      </c>
      <c r="B3" s="46">
        <f>C3*1.4</f>
        <v>0.546</v>
      </c>
      <c r="C3" s="47" t="n">
        <v>0.39</v>
      </c>
      <c r="D3" s="47" t="n">
        <v>0.515</v>
      </c>
      <c r="E3" s="46">
        <f>D3*1.2</f>
        <v>0.618</v>
      </c>
    </row>
    <row r="4" ht="12.75" customHeight="1" s="27">
      <c r="A4" s="29" t="inlineStr">
        <is>
          <t>1M</t>
        </is>
      </c>
      <c r="B4" s="46">
        <f>C4*1.4</f>
        <v>0.546</v>
      </c>
      <c r="C4" s="47" t="n">
        <v>0.39</v>
      </c>
      <c r="D4" s="47" t="n">
        <v>0.55</v>
      </c>
      <c r="E4" s="46">
        <f>D4*1.2</f>
        <v>0.66</v>
      </c>
    </row>
    <row r="5" ht="12.75" customHeight="1" s="27">
      <c r="A5" s="29" t="inlineStr">
        <is>
          <t>2M</t>
        </is>
      </c>
      <c r="B5" s="46">
        <f>C5*1.4</f>
        <v>0.546</v>
      </c>
      <c r="C5" s="47" t="n">
        <v>0.39</v>
      </c>
      <c r="D5" s="47" t="n">
        <v>0.525</v>
      </c>
      <c r="E5" s="46">
        <f>D5*1.2</f>
        <v>0.63</v>
      </c>
    </row>
    <row r="6" ht="12.75" customHeight="1" s="27">
      <c r="A6" s="29" t="inlineStr">
        <is>
          <t>3M</t>
        </is>
      </c>
      <c r="B6" s="46">
        <f>C6*1.55</f>
        <v>0.6045</v>
      </c>
      <c r="C6" s="47" t="n">
        <v>0.39</v>
      </c>
      <c r="D6" s="47" t="n">
        <v>0.525</v>
      </c>
      <c r="E6" s="46">
        <f>D6*1.3</f>
        <v>0.6825</v>
      </c>
    </row>
    <row r="7" ht="12.75" customHeight="1" s="27">
      <c r="A7" s="29" t="inlineStr">
        <is>
          <t>6M</t>
        </is>
      </c>
      <c r="B7" s="46">
        <f>C7*1.65</f>
        <v>0.6435</v>
      </c>
      <c r="C7" s="47" t="n">
        <v>0.39</v>
      </c>
      <c r="D7" s="47" t="n">
        <v>0.6</v>
      </c>
      <c r="E7" s="46">
        <f>D7*1.4</f>
        <v>0.84</v>
      </c>
    </row>
    <row r="8" ht="12.75" customHeight="1" s="27">
      <c r="A8" s="29" t="inlineStr">
        <is>
          <t>9M</t>
        </is>
      </c>
      <c r="B8" s="46">
        <f>C8*1.75</f>
        <v>0.6825</v>
      </c>
      <c r="C8" s="47" t="n">
        <v>0.39</v>
      </c>
      <c r="D8" s="47" t="n">
        <v>0.625</v>
      </c>
      <c r="E8" s="46">
        <f>D8*1.5</f>
        <v>0.9375</v>
      </c>
    </row>
    <row r="9" ht="12.75" customHeight="1" s="27">
      <c r="A9" s="29" t="inlineStr">
        <is>
          <t>1Y</t>
        </is>
      </c>
      <c r="B9" s="46">
        <f>C9*1.75</f>
        <v>0.6825</v>
      </c>
      <c r="C9" s="47" t="n">
        <v>0.39</v>
      </c>
      <c r="D9" s="47" t="n">
        <v>0.65</v>
      </c>
      <c r="E9" s="46">
        <f>D9*1.5</f>
        <v>0.975</v>
      </c>
    </row>
    <row r="10" ht="12.75" customHeight="1" s="27">
      <c r="A10" s="29" t="inlineStr">
        <is>
          <t>2Y</t>
        </is>
      </c>
      <c r="B10" s="46">
        <f>C10*1.75</f>
        <v>0.6825</v>
      </c>
      <c r="C10" s="47" t="n">
        <v>0.39</v>
      </c>
      <c r="D10" s="47" t="n">
        <v>0.65</v>
      </c>
      <c r="E10" s="46">
        <f>D10*1.5</f>
        <v>0.975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S26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B11" activeCellId="0" sqref="B11"/>
    </sheetView>
  </sheetViews>
  <sheetFormatPr baseColWidth="8" defaultColWidth="11.78515625" defaultRowHeight="12.75" zeroHeight="0" outlineLevelRow="0"/>
  <cols>
    <col width="15.15" customWidth="1" style="55" min="1" max="1"/>
    <col width="10.85" customWidth="1" style="29" min="2" max="5"/>
    <col width="10.85" customWidth="1" style="56" min="6" max="6"/>
    <col width="10.85" customWidth="1" style="29" min="7" max="14"/>
  </cols>
  <sheetData>
    <row r="1" ht="12.75" customHeight="1" s="27">
      <c r="B1" s="29" t="inlineStr">
        <is>
          <t>USDCNH</t>
        </is>
      </c>
      <c r="C1" s="29" t="inlineStr">
        <is>
          <t>USDCNY</t>
        </is>
      </c>
      <c r="D1" s="29" t="inlineStr">
        <is>
          <t>EURCNH</t>
        </is>
      </c>
      <c r="E1" s="29" t="inlineStr">
        <is>
          <t>GBPCNH</t>
        </is>
      </c>
      <c r="F1" s="56" t="inlineStr">
        <is>
          <t>USDJPY</t>
        </is>
      </c>
      <c r="G1" s="29" t="inlineStr">
        <is>
          <t>EURUSD</t>
        </is>
      </c>
      <c r="H1" s="29" t="inlineStr">
        <is>
          <t>AUDUSD</t>
        </is>
      </c>
      <c r="I1" s="29" t="inlineStr">
        <is>
          <t>GBPUSD</t>
        </is>
      </c>
      <c r="J1" s="29" t="inlineStr">
        <is>
          <t>NZDUSD</t>
        </is>
      </c>
      <c r="K1" s="29" t="inlineStr">
        <is>
          <t>AUDJPY</t>
        </is>
      </c>
      <c r="L1" s="29" t="inlineStr">
        <is>
          <t>EURJPY</t>
        </is>
      </c>
      <c r="M1" s="29" t="inlineStr">
        <is>
          <t>GBPNZD</t>
        </is>
      </c>
      <c r="N1" s="29" t="inlineStr">
        <is>
          <t>EURGBP</t>
        </is>
      </c>
      <c r="O1" s="30" t="inlineStr">
        <is>
          <t>USDHKD</t>
        </is>
      </c>
    </row>
    <row r="2" ht="12.75" customHeight="1" s="27">
      <c r="A2" s="55" t="inlineStr">
        <is>
          <t>initial</t>
        </is>
      </c>
      <c r="B2" s="29" t="n">
        <v>4.9</v>
      </c>
      <c r="C2" s="29" t="n">
        <v>5</v>
      </c>
      <c r="D2" s="29" t="n">
        <v>0.42</v>
      </c>
      <c r="E2" s="29" t="n">
        <v>0.5</v>
      </c>
      <c r="F2" s="56" t="n">
        <v>6.05</v>
      </c>
      <c r="G2" s="29" t="n">
        <v>6.25</v>
      </c>
      <c r="H2" s="29" t="n">
        <v>10.9</v>
      </c>
      <c r="I2" s="29" t="n">
        <v>7.75</v>
      </c>
      <c r="J2" s="29" t="n">
        <v>10.9</v>
      </c>
      <c r="K2" s="29" t="n">
        <v>0.37</v>
      </c>
      <c r="L2" s="29" t="n">
        <v>0.405</v>
      </c>
      <c r="M2" s="29" t="n">
        <v>0.705</v>
      </c>
      <c r="N2" s="29" t="n">
        <v>0.57</v>
      </c>
      <c r="O2" s="30" t="n">
        <v>0.57</v>
      </c>
    </row>
    <row r="3" ht="12.75" customHeight="1" s="27">
      <c r="A3" s="55" t="inlineStr">
        <is>
          <t>long term</t>
        </is>
      </c>
      <c r="B3" s="29" t="n">
        <v>6.8</v>
      </c>
      <c r="C3" s="29" t="n">
        <v>4.95</v>
      </c>
      <c r="D3" s="29" t="n">
        <v>0.39</v>
      </c>
      <c r="E3" s="29" t="n">
        <v>0.375</v>
      </c>
      <c r="F3" s="56" t="n">
        <v>7.65</v>
      </c>
      <c r="G3" s="29" t="n">
        <v>6.95</v>
      </c>
      <c r="H3" s="29" t="n">
        <v>10.65</v>
      </c>
      <c r="I3" s="29" t="n">
        <v>9.029999999999999</v>
      </c>
      <c r="J3" s="29" t="n">
        <v>10.77</v>
      </c>
      <c r="K3" s="29" t="n">
        <v>0.19</v>
      </c>
      <c r="L3" s="29" t="n">
        <v>0.395</v>
      </c>
      <c r="M3" s="29" t="n">
        <v>0.54</v>
      </c>
      <c r="N3" s="29" t="n">
        <v>0.54</v>
      </c>
      <c r="O3" s="30" t="n">
        <v>0.54</v>
      </c>
    </row>
    <row r="4" ht="12.75" customHeight="1" s="27">
      <c r="A4" s="55" t="inlineStr">
        <is>
          <t>ratevol</t>
        </is>
      </c>
      <c r="B4" s="29" t="n">
        <v>0</v>
      </c>
      <c r="C4" s="29" t="n">
        <v>0</v>
      </c>
      <c r="D4" s="29" t="n">
        <v>0</v>
      </c>
      <c r="E4" s="29" t="n">
        <v>0</v>
      </c>
      <c r="F4" s="56" t="n">
        <v>0</v>
      </c>
      <c r="G4" s="29" t="n">
        <v>0</v>
      </c>
      <c r="H4" s="29" t="n">
        <v>0</v>
      </c>
      <c r="I4" s="29" t="n">
        <v>0</v>
      </c>
      <c r="J4" s="29" t="n">
        <v>0</v>
      </c>
      <c r="K4" s="29" t="n">
        <v>0</v>
      </c>
      <c r="L4" s="29" t="n">
        <v>0</v>
      </c>
      <c r="M4" s="29" t="n">
        <v>0</v>
      </c>
      <c r="N4" s="29" t="n">
        <v>0</v>
      </c>
      <c r="O4" s="30" t="n">
        <v>0</v>
      </c>
    </row>
    <row r="5" ht="12.75" customHeight="1" s="27">
      <c r="A5" s="55" t="inlineStr">
        <is>
          <t>addon</t>
        </is>
      </c>
      <c r="B5" s="29" t="n">
        <v>0</v>
      </c>
      <c r="C5" s="29" t="n">
        <v>-0.25</v>
      </c>
      <c r="D5" s="29" t="n">
        <v>0</v>
      </c>
      <c r="E5" s="29" t="n">
        <v>0.6</v>
      </c>
      <c r="F5" s="56" t="n">
        <v>0.7</v>
      </c>
      <c r="G5" s="29" t="n">
        <v>0.6</v>
      </c>
      <c r="H5" s="29" t="n">
        <v>1.1</v>
      </c>
      <c r="I5" s="29" t="n">
        <v>0.8</v>
      </c>
      <c r="J5" s="29" t="n">
        <v>1.2</v>
      </c>
      <c r="K5" s="29" t="n">
        <v>1.5</v>
      </c>
      <c r="L5" s="29" t="n">
        <v>-0.2</v>
      </c>
      <c r="M5" s="29" t="n">
        <v>0</v>
      </c>
      <c r="N5" s="29" t="n">
        <v>0</v>
      </c>
      <c r="O5" s="30" t="n">
        <v>0</v>
      </c>
    </row>
    <row r="6" ht="12.75" customHeight="1" s="27">
      <c r="A6" s="55" t="inlineStr">
        <is>
          <t>MR</t>
        </is>
      </c>
      <c r="B6" s="29" t="n">
        <v>4.5</v>
      </c>
      <c r="C6" s="29" t="n">
        <v>3.5</v>
      </c>
      <c r="D6" s="29" t="n">
        <v>3</v>
      </c>
      <c r="E6" s="29" t="n">
        <v>3</v>
      </c>
      <c r="F6" s="56" t="n">
        <v>5</v>
      </c>
      <c r="G6" s="29" t="n">
        <v>6</v>
      </c>
      <c r="H6" s="29" t="n">
        <v>6.5</v>
      </c>
      <c r="I6" s="29" t="n">
        <v>6</v>
      </c>
      <c r="J6" s="29" t="n">
        <v>6.5</v>
      </c>
      <c r="K6" s="29" t="n">
        <v>5.5</v>
      </c>
      <c r="L6" s="29" t="n">
        <v>5</v>
      </c>
      <c r="M6" s="29" t="n">
        <v>4</v>
      </c>
      <c r="N6" s="29" t="n">
        <v>4</v>
      </c>
      <c r="O6" s="30" t="n">
        <v>4</v>
      </c>
    </row>
    <row r="7" ht="12.75" customHeight="1" s="27">
      <c r="A7" s="55" t="inlineStr">
        <is>
          <t>rate corr</t>
        </is>
      </c>
      <c r="B7" s="29" t="n">
        <v>0</v>
      </c>
      <c r="C7" s="29" t="n">
        <v>0</v>
      </c>
      <c r="D7" s="29" t="n">
        <v>0</v>
      </c>
      <c r="E7" s="29" t="n">
        <v>0</v>
      </c>
      <c r="F7" s="56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30" t="n">
        <v>0</v>
      </c>
    </row>
    <row r="8" ht="12.75" customHeight="1" s="27">
      <c r="A8" s="55" t="inlineStr">
        <is>
          <t>short decay</t>
        </is>
      </c>
      <c r="B8" s="29" t="n">
        <v>50</v>
      </c>
      <c r="C8" s="29" t="n">
        <v>50</v>
      </c>
      <c r="D8" s="29" t="n">
        <v>50</v>
      </c>
      <c r="E8" s="29" t="n">
        <v>50</v>
      </c>
      <c r="F8" s="56" t="n">
        <v>50</v>
      </c>
      <c r="G8" s="29" t="n">
        <v>50</v>
      </c>
      <c r="H8" s="29" t="n">
        <v>50</v>
      </c>
      <c r="I8" s="29" t="n">
        <v>50</v>
      </c>
      <c r="J8" s="29" t="n">
        <v>50</v>
      </c>
      <c r="K8" s="29" t="n">
        <v>50</v>
      </c>
      <c r="L8" s="29" t="n">
        <v>50</v>
      </c>
      <c r="M8" s="29" t="n">
        <v>50</v>
      </c>
      <c r="N8" s="29" t="n">
        <v>50</v>
      </c>
      <c r="O8" s="30" t="n">
        <v>50</v>
      </c>
    </row>
    <row r="9" ht="12.75" customFormat="1" customHeight="1" s="29">
      <c r="A9" s="55" t="inlineStr">
        <is>
          <t>02/02/2024 00:00</t>
        </is>
      </c>
      <c r="B9" s="29" t="n">
        <v>2</v>
      </c>
      <c r="C9" s="29" t="n">
        <v>0</v>
      </c>
      <c r="D9" s="29" t="n">
        <v>0</v>
      </c>
      <c r="E9" s="29" t="n">
        <v>0</v>
      </c>
      <c r="F9" s="29" t="n">
        <v>5.5</v>
      </c>
      <c r="G9" s="29" t="n">
        <v>5.5</v>
      </c>
      <c r="H9" s="29" t="n">
        <v>6.5</v>
      </c>
      <c r="I9" s="29" t="n">
        <v>6</v>
      </c>
      <c r="J9" s="29" t="n">
        <v>6.5</v>
      </c>
      <c r="K9" s="29" t="n">
        <v>0</v>
      </c>
      <c r="L9" s="29" t="n">
        <v>0</v>
      </c>
      <c r="M9" s="29" t="n">
        <v>0</v>
      </c>
      <c r="N9" s="29" t="n">
        <v>0</v>
      </c>
      <c r="O9" s="30" t="n">
        <v>0</v>
      </c>
    </row>
    <row r="10" ht="12.75" customFormat="1" customHeight="1" s="29">
      <c r="A10" s="55" t="inlineStr">
        <is>
          <t>02/02/2024 10:00</t>
        </is>
      </c>
      <c r="B10" s="29" t="n">
        <v>5</v>
      </c>
      <c r="C10" s="29" t="n">
        <v>0</v>
      </c>
      <c r="D10" s="29" t="n">
        <v>0</v>
      </c>
      <c r="E10" s="29" t="n">
        <v>0</v>
      </c>
      <c r="F10" s="29" t="n">
        <v>5.5</v>
      </c>
      <c r="G10" s="29" t="n">
        <v>5.5</v>
      </c>
      <c r="H10" s="29" t="n">
        <v>6.5</v>
      </c>
      <c r="I10" s="29" t="n">
        <v>6</v>
      </c>
      <c r="J10" s="29" t="n">
        <v>6.5</v>
      </c>
      <c r="K10" s="29" t="n">
        <v>0</v>
      </c>
      <c r="L10" s="29" t="n">
        <v>0</v>
      </c>
      <c r="M10" s="29" t="n">
        <v>0</v>
      </c>
      <c r="N10" s="29" t="n">
        <v>0</v>
      </c>
      <c r="O10" s="30" t="n">
        <v>0</v>
      </c>
    </row>
    <row r="11"/>
    <row r="12"/>
    <row r="13" ht="12.75" customHeight="1" s="27">
      <c r="E13" s="49" t="n"/>
    </row>
    <row r="14"/>
    <row r="15"/>
    <row r="16" ht="15" customHeight="1" s="27">
      <c r="S16" s="57" t="n"/>
    </row>
    <row r="17" ht="12.75" customHeight="1" s="27">
      <c r="P17" s="49" t="n"/>
    </row>
    <row r="18" ht="12.75" customHeight="1" s="27">
      <c r="P18" s="49" t="n"/>
    </row>
    <row r="19" ht="12.75" customHeight="1" s="27">
      <c r="P19" s="49" t="n"/>
    </row>
    <row r="20" ht="12.75" customHeight="1" s="27">
      <c r="E20" s="49" t="n"/>
    </row>
    <row r="21" ht="12.75" customHeight="1" s="27">
      <c r="E21" s="49" t="n"/>
    </row>
    <row r="22" ht="12.75" customHeight="1" s="27">
      <c r="E22" s="49" t="n"/>
    </row>
    <row r="23" ht="12.75" customHeight="1" s="27">
      <c r="E23" s="49" t="n"/>
      <c r="I23" s="49" t="n"/>
    </row>
    <row r="24"/>
    <row r="25" ht="12.75" customHeight="1" s="27">
      <c r="M25" s="49" t="n"/>
    </row>
    <row r="26" ht="12.75" customHeight="1" s="27">
      <c r="M26" s="49" t="n"/>
    </row>
    <row r="1048576" ht="12.8" customHeight="1" s="2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1"/>
  </sheetPr>
  <dimension ref="A1:P40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40" activeCellId="0" sqref="A40"/>
    </sheetView>
  </sheetViews>
  <sheetFormatPr baseColWidth="8" defaultColWidth="8.82421875" defaultRowHeight="12.75" zeroHeight="0" outlineLevelRow="0"/>
  <cols>
    <col width="15.15" customWidth="1" style="58" min="1" max="1"/>
    <col width="11.3" customWidth="1" style="49" min="2" max="2"/>
    <col width="12.86" customWidth="1" style="49" min="3" max="3"/>
    <col width="11.57" customWidth="1" style="29" min="6" max="6"/>
    <col width="12.86" customWidth="1" style="29" min="13" max="13"/>
  </cols>
  <sheetData>
    <row r="1" ht="12.75" customHeight="1" s="27">
      <c r="A1" s="58" t="inlineStr">
        <is>
          <t>date</t>
        </is>
      </c>
      <c r="B1" s="49" t="inlineStr">
        <is>
          <t>daily</t>
        </is>
      </c>
      <c r="C1" s="49" t="inlineStr">
        <is>
          <t>total</t>
        </is>
      </c>
    </row>
    <row r="2" ht="12.75" customHeight="1" s="27">
      <c r="A2" s="58" t="n">
        <v>44209</v>
      </c>
      <c r="B2" s="49" t="n">
        <v>0</v>
      </c>
      <c r="C2" s="49" t="n">
        <v>1500000</v>
      </c>
    </row>
    <row r="3" ht="12.75" customHeight="1" s="27">
      <c r="A3" s="58" t="n">
        <v>44210</v>
      </c>
      <c r="B3" s="49" t="n">
        <v>1788</v>
      </c>
      <c r="C3" s="49">
        <f>C2+B3</f>
        <v>1501788.0</v>
      </c>
    </row>
    <row r="4" ht="12.75" customHeight="1" s="27">
      <c r="A4" s="58" t="n">
        <v>44211</v>
      </c>
      <c r="B4" s="49" t="n">
        <v>88251</v>
      </c>
      <c r="C4" s="49">
        <f>C3+B4</f>
        <v>1590039.0</v>
      </c>
    </row>
    <row r="5" ht="12.75" customHeight="1" s="27">
      <c r="A5" s="58" t="n">
        <v>44214</v>
      </c>
      <c r="B5" s="49">
        <f>332875</f>
        <v>332875.0</v>
      </c>
      <c r="C5" s="49">
        <f>C4+B5</f>
        <v>1922914.0</v>
      </c>
      <c r="E5" s="29" t="n"/>
    </row>
    <row r="6" ht="12.75" customHeight="1" s="27">
      <c r="A6" s="58" t="n">
        <v>44215</v>
      </c>
      <c r="B6" s="49" t="n">
        <v>5327</v>
      </c>
      <c r="C6" s="49">
        <f>C5+B6</f>
        <v>1928241.0</v>
      </c>
      <c r="E6" s="29" t="n"/>
      <c r="N6" s="49" t="n"/>
    </row>
    <row r="7" ht="12.75" customHeight="1" s="27">
      <c r="A7" s="58" t="n">
        <v>44216</v>
      </c>
      <c r="B7" s="49" t="n">
        <v>289118</v>
      </c>
      <c r="C7" s="49">
        <f>C6+B7</f>
        <v>2217359.0</v>
      </c>
      <c r="N7" s="49" t="n"/>
    </row>
    <row r="8" ht="12.75" customHeight="1" s="27">
      <c r="A8" s="58" t="n">
        <v>44217</v>
      </c>
      <c r="B8" s="49" t="n">
        <v>240028</v>
      </c>
      <c r="C8" s="49">
        <f>C7+B8</f>
        <v>2457387.0</v>
      </c>
      <c r="N8" s="49" t="n"/>
    </row>
    <row r="9" ht="12.75" customHeight="1" s="27">
      <c r="A9" s="58" t="n">
        <v>44218</v>
      </c>
      <c r="B9" s="49" t="n">
        <v>684479</v>
      </c>
      <c r="C9" s="49">
        <f>C8+B9</f>
        <v>3141866.0</v>
      </c>
    </row>
    <row r="10" ht="12.75" customHeight="1" s="27">
      <c r="A10" s="58" t="n">
        <v>44221</v>
      </c>
      <c r="B10" s="49" t="n">
        <v>60818</v>
      </c>
      <c r="C10" s="49">
        <f>C9+B10</f>
        <v>3202684.0</v>
      </c>
    </row>
    <row r="11" ht="12.75" customHeight="1" s="27">
      <c r="A11" s="58" t="n">
        <v>44222</v>
      </c>
      <c r="B11" s="49" t="n">
        <v>27441</v>
      </c>
      <c r="C11" s="49">
        <f>C10+B11</f>
        <v>3230125.0</v>
      </c>
    </row>
    <row r="12" ht="12.75" customHeight="1" s="27">
      <c r="A12" s="58" t="n">
        <v>44223</v>
      </c>
      <c r="B12" s="49" t="n">
        <v>2993</v>
      </c>
      <c r="C12" s="49">
        <f>C11+B12</f>
        <v>3233118.0</v>
      </c>
    </row>
    <row r="13" ht="12.75" customHeight="1" s="27">
      <c r="A13" s="58" t="n">
        <v>44224</v>
      </c>
      <c r="B13" s="49" t="n">
        <v>27335</v>
      </c>
      <c r="C13" s="49">
        <f>C12+B13</f>
        <v>3260453.0</v>
      </c>
      <c r="N13" s="49" t="n"/>
    </row>
    <row r="14" ht="12.75" customHeight="1" s="27">
      <c r="A14" s="58" t="n">
        <v>44225</v>
      </c>
      <c r="B14" s="49" t="n">
        <v>393956</v>
      </c>
      <c r="C14" s="49">
        <f>C13+B14</f>
        <v>3654409.0</v>
      </c>
      <c r="M14" s="49" t="n"/>
    </row>
    <row r="15" ht="12.75" customHeight="1" s="27">
      <c r="A15" s="58" t="n">
        <v>44228</v>
      </c>
      <c r="B15" s="49" t="n">
        <v>14926</v>
      </c>
      <c r="C15" s="49">
        <f>C14+B15</f>
        <v>3669335.0</v>
      </c>
    </row>
    <row r="16" ht="12.75" customHeight="1" s="27">
      <c r="A16" s="58" t="n">
        <v>44229</v>
      </c>
      <c r="B16" s="49" t="n">
        <v>10778</v>
      </c>
      <c r="C16" s="49">
        <f>C15+B16</f>
        <v>3680113.0</v>
      </c>
    </row>
    <row r="17" ht="12.75" customHeight="1" s="27">
      <c r="A17" s="58" t="n">
        <v>44230</v>
      </c>
      <c r="B17" s="49" t="n">
        <v>1277</v>
      </c>
      <c r="C17" s="49">
        <f>C16+B17</f>
        <v>3681390.0</v>
      </c>
      <c r="P17" s="49" t="n"/>
    </row>
    <row r="18" ht="12.75" customHeight="1" s="27">
      <c r="A18" s="58" t="n">
        <v>44231</v>
      </c>
      <c r="B18" s="49" t="n">
        <v>799207</v>
      </c>
      <c r="C18" s="49">
        <f>C17+B18</f>
        <v>4480597.0</v>
      </c>
      <c r="P18" s="49" t="n"/>
    </row>
    <row r="19" ht="12.75" customHeight="1" s="27">
      <c r="A19" s="58" t="n">
        <v>44232</v>
      </c>
      <c r="B19" s="49" t="n">
        <v>294861</v>
      </c>
      <c r="C19" s="49">
        <f>C18+B19</f>
        <v>4775458.0</v>
      </c>
      <c r="P19" s="49" t="n"/>
    </row>
    <row r="20" ht="12.75" customHeight="1" s="27">
      <c r="A20" s="58" t="n">
        <v>44235</v>
      </c>
      <c r="B20" s="49" t="n">
        <v>73054</v>
      </c>
      <c r="C20" s="49">
        <f>C19+B20</f>
        <v>4848512.0</v>
      </c>
      <c r="N20" s="49" t="n"/>
    </row>
    <row r="21" ht="12.75" customHeight="1" s="27">
      <c r="A21" s="58" t="n">
        <v>44236</v>
      </c>
      <c r="B21" s="49" t="n">
        <v>395464</v>
      </c>
      <c r="C21" s="49">
        <f>C20+B21</f>
        <v>5243976.0</v>
      </c>
      <c r="N21" s="49" t="n"/>
    </row>
    <row r="22" ht="12.75" customHeight="1" s="27">
      <c r="A22" s="58" t="n">
        <v>44237</v>
      </c>
      <c r="B22" s="49" t="n">
        <v>1023759</v>
      </c>
      <c r="C22" s="49">
        <f>C21+B22</f>
        <v>6267735.0</v>
      </c>
      <c r="N22" s="49" t="n"/>
    </row>
    <row r="23" ht="12.75" customHeight="1" s="27">
      <c r="A23" s="58" t="n">
        <v>44238</v>
      </c>
      <c r="B23" s="49" t="n">
        <v>887</v>
      </c>
      <c r="C23" s="49">
        <f>C22+B23</f>
        <v>6268622.0</v>
      </c>
      <c r="J23" s="49" t="n"/>
      <c r="N23" s="49" t="n"/>
    </row>
    <row r="24" ht="12.75" customHeight="1" s="27">
      <c r="A24" s="58" t="n">
        <v>44245</v>
      </c>
      <c r="B24" s="49" t="n">
        <v>135508</v>
      </c>
      <c r="C24" s="49">
        <f>C23+B24</f>
        <v>6404130.0</v>
      </c>
    </row>
    <row r="25" ht="12.75" customHeight="1" s="27">
      <c r="A25" s="58" t="n">
        <v>44246</v>
      </c>
      <c r="B25" s="49" t="n">
        <v>547551</v>
      </c>
      <c r="C25" s="49">
        <f>C24+B25</f>
        <v>6951681.0</v>
      </c>
      <c r="L25" s="49" t="n"/>
    </row>
    <row r="26" ht="12.75" customHeight="1" s="27">
      <c r="A26" s="58" t="n">
        <v>44247</v>
      </c>
      <c r="B26" s="49" t="n">
        <v>142388</v>
      </c>
      <c r="C26" s="49">
        <f>C25+B26</f>
        <v>7094069.0</v>
      </c>
      <c r="L26" s="49" t="n"/>
    </row>
    <row r="27" ht="12.75" customHeight="1" s="27">
      <c r="A27" s="58" t="n">
        <v>44250</v>
      </c>
      <c r="B27" s="49" t="n">
        <v>7800</v>
      </c>
      <c r="C27" s="49">
        <f>C26+B27</f>
        <v>7101869.0</v>
      </c>
    </row>
    <row r="28" ht="12.75" customHeight="1" s="27">
      <c r="A28" s="58" t="n">
        <v>44251</v>
      </c>
      <c r="B28" s="49" t="n">
        <v>15182</v>
      </c>
      <c r="C28" s="49">
        <f>C27+B28</f>
        <v>7117051.0</v>
      </c>
    </row>
    <row r="29" ht="12.75" customHeight="1" s="27">
      <c r="A29" s="58" t="n">
        <v>44252</v>
      </c>
      <c r="B29" s="49" t="n">
        <v>72930</v>
      </c>
      <c r="C29" s="49">
        <f>C28+B29</f>
        <v>7189981.0</v>
      </c>
    </row>
    <row r="30" ht="12.75" customHeight="1" s="27">
      <c r="A30" s="58" t="n">
        <v>44253</v>
      </c>
      <c r="B30" s="49" t="n">
        <v>355319</v>
      </c>
      <c r="C30" s="49">
        <f>C29+B30</f>
        <v>7545300.0</v>
      </c>
    </row>
    <row r="31" ht="12.75" customHeight="1" s="27">
      <c r="A31" s="58" t="n">
        <v>44256</v>
      </c>
      <c r="B31" s="49" t="n">
        <v>53944</v>
      </c>
      <c r="C31" s="49">
        <f>C30+B31</f>
        <v>7599244.0</v>
      </c>
    </row>
    <row r="32" ht="12.75" customHeight="1" s="27">
      <c r="A32" s="58" t="n">
        <v>44257</v>
      </c>
      <c r="B32" s="49" t="n">
        <v>82223</v>
      </c>
      <c r="C32" s="49">
        <f>C31+B32</f>
        <v>7681467.0</v>
      </c>
    </row>
    <row r="33" ht="12.75" customHeight="1" s="27">
      <c r="A33" s="58" t="n">
        <v>44258</v>
      </c>
      <c r="B33" s="49" t="n">
        <v>223373</v>
      </c>
      <c r="C33" s="49">
        <f>C32+B33</f>
        <v>7904840.0</v>
      </c>
    </row>
    <row r="34" ht="12.75" customHeight="1" s="27">
      <c r="A34" s="58" t="n">
        <v>44259</v>
      </c>
      <c r="B34" s="49" t="n">
        <v>29125</v>
      </c>
      <c r="C34" s="49">
        <f>C33+B34</f>
        <v>7933965.0</v>
      </c>
    </row>
    <row r="35" ht="12.75" customHeight="1" s="27">
      <c r="A35" s="58" t="n">
        <v>44260</v>
      </c>
      <c r="B35" s="49" t="n">
        <v>143283</v>
      </c>
      <c r="C35" s="49">
        <f>C34+B35</f>
        <v>8077248.0</v>
      </c>
    </row>
    <row r="36" ht="12.75" customHeight="1" s="27">
      <c r="A36" s="58" t="n">
        <v>44263</v>
      </c>
      <c r="B36" s="49" t="n">
        <v>207645</v>
      </c>
      <c r="C36" s="49">
        <f>C35+B36</f>
        <v>8284893.0</v>
      </c>
    </row>
    <row r="37" ht="12.75" customHeight="1" s="27">
      <c r="A37" s="58" t="n">
        <v>44264</v>
      </c>
      <c r="B37" s="49" t="n">
        <v>217531</v>
      </c>
      <c r="C37" s="49">
        <f>C36+B37</f>
        <v>8502424.0</v>
      </c>
    </row>
    <row r="38" ht="12.75" customHeight="1" s="27">
      <c r="A38" s="58" t="n">
        <v>44265</v>
      </c>
      <c r="B38" s="49" t="n">
        <v>21201</v>
      </c>
      <c r="C38" s="49">
        <f>C37+B38</f>
        <v>8523625.0</v>
      </c>
    </row>
    <row r="39" ht="12.75" customHeight="1" s="27">
      <c r="A39" s="58" t="n">
        <v>44266</v>
      </c>
      <c r="B39" s="49" t="n">
        <v>3231</v>
      </c>
      <c r="C39" s="49">
        <f>C38+B39</f>
        <v>8526856.0</v>
      </c>
    </row>
    <row r="40" ht="12.75" customHeight="1" s="27">
      <c r="A40" s="58" t="n">
        <v>44267</v>
      </c>
      <c r="B40" s="49" t="n">
        <v>127599</v>
      </c>
      <c r="C40" s="49">
        <f>C39+B40</f>
        <v>8654455.0</v>
      </c>
    </row>
  </sheetData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G24" activeCellId="0" sqref="G24"/>
    </sheetView>
  </sheetViews>
  <sheetFormatPr baseColWidth="8" defaultColWidth="8.82421875" defaultRowHeight="12.75" zeroHeight="0" outlineLevelRow="0"/>
  <cols>
    <col width="9.85" customWidth="1" style="29" min="2" max="2"/>
  </cols>
  <sheetData>
    <row r="1" ht="14.25" customHeight="1" s="27">
      <c r="A1" s="59" t="n"/>
      <c r="B1" s="59" t="inlineStr">
        <is>
          <t>USDCNH</t>
        </is>
      </c>
    </row>
    <row r="2" ht="14.25" customHeight="1" s="27">
      <c r="A2" s="59" t="inlineStr">
        <is>
          <t>1w</t>
        </is>
      </c>
      <c r="B2" s="59" t="n">
        <v>2.6</v>
      </c>
    </row>
    <row r="3" ht="14.25" customHeight="1" s="27">
      <c r="A3" s="59" t="inlineStr">
        <is>
          <t>2w</t>
        </is>
      </c>
      <c r="B3" s="59" t="n">
        <v>2.3</v>
      </c>
    </row>
    <row r="4" ht="14.25" customHeight="1" s="27">
      <c r="A4" s="59" t="inlineStr">
        <is>
          <t>1m</t>
        </is>
      </c>
      <c r="B4" s="59" t="n">
        <v>1.85</v>
      </c>
    </row>
    <row r="5" ht="14.25" customHeight="1" s="27">
      <c r="A5" s="59" t="inlineStr">
        <is>
          <t>2m</t>
        </is>
      </c>
      <c r="B5" s="59" t="n">
        <v>1.6</v>
      </c>
    </row>
    <row r="6" ht="14.25" customHeight="1" s="27">
      <c r="A6" s="59" t="inlineStr">
        <is>
          <t>3m</t>
        </is>
      </c>
      <c r="B6" s="59" t="n">
        <v>1.45</v>
      </c>
    </row>
    <row r="7" ht="14.25" customHeight="1" s="27">
      <c r="A7" s="59" t="inlineStr">
        <is>
          <t>6m</t>
        </is>
      </c>
      <c r="B7" s="59" t="n">
        <v>1.2</v>
      </c>
    </row>
    <row r="8" ht="14.25" customHeight="1" s="27">
      <c r="A8" s="59" t="inlineStr">
        <is>
          <t>9m</t>
        </is>
      </c>
      <c r="B8" s="59" t="n">
        <v>1.1</v>
      </c>
    </row>
    <row r="9" ht="14.25" customHeight="1" s="27">
      <c r="A9" s="59" t="inlineStr">
        <is>
          <t>1y</t>
        </is>
      </c>
      <c r="B9" s="59" t="n">
        <v>1</v>
      </c>
    </row>
    <row r="10" ht="14.25" customHeight="1" s="27">
      <c r="A10" s="59" t="inlineStr">
        <is>
          <t>2y</t>
        </is>
      </c>
      <c r="B10" s="59" t="n">
        <v>0.9</v>
      </c>
    </row>
    <row r="11" ht="14.25" customHeight="1" s="27">
      <c r="A11" s="59" t="inlineStr">
        <is>
          <t>3y</t>
        </is>
      </c>
      <c r="B11" s="59" t="n">
        <v>0.85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2021-01-25T13:32:54Z</dcterms:created>
  <dcterms:modified xsi:type="dcterms:W3CDTF">2026-08-30T04:30:44Z</dcterms:modified>
  <cp:revision>221</cp:revision>
  <cp:lastPrinted>2020-10-26T03:48:28Z</cp:lastPrinted>
</cp:coreProperties>
</file>