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revisions/revisionLog255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_rels/revisionHeaders.xml.rels" ContentType="application/vnd.openxmlformats-package.relationships+xml"/>
  <Override PartName="/xl/revisions/revisionLog291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userNames.xml" ContentType="application/vnd.openxmlformats-officedocument.spreadsheetml.userNames+xml"/>
  <Override PartName="/xl/revisions/revisionLog46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169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55.xml" ContentType="application/vnd.openxmlformats-officedocument.spreadsheetml.revisionLog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INDIC_CONFIG" sheetId="1" state="visible" r:id="rId2"/>
    <sheet name="CONFIG" sheetId="2" state="visible" r:id="rId3"/>
    <sheet name="NZDUSD" sheetId="3" state="visible" r:id="rId4"/>
    <sheet name="GBPUSD" sheetId="4" state="visible" r:id="rId5"/>
    <sheet name="GBPNZD" sheetId="5" state="visible" r:id="rId6"/>
    <sheet name="EURGBP" sheetId="6" state="visible" r:id="rId7"/>
    <sheet name="GBPCNH" sheetId="7" state="visible" r:id="rId8"/>
    <sheet name="AUDCNH" sheetId="8" state="visible" r:id="rId9"/>
    <sheet name="NZDCNH" sheetId="9" state="visible" r:id="rId10"/>
    <sheet name="CNHHKD" sheetId="10" state="visible" r:id="rId11"/>
    <sheet name="EURCNH" sheetId="11" state="visible" r:id="rId12"/>
    <sheet name="AUDJPY" sheetId="12" state="visible" r:id="rId13"/>
    <sheet name="EURJPY" sheetId="13" state="visible" r:id="rId14"/>
    <sheet name="EURUSD" sheetId="14" state="visible" r:id="rId15"/>
    <sheet name="AUDUSD" sheetId="15" state="visible" r:id="rId16"/>
    <sheet name="USDJPY" sheetId="16" state="visible" r:id="rId17"/>
    <sheet name="USDCNH" sheetId="17" state="visible" r:id="rId18"/>
    <sheet name="USDCNY" sheetId="18" state="visible" r:id="rId19"/>
    <sheet name="PARAMS" sheetId="19" state="visible" r:id="rId20"/>
    <sheet name="Sales Margin" sheetId="20" state="visible" r:id="rId21"/>
    <sheet name="Vega Weights" sheetId="21" state="visible" r:id="rId22"/>
  </sheets>
  <definedNames>
    <definedName function="false" hidden="false" localSheetId="19" name="Z_64F0AAC0_1236_4FB2_9E8A_12AD3842C0BD_.wvu.FilterData" vbProcedure="false">'Sales Margin'!$A$1:$R$182</definedName>
    <definedName function="false" hidden="false" localSheetId="19" name="Z_81AAB545_7656_4D3C_8F22_762E98CA81B2_.wvu.FilterData" vbProcedure="false">'Sales Margin'!$A$1:$R$182</definedName>
    <definedName function="false" hidden="false" localSheetId="19" name="Z_8C944F8C_AC8F_4B48_8B68_3AD45640FBA6_.wvu.FilterData" vbProcedure="false">'Sales Margin'!$A$1:$R$182</definedName>
    <definedName function="false" hidden="false" localSheetId="19" name="Z_AB88714F_A79A_40C3_8F7E_7C98A490C99F_.wvu.FilterData" vbProcedure="false">'Sales Margin'!$A$1:$R$182</definedName>
    <definedName function="false" hidden="false" localSheetId="19" name="Z_ABFC3E4C_399F_4010_AE44_A9AAF44B0325_.wvu.FilterData" vbProcedure="false">'Sales Margin'!$A$1:$R$182</definedName>
    <definedName function="false" hidden="false" localSheetId="19" name="Z_AF799A72_7346_4011_907D_DA80820251FF_.wvu.FilterData" vbProcedure="false">'Sales Margin'!$A$1:$R$182</definedName>
    <definedName function="false" hidden="false" localSheetId="19" name="Z_F127F633_57F9_4222_A583_BDC3B762EFE8_.wvu.FilterData" vbProcedure="false">'Sales Margin'!$A$1:$R$182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<sst xmlns="http://schemas.openxmlformats.org/spreadsheetml/2006/main" count="272" uniqueCount="55">
  <si>
    <t xml:space="preserve">indication.xlsx</t>
  </si>
  <si>
    <t xml:space="preserve">BASE</t>
  </si>
  <si>
    <t xml:space="preserve">COR</t>
  </si>
  <si>
    <t xml:space="preserve">AUDJPY</t>
  </si>
  <si>
    <t xml:space="preserve">EURJPY</t>
  </si>
  <si>
    <t xml:space="preserve">EURCNH</t>
  </si>
  <si>
    <t xml:space="preserve">GBPNZD</t>
  </si>
  <si>
    <t xml:space="preserve">EURGBP</t>
  </si>
  <si>
    <t xml:space="preserve">GBPCNH</t>
  </si>
  <si>
    <t xml:space="preserve">TENORS</t>
  </si>
  <si>
    <t xml:space="preserve">USDCNH</t>
  </si>
  <si>
    <t xml:space="preserve">AUDUSD</t>
  </si>
  <si>
    <t xml:space="preserve">EURUSD</t>
  </si>
  <si>
    <t xml:space="preserve">GBPUSD</t>
  </si>
  <si>
    <t xml:space="preserve">1w</t>
  </si>
  <si>
    <t xml:space="preserve">USDCNY</t>
  </si>
  <si>
    <t xml:space="preserve">USDJPY</t>
  </si>
  <si>
    <t xml:space="preserve">NZDUSD</t>
  </si>
  <si>
    <t xml:space="preserve">2w</t>
  </si>
  <si>
    <t xml:space="preserve">3w</t>
  </si>
  <si>
    <t xml:space="preserve">1m</t>
  </si>
  <si>
    <t xml:space="preserve">2m</t>
  </si>
  <si>
    <t xml:space="preserve">3m</t>
  </si>
  <si>
    <t xml:space="preserve">6m</t>
  </si>
  <si>
    <t xml:space="preserve">9m</t>
  </si>
  <si>
    <t xml:space="preserve">1y</t>
  </si>
  <si>
    <t xml:space="preserve">expiry</t>
  </si>
  <si>
    <t xml:space="preserve">ST 10D</t>
  </si>
  <si>
    <t xml:space="preserve">ST 25D</t>
  </si>
  <si>
    <t xml:space="preserve">RR 25D</t>
  </si>
  <si>
    <t xml:space="preserve">RR 10D</t>
  </si>
  <si>
    <t xml:space="preserve">1W</t>
  </si>
  <si>
    <t xml:space="preserve">2W</t>
  </si>
  <si>
    <t xml:space="preserve">3W</t>
  </si>
  <si>
    <t xml:space="preserve">1M</t>
  </si>
  <si>
    <t xml:space="preserve">2M</t>
  </si>
  <si>
    <t xml:space="preserve">3M</t>
  </si>
  <si>
    <t xml:space="preserve">6M</t>
  </si>
  <si>
    <t xml:space="preserve">9M</t>
  </si>
  <si>
    <t xml:space="preserve">1Y</t>
  </si>
  <si>
    <t xml:space="preserve">2Y</t>
  </si>
  <si>
    <t xml:space="preserve">initial</t>
  </si>
  <si>
    <t xml:space="preserve">long term</t>
  </si>
  <si>
    <t xml:space="preserve">ratevol</t>
  </si>
  <si>
    <t xml:space="preserve">addon</t>
  </si>
  <si>
    <t xml:space="preserve">MR</t>
  </si>
  <si>
    <t xml:space="preserve">rate corr</t>
  </si>
  <si>
    <t xml:space="preserve">short decay</t>
  </si>
  <si>
    <t xml:space="preserve">02/02/2024 00:00</t>
  </si>
  <si>
    <t xml:space="preserve">02/02/2024 10:00</t>
  </si>
  <si>
    <t xml:space="preserve">date</t>
  </si>
  <si>
    <t xml:space="preserve">daily</t>
  </si>
  <si>
    <t xml:space="preserve">total</t>
  </si>
  <si>
    <t xml:space="preserve">2y</t>
  </si>
  <si>
    <t xml:space="preserve">3y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</si>
</sst>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%"/>
    <numFmt numFmtId="166" formatCode="General"/>
    <numFmt numFmtId="167" formatCode="_(* #,##0.000_);_(* \(#,##0.000\);_(* \-??_);_(@_)"/>
    <numFmt numFmtId="168" formatCode="0.000"/>
    <numFmt numFmtId="169" formatCode="0.0000"/>
    <numFmt numFmtId="170" formatCode="_(* #,##0_);_(* \(#,##0\);_(* \-??_);_(@_)"/>
    <numFmt numFmtId="171" formatCode="_(* #,##0.00_);_(* \(#,##0.00\);_(* \-??_);_(@_)"/>
    <numFmt numFmtId="172" formatCode="_(* #,##0.0000_);_(* \(#,##0.0000\);_(* \-??_);_(@_)"/>
    <numFmt numFmtId="173" formatCode="_(* #,##0.00000_);_(* \(#,##0.00000\);_(* \-??_);_(@_)"/>
    <numFmt numFmtId="174" formatCode="0.000%"/>
    <numFmt numFmtId="175" formatCode="@"/>
    <numFmt numFmtId="176" formatCode="dd/mm/yy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9"/>
      <color rgb="FF6A8759"/>
      <name val="SimSun"/>
      <family val="0"/>
      <charset val="134"/>
    </font>
    <font>
      <sz val="11"/>
      <color rgb="FF1F497D"/>
      <name val="Calibri"/>
      <family val="2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rgb="FFD9D9D9"/>
        <bgColor rgb="FFD0CECE"/>
      </patternFill>
    </fill>
    <fill>
      <patternFill patternType="solid">
        <fgColor rgb="FFBFBFBF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6A87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ercent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8759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<Relationship Id="rId24" Type="http://schemas.openxmlformats.org/officeDocument/2006/relationships/usernames" Target="revisions/userNames.xml"/><Relationship Id="rId25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4" Type="http://schemas.openxmlformats.org/officeDocument/2006/relationships/revisionLog" Target="revisionLog14.xml"/><Relationship Id="rId15" Type="http://schemas.openxmlformats.org/officeDocument/2006/relationships/revisionLog" Target="revisionLog15.xml"/><Relationship Id="rId16" Type="http://schemas.openxmlformats.org/officeDocument/2006/relationships/revisionLog" Target="revisionLog16.xml"/><Relationship Id="rId17" Type="http://schemas.openxmlformats.org/officeDocument/2006/relationships/revisionLog" Target="revisionLog17.xml"/><Relationship Id="rId18" Type="http://schemas.openxmlformats.org/officeDocument/2006/relationships/revisionLog" Target="revisionLog18.xml"/><Relationship Id="rId19" Type="http://schemas.openxmlformats.org/officeDocument/2006/relationships/revisionLog" Target="revisionLog19.xml"/><Relationship Id="rId20" Type="http://schemas.openxmlformats.org/officeDocument/2006/relationships/revisionLog" Target="revisionLog20.xml"/><Relationship Id="rId21" Type="http://schemas.openxmlformats.org/officeDocument/2006/relationships/revisionLog" Target="revisionLog21.xml"/><Relationship Id="rId22" Type="http://schemas.openxmlformats.org/officeDocument/2006/relationships/revisionLog" Target="revisionLog22.xml"/><Relationship Id="rId23" Type="http://schemas.openxmlformats.org/officeDocument/2006/relationships/revisionLog" Target="revisionLog23.xml"/><Relationship Id="rId24" Type="http://schemas.openxmlformats.org/officeDocument/2006/relationships/revisionLog" Target="revisionLog24.xml"/><Relationship Id="rId25" Type="http://schemas.openxmlformats.org/officeDocument/2006/relationships/revisionLog" Target="revisionLog25.xml"/><Relationship Id="rId26" Type="http://schemas.openxmlformats.org/officeDocument/2006/relationships/revisionLog" Target="revisionLog26.xml"/><Relationship Id="rId27" Type="http://schemas.openxmlformats.org/officeDocument/2006/relationships/revisionLog" Target="revisionLog27.xml"/><Relationship Id="rId28" Type="http://schemas.openxmlformats.org/officeDocument/2006/relationships/revisionLog" Target="revisionLog28.xml"/><Relationship Id="rId29" Type="http://schemas.openxmlformats.org/officeDocument/2006/relationships/revisionLog" Target="revisionLog29.xml"/><Relationship Id="rId30" Type="http://schemas.openxmlformats.org/officeDocument/2006/relationships/revisionLog" Target="revisionLog30.xml"/><Relationship Id="rId31" Type="http://schemas.openxmlformats.org/officeDocument/2006/relationships/revisionLog" Target="revisionLog31.xml"/><Relationship Id="rId32" Type="http://schemas.openxmlformats.org/officeDocument/2006/relationships/revisionLog" Target="revisionLog32.xml"/><Relationship Id="rId33" Type="http://schemas.openxmlformats.org/officeDocument/2006/relationships/revisionLog" Target="revisionLog33.xml"/><Relationship Id="rId34" Type="http://schemas.openxmlformats.org/officeDocument/2006/relationships/revisionLog" Target="revisionLog34.xml"/><Relationship Id="rId35" Type="http://schemas.openxmlformats.org/officeDocument/2006/relationships/revisionLog" Target="revisionLog35.xml"/><Relationship Id="rId36" Type="http://schemas.openxmlformats.org/officeDocument/2006/relationships/revisionLog" Target="revisionLog36.xml"/><Relationship Id="rId37" Type="http://schemas.openxmlformats.org/officeDocument/2006/relationships/revisionLog" Target="revisionLog37.xml"/><Relationship Id="rId38" Type="http://schemas.openxmlformats.org/officeDocument/2006/relationships/revisionLog" Target="revisionLog38.xml"/><Relationship Id="rId39" Type="http://schemas.openxmlformats.org/officeDocument/2006/relationships/revisionLog" Target="revisionLog39.xml"/><Relationship Id="rId40" Type="http://schemas.openxmlformats.org/officeDocument/2006/relationships/revisionLog" Target="revisionLog40.xml"/><Relationship Id="rId41" Type="http://schemas.openxmlformats.org/officeDocument/2006/relationships/revisionLog" Target="revisionLog41.xml"/><Relationship Id="rId42" Type="http://schemas.openxmlformats.org/officeDocument/2006/relationships/revisionLog" Target="revisionLog42.xml"/><Relationship Id="rId43" Type="http://schemas.openxmlformats.org/officeDocument/2006/relationships/revisionLog" Target="revisionLog43.xml"/><Relationship Id="rId44" Type="http://schemas.openxmlformats.org/officeDocument/2006/relationships/revisionLog" Target="revisionLog44.xml"/><Relationship Id="rId45" Type="http://schemas.openxmlformats.org/officeDocument/2006/relationships/revisionLog" Target="revisionLog45.xml"/><Relationship Id="rId46" Type="http://schemas.openxmlformats.org/officeDocument/2006/relationships/revisionLog" Target="revisionLog46.xml"/><Relationship Id="rId47" Type="http://schemas.openxmlformats.org/officeDocument/2006/relationships/revisionLog" Target="revisionLog47.xml"/><Relationship Id="rId48" Type="http://schemas.openxmlformats.org/officeDocument/2006/relationships/revisionLog" Target="revisionLog48.xml"/><Relationship Id="rId49" Type="http://schemas.openxmlformats.org/officeDocument/2006/relationships/revisionLog" Target="revisionLog49.xml"/><Relationship Id="rId50" Type="http://schemas.openxmlformats.org/officeDocument/2006/relationships/revisionLog" Target="revisionLog50.xml"/><Relationship Id="rId51" Type="http://schemas.openxmlformats.org/officeDocument/2006/relationships/revisionLog" Target="revisionLog51.xml"/><Relationship Id="rId52" Type="http://schemas.openxmlformats.org/officeDocument/2006/relationships/revisionLog" Target="revisionLog52.xml"/><Relationship Id="rId53" Type="http://schemas.openxmlformats.org/officeDocument/2006/relationships/revisionLog" Target="revisionLog53.xml"/><Relationship Id="rId54" Type="http://schemas.openxmlformats.org/officeDocument/2006/relationships/revisionLog" Target="revisionLog54.xml"/><Relationship Id="rId55" Type="http://schemas.openxmlformats.org/officeDocument/2006/relationships/revisionLog" Target="revisionLog55.xml"/><Relationship Id="rId56" Type="http://schemas.openxmlformats.org/officeDocument/2006/relationships/revisionLog" Target="revisionLog56.xml"/><Relationship Id="rId57" Type="http://schemas.openxmlformats.org/officeDocument/2006/relationships/revisionLog" Target="revisionLog57.xml"/><Relationship Id="rId58" Type="http://schemas.openxmlformats.org/officeDocument/2006/relationships/revisionLog" Target="revisionLog58.xml"/><Relationship Id="rId59" Type="http://schemas.openxmlformats.org/officeDocument/2006/relationships/revisionLog" Target="revisionLog59.xml"/><Relationship Id="rId60" Type="http://schemas.openxmlformats.org/officeDocument/2006/relationships/revisionLog" Target="revisionLog60.xml"/><Relationship Id="rId61" Type="http://schemas.openxmlformats.org/officeDocument/2006/relationships/revisionLog" Target="revisionLog61.xml"/><Relationship Id="rId62" Type="http://schemas.openxmlformats.org/officeDocument/2006/relationships/revisionLog" Target="revisionLog62.xml"/><Relationship Id="rId63" Type="http://schemas.openxmlformats.org/officeDocument/2006/relationships/revisionLog" Target="revisionLog63.xml"/><Relationship Id="rId64" Type="http://schemas.openxmlformats.org/officeDocument/2006/relationships/revisionLog" Target="revisionLog64.xml"/><Relationship Id="rId65" Type="http://schemas.openxmlformats.org/officeDocument/2006/relationships/revisionLog" Target="revisionLog65.xml"/><Relationship Id="rId66" Type="http://schemas.openxmlformats.org/officeDocument/2006/relationships/revisionLog" Target="revisionLog66.xml"/><Relationship Id="rId67" Type="http://schemas.openxmlformats.org/officeDocument/2006/relationships/revisionLog" Target="revisionLog67.xml"/><Relationship Id="rId68" Type="http://schemas.openxmlformats.org/officeDocument/2006/relationships/revisionLog" Target="revisionLog68.xml"/><Relationship Id="rId69" Type="http://schemas.openxmlformats.org/officeDocument/2006/relationships/revisionLog" Target="revisionLog69.xml"/><Relationship Id="rId70" Type="http://schemas.openxmlformats.org/officeDocument/2006/relationships/revisionLog" Target="revisionLog70.xml"/><Relationship Id="rId71" Type="http://schemas.openxmlformats.org/officeDocument/2006/relationships/revisionLog" Target="revisionLog71.xml"/><Relationship Id="rId72" Type="http://schemas.openxmlformats.org/officeDocument/2006/relationships/revisionLog" Target="revisionLog72.xml"/><Relationship Id="rId73" Type="http://schemas.openxmlformats.org/officeDocument/2006/relationships/revisionLog" Target="revisionLog73.xml"/><Relationship Id="rId74" Type="http://schemas.openxmlformats.org/officeDocument/2006/relationships/revisionLog" Target="revisionLog74.xml"/><Relationship Id="rId75" Type="http://schemas.openxmlformats.org/officeDocument/2006/relationships/revisionLog" Target="revisionLog75.xml"/><Relationship Id="rId76" Type="http://schemas.openxmlformats.org/officeDocument/2006/relationships/revisionLog" Target="revisionLog76.xml"/><Relationship Id="rId77" Type="http://schemas.openxmlformats.org/officeDocument/2006/relationships/revisionLog" Target="revisionLog77.xml"/><Relationship Id="rId78" Type="http://schemas.openxmlformats.org/officeDocument/2006/relationships/revisionLog" Target="revisionLog78.xml"/><Relationship Id="rId79" Type="http://schemas.openxmlformats.org/officeDocument/2006/relationships/revisionLog" Target="revisionLog79.xml"/><Relationship Id="rId80" Type="http://schemas.openxmlformats.org/officeDocument/2006/relationships/revisionLog" Target="revisionLog80.xml"/><Relationship Id="rId81" Type="http://schemas.openxmlformats.org/officeDocument/2006/relationships/revisionLog" Target="revisionLog81.xml"/><Relationship Id="rId82" Type="http://schemas.openxmlformats.org/officeDocument/2006/relationships/revisionLog" Target="revisionLog82.xml"/><Relationship Id="rId83" Type="http://schemas.openxmlformats.org/officeDocument/2006/relationships/revisionLog" Target="revisionLog83.xml"/><Relationship Id="rId84" Type="http://schemas.openxmlformats.org/officeDocument/2006/relationships/revisionLog" Target="revisionLog84.xml"/><Relationship Id="rId85" Type="http://schemas.openxmlformats.org/officeDocument/2006/relationships/revisionLog" Target="revisionLog85.xml"/><Relationship Id="rId86" Type="http://schemas.openxmlformats.org/officeDocument/2006/relationships/revisionLog" Target="revisionLog86.xml"/><Relationship Id="rId87" Type="http://schemas.openxmlformats.org/officeDocument/2006/relationships/revisionLog" Target="revisionLog87.xml"/><Relationship Id="rId88" Type="http://schemas.openxmlformats.org/officeDocument/2006/relationships/revisionLog" Target="revisionLog88.xml"/><Relationship Id="rId89" Type="http://schemas.openxmlformats.org/officeDocument/2006/relationships/revisionLog" Target="revisionLog89.xml"/><Relationship Id="rId90" Type="http://schemas.openxmlformats.org/officeDocument/2006/relationships/revisionLog" Target="revisionLog90.xml"/><Relationship Id="rId91" Type="http://schemas.openxmlformats.org/officeDocument/2006/relationships/revisionLog" Target="revisionLog91.xml"/><Relationship Id="rId92" Type="http://schemas.openxmlformats.org/officeDocument/2006/relationships/revisionLog" Target="revisionLog92.xml"/><Relationship Id="rId93" Type="http://schemas.openxmlformats.org/officeDocument/2006/relationships/revisionLog" Target="revisionLog93.xml"/><Relationship Id="rId94" Type="http://schemas.openxmlformats.org/officeDocument/2006/relationships/revisionLog" Target="revisionLog94.xml"/><Relationship Id="rId95" Type="http://schemas.openxmlformats.org/officeDocument/2006/relationships/revisionLog" Target="revisionLog95.xml"/><Relationship Id="rId96" Type="http://schemas.openxmlformats.org/officeDocument/2006/relationships/revisionLog" Target="revisionLog96.xml"/><Relationship Id="rId97" Type="http://schemas.openxmlformats.org/officeDocument/2006/relationships/revisionLog" Target="revisionLog97.xml"/><Relationship Id="rId98" Type="http://schemas.openxmlformats.org/officeDocument/2006/relationships/revisionLog" Target="revisionLog98.xml"/><Relationship Id="rId99" Type="http://schemas.openxmlformats.org/officeDocument/2006/relationships/revisionLog" Target="revisionLog99.xml"/><Relationship Id="rId100" Type="http://schemas.openxmlformats.org/officeDocument/2006/relationships/revisionLog" Target="revisionLog100.xml"/><Relationship Id="rId101" Type="http://schemas.openxmlformats.org/officeDocument/2006/relationships/revisionLog" Target="revisionLog101.xml"/><Relationship Id="rId102" Type="http://schemas.openxmlformats.org/officeDocument/2006/relationships/revisionLog" Target="revisionLog102.xml"/><Relationship Id="rId103" Type="http://schemas.openxmlformats.org/officeDocument/2006/relationships/revisionLog" Target="revisionLog103.xml"/><Relationship Id="rId104" Type="http://schemas.openxmlformats.org/officeDocument/2006/relationships/revisionLog" Target="revisionLog104.xml"/><Relationship Id="rId105" Type="http://schemas.openxmlformats.org/officeDocument/2006/relationships/revisionLog" Target="revisionLog105.xml"/><Relationship Id="rId106" Type="http://schemas.openxmlformats.org/officeDocument/2006/relationships/revisionLog" Target="revisionLog106.xml"/><Relationship Id="rId107" Type="http://schemas.openxmlformats.org/officeDocument/2006/relationships/revisionLog" Target="revisionLog107.xml"/><Relationship Id="rId108" Type="http://schemas.openxmlformats.org/officeDocument/2006/relationships/revisionLog" Target="revisionLog108.xml"/><Relationship Id="rId109" Type="http://schemas.openxmlformats.org/officeDocument/2006/relationships/revisionLog" Target="revisionLog109.xml"/><Relationship Id="rId110" Type="http://schemas.openxmlformats.org/officeDocument/2006/relationships/revisionLog" Target="revisionLog110.xml"/><Relationship Id="rId111" Type="http://schemas.openxmlformats.org/officeDocument/2006/relationships/revisionLog" Target="revisionLog111.xml"/><Relationship Id="rId112" Type="http://schemas.openxmlformats.org/officeDocument/2006/relationships/revisionLog" Target="revisionLog112.xml"/><Relationship Id="rId113" Type="http://schemas.openxmlformats.org/officeDocument/2006/relationships/revisionLog" Target="revisionLog113.xml"/><Relationship Id="rId114" Type="http://schemas.openxmlformats.org/officeDocument/2006/relationships/revisionLog" Target="revisionLog114.xml"/><Relationship Id="rId115" Type="http://schemas.openxmlformats.org/officeDocument/2006/relationships/revisionLog" Target="revisionLog115.xml"/><Relationship Id="rId116" Type="http://schemas.openxmlformats.org/officeDocument/2006/relationships/revisionLog" Target="revisionLog116.xml"/><Relationship Id="rId117" Type="http://schemas.openxmlformats.org/officeDocument/2006/relationships/revisionLog" Target="revisionLog117.xml"/><Relationship Id="rId118" Type="http://schemas.openxmlformats.org/officeDocument/2006/relationships/revisionLog" Target="revisionLog118.xml"/><Relationship Id="rId119" Type="http://schemas.openxmlformats.org/officeDocument/2006/relationships/revisionLog" Target="revisionLog119.xml"/><Relationship Id="rId120" Type="http://schemas.openxmlformats.org/officeDocument/2006/relationships/revisionLog" Target="revisionLog120.xml"/><Relationship Id="rId121" Type="http://schemas.openxmlformats.org/officeDocument/2006/relationships/revisionLog" Target="revisionLog121.xml"/><Relationship Id="rId122" Type="http://schemas.openxmlformats.org/officeDocument/2006/relationships/revisionLog" Target="revisionLog122.xml"/><Relationship Id="rId123" Type="http://schemas.openxmlformats.org/officeDocument/2006/relationships/revisionLog" Target="revisionLog123.xml"/><Relationship Id="rId124" Type="http://schemas.openxmlformats.org/officeDocument/2006/relationships/revisionLog" Target="revisionLog124.xml"/><Relationship Id="rId125" Type="http://schemas.openxmlformats.org/officeDocument/2006/relationships/revisionLog" Target="revisionLog125.xml"/><Relationship Id="rId126" Type="http://schemas.openxmlformats.org/officeDocument/2006/relationships/revisionLog" Target="revisionLog126.xml"/><Relationship Id="rId127" Type="http://schemas.openxmlformats.org/officeDocument/2006/relationships/revisionLog" Target="revisionLog127.xml"/><Relationship Id="rId128" Type="http://schemas.openxmlformats.org/officeDocument/2006/relationships/revisionLog" Target="revisionLog128.xml"/><Relationship Id="rId129" Type="http://schemas.openxmlformats.org/officeDocument/2006/relationships/revisionLog" Target="revisionLog129.xml"/><Relationship Id="rId130" Type="http://schemas.openxmlformats.org/officeDocument/2006/relationships/revisionLog" Target="revisionLog130.xml"/><Relationship Id="rId131" Type="http://schemas.openxmlformats.org/officeDocument/2006/relationships/revisionLog" Target="revisionLog131.xml"/><Relationship Id="rId132" Type="http://schemas.openxmlformats.org/officeDocument/2006/relationships/revisionLog" Target="revisionLog132.xml"/><Relationship Id="rId133" Type="http://schemas.openxmlformats.org/officeDocument/2006/relationships/revisionLog" Target="revisionLog133.xml"/><Relationship Id="rId134" Type="http://schemas.openxmlformats.org/officeDocument/2006/relationships/revisionLog" Target="revisionLog134.xml"/><Relationship Id="rId135" Type="http://schemas.openxmlformats.org/officeDocument/2006/relationships/revisionLog" Target="revisionLog135.xml"/><Relationship Id="rId136" Type="http://schemas.openxmlformats.org/officeDocument/2006/relationships/revisionLog" Target="revisionLog136.xml"/><Relationship Id="rId137" Type="http://schemas.openxmlformats.org/officeDocument/2006/relationships/revisionLog" Target="revisionLog137.xml"/><Relationship Id="rId138" Type="http://schemas.openxmlformats.org/officeDocument/2006/relationships/revisionLog" Target="revisionLog138.xml"/><Relationship Id="rId139" Type="http://schemas.openxmlformats.org/officeDocument/2006/relationships/revisionLog" Target="revisionLog139.xml"/><Relationship Id="rId140" Type="http://schemas.openxmlformats.org/officeDocument/2006/relationships/revisionLog" Target="revisionLog140.xml"/><Relationship Id="rId141" Type="http://schemas.openxmlformats.org/officeDocument/2006/relationships/revisionLog" Target="revisionLog141.xml"/><Relationship Id="rId142" Type="http://schemas.openxmlformats.org/officeDocument/2006/relationships/revisionLog" Target="revisionLog142.xml"/><Relationship Id="rId143" Type="http://schemas.openxmlformats.org/officeDocument/2006/relationships/revisionLog" Target="revisionLog143.xml"/><Relationship Id="rId144" Type="http://schemas.openxmlformats.org/officeDocument/2006/relationships/revisionLog" Target="revisionLog144.xml"/><Relationship Id="rId145" Type="http://schemas.openxmlformats.org/officeDocument/2006/relationships/revisionLog" Target="revisionLog145.xml"/><Relationship Id="rId146" Type="http://schemas.openxmlformats.org/officeDocument/2006/relationships/revisionLog" Target="revisionLog146.xml"/><Relationship Id="rId147" Type="http://schemas.openxmlformats.org/officeDocument/2006/relationships/revisionLog" Target="revisionLog147.xml"/><Relationship Id="rId148" Type="http://schemas.openxmlformats.org/officeDocument/2006/relationships/revisionLog" Target="revisionLog148.xml"/><Relationship Id="rId149" Type="http://schemas.openxmlformats.org/officeDocument/2006/relationships/revisionLog" Target="revisionLog149.xml"/><Relationship Id="rId150" Type="http://schemas.openxmlformats.org/officeDocument/2006/relationships/revisionLog" Target="revisionLog150.xml"/><Relationship Id="rId151" Type="http://schemas.openxmlformats.org/officeDocument/2006/relationships/revisionLog" Target="revisionLog151.xml"/><Relationship Id="rId152" Type="http://schemas.openxmlformats.org/officeDocument/2006/relationships/revisionLog" Target="revisionLog152.xml"/><Relationship Id="rId153" Type="http://schemas.openxmlformats.org/officeDocument/2006/relationships/revisionLog" Target="revisionLog153.xml"/><Relationship Id="rId154" Type="http://schemas.openxmlformats.org/officeDocument/2006/relationships/revisionLog" Target="revisionLog154.xml"/><Relationship Id="rId155" Type="http://schemas.openxmlformats.org/officeDocument/2006/relationships/revisionLog" Target="revisionLog155.xml"/><Relationship Id="rId156" Type="http://schemas.openxmlformats.org/officeDocument/2006/relationships/revisionLog" Target="revisionLog156.xml"/><Relationship Id="rId157" Type="http://schemas.openxmlformats.org/officeDocument/2006/relationships/revisionLog" Target="revisionLog157.xml"/><Relationship Id="rId158" Type="http://schemas.openxmlformats.org/officeDocument/2006/relationships/revisionLog" Target="revisionLog158.xml"/><Relationship Id="rId159" Type="http://schemas.openxmlformats.org/officeDocument/2006/relationships/revisionLog" Target="revisionLog159.xml"/><Relationship Id="rId160" Type="http://schemas.openxmlformats.org/officeDocument/2006/relationships/revisionLog" Target="revisionLog160.xml"/><Relationship Id="rId161" Type="http://schemas.openxmlformats.org/officeDocument/2006/relationships/revisionLog" Target="revisionLog161.xml"/><Relationship Id="rId162" Type="http://schemas.openxmlformats.org/officeDocument/2006/relationships/revisionLog" Target="revisionLog162.xml"/><Relationship Id="rId163" Type="http://schemas.openxmlformats.org/officeDocument/2006/relationships/revisionLog" Target="revisionLog163.xml"/><Relationship Id="rId164" Type="http://schemas.openxmlformats.org/officeDocument/2006/relationships/revisionLog" Target="revisionLog164.xml"/><Relationship Id="rId165" Type="http://schemas.openxmlformats.org/officeDocument/2006/relationships/revisionLog" Target="revisionLog165.xml"/><Relationship Id="rId166" Type="http://schemas.openxmlformats.org/officeDocument/2006/relationships/revisionLog" Target="revisionLog166.xml"/><Relationship Id="rId167" Type="http://schemas.openxmlformats.org/officeDocument/2006/relationships/revisionLog" Target="revisionLog167.xml"/><Relationship Id="rId168" Type="http://schemas.openxmlformats.org/officeDocument/2006/relationships/revisionLog" Target="revisionLog168.xml"/><Relationship Id="rId169" Type="http://schemas.openxmlformats.org/officeDocument/2006/relationships/revisionLog" Target="revisionLog169.xml"/><Relationship Id="rId170" Type="http://schemas.openxmlformats.org/officeDocument/2006/relationships/revisionLog" Target="revisionLog170.xml"/><Relationship Id="rId171" Type="http://schemas.openxmlformats.org/officeDocument/2006/relationships/revisionLog" Target="revisionLog171.xml"/><Relationship Id="rId172" Type="http://schemas.openxmlformats.org/officeDocument/2006/relationships/revisionLog" Target="revisionLog172.xml"/><Relationship Id="rId173" Type="http://schemas.openxmlformats.org/officeDocument/2006/relationships/revisionLog" Target="revisionLog173.xml"/><Relationship Id="rId174" Type="http://schemas.openxmlformats.org/officeDocument/2006/relationships/revisionLog" Target="revisionLog174.xml"/><Relationship Id="rId175" Type="http://schemas.openxmlformats.org/officeDocument/2006/relationships/revisionLog" Target="revisionLog175.xml"/><Relationship Id="rId176" Type="http://schemas.openxmlformats.org/officeDocument/2006/relationships/revisionLog" Target="revisionLog176.xml"/><Relationship Id="rId177" Type="http://schemas.openxmlformats.org/officeDocument/2006/relationships/revisionLog" Target="revisionLog177.xml"/><Relationship Id="rId178" Type="http://schemas.openxmlformats.org/officeDocument/2006/relationships/revisionLog" Target="revisionLog178.xml"/><Relationship Id="rId179" Type="http://schemas.openxmlformats.org/officeDocument/2006/relationships/revisionLog" Target="revisionLog179.xml"/><Relationship Id="rId180" Type="http://schemas.openxmlformats.org/officeDocument/2006/relationships/revisionLog" Target="revisionLog180.xml"/><Relationship Id="rId181" Type="http://schemas.openxmlformats.org/officeDocument/2006/relationships/revisionLog" Target="revisionLog181.xml"/><Relationship Id="rId182" Type="http://schemas.openxmlformats.org/officeDocument/2006/relationships/revisionLog" Target="revisionLog182.xml"/><Relationship Id="rId183" Type="http://schemas.openxmlformats.org/officeDocument/2006/relationships/revisionLog" Target="revisionLog183.xml"/><Relationship Id="rId184" Type="http://schemas.openxmlformats.org/officeDocument/2006/relationships/revisionLog" Target="revisionLog184.xml"/><Relationship Id="rId185" Type="http://schemas.openxmlformats.org/officeDocument/2006/relationships/revisionLog" Target="revisionLog185.xml"/><Relationship Id="rId186" Type="http://schemas.openxmlformats.org/officeDocument/2006/relationships/revisionLog" Target="revisionLog186.xml"/><Relationship Id="rId187" Type="http://schemas.openxmlformats.org/officeDocument/2006/relationships/revisionLog" Target="revisionLog187.xml"/><Relationship Id="rId188" Type="http://schemas.openxmlformats.org/officeDocument/2006/relationships/revisionLog" Target="revisionLog188.xml"/><Relationship Id="rId189" Type="http://schemas.openxmlformats.org/officeDocument/2006/relationships/revisionLog" Target="revisionLog189.xml"/><Relationship Id="rId190" Type="http://schemas.openxmlformats.org/officeDocument/2006/relationships/revisionLog" Target="revisionLog190.xml"/><Relationship Id="rId191" Type="http://schemas.openxmlformats.org/officeDocument/2006/relationships/revisionLog" Target="revisionLog191.xml"/><Relationship Id="rId192" Type="http://schemas.openxmlformats.org/officeDocument/2006/relationships/revisionLog" Target="revisionLog192.xml"/><Relationship Id="rId193" Type="http://schemas.openxmlformats.org/officeDocument/2006/relationships/revisionLog" Target="revisionLog193.xml"/><Relationship Id="rId194" Type="http://schemas.openxmlformats.org/officeDocument/2006/relationships/revisionLog" Target="revisionLog194.xml"/><Relationship Id="rId195" Type="http://schemas.openxmlformats.org/officeDocument/2006/relationships/revisionLog" Target="revisionLog195.xml"/><Relationship Id="rId196" Type="http://schemas.openxmlformats.org/officeDocument/2006/relationships/revisionLog" Target="revisionLog196.xml"/><Relationship Id="rId197" Type="http://schemas.openxmlformats.org/officeDocument/2006/relationships/revisionLog" Target="revisionLog197.xml"/><Relationship Id="rId198" Type="http://schemas.openxmlformats.org/officeDocument/2006/relationships/revisionLog" Target="revisionLog198.xml"/><Relationship Id="rId199" Type="http://schemas.openxmlformats.org/officeDocument/2006/relationships/revisionLog" Target="revisionLog199.xml"/><Relationship Id="rId200" Type="http://schemas.openxmlformats.org/officeDocument/2006/relationships/revisionLog" Target="revisionLog200.xml"/><Relationship Id="rId201" Type="http://schemas.openxmlformats.org/officeDocument/2006/relationships/revisionLog" Target="revisionLog201.xml"/><Relationship Id="rId202" Type="http://schemas.openxmlformats.org/officeDocument/2006/relationships/revisionLog" Target="revisionLog202.xml"/><Relationship Id="rId203" Type="http://schemas.openxmlformats.org/officeDocument/2006/relationships/revisionLog" Target="revisionLog203.xml"/><Relationship Id="rId204" Type="http://schemas.openxmlformats.org/officeDocument/2006/relationships/revisionLog" Target="revisionLog204.xml"/><Relationship Id="rId205" Type="http://schemas.openxmlformats.org/officeDocument/2006/relationships/revisionLog" Target="revisionLog205.xml"/><Relationship Id="rId206" Type="http://schemas.openxmlformats.org/officeDocument/2006/relationships/revisionLog" Target="revisionLog206.xml"/><Relationship Id="rId207" Type="http://schemas.openxmlformats.org/officeDocument/2006/relationships/revisionLog" Target="revisionLog207.xml"/><Relationship Id="rId208" Type="http://schemas.openxmlformats.org/officeDocument/2006/relationships/revisionLog" Target="revisionLog208.xml"/><Relationship Id="rId209" Type="http://schemas.openxmlformats.org/officeDocument/2006/relationships/revisionLog" Target="revisionLog209.xml"/><Relationship Id="rId210" Type="http://schemas.openxmlformats.org/officeDocument/2006/relationships/revisionLog" Target="revisionLog210.xml"/><Relationship Id="rId211" Type="http://schemas.openxmlformats.org/officeDocument/2006/relationships/revisionLog" Target="revisionLog211.xml"/><Relationship Id="rId212" Type="http://schemas.openxmlformats.org/officeDocument/2006/relationships/revisionLog" Target="revisionLog212.xml"/><Relationship Id="rId213" Type="http://schemas.openxmlformats.org/officeDocument/2006/relationships/revisionLog" Target="revisionLog213.xml"/><Relationship Id="rId214" Type="http://schemas.openxmlformats.org/officeDocument/2006/relationships/revisionLog" Target="revisionLog214.xml"/><Relationship Id="rId215" Type="http://schemas.openxmlformats.org/officeDocument/2006/relationships/revisionLog" Target="revisionLog215.xml"/><Relationship Id="rId216" Type="http://schemas.openxmlformats.org/officeDocument/2006/relationships/revisionLog" Target="revisionLog216.xml"/><Relationship Id="rId217" Type="http://schemas.openxmlformats.org/officeDocument/2006/relationships/revisionLog" Target="revisionLog217.xml"/><Relationship Id="rId218" Type="http://schemas.openxmlformats.org/officeDocument/2006/relationships/revisionLog" Target="revisionLog218.xml"/><Relationship Id="rId219" Type="http://schemas.openxmlformats.org/officeDocument/2006/relationships/revisionLog" Target="revisionLog219.xml"/><Relationship Id="rId220" Type="http://schemas.openxmlformats.org/officeDocument/2006/relationships/revisionLog" Target="revisionLog220.xml"/><Relationship Id="rId221" Type="http://schemas.openxmlformats.org/officeDocument/2006/relationships/revisionLog" Target="revisionLog221.xml"/><Relationship Id="rId222" Type="http://schemas.openxmlformats.org/officeDocument/2006/relationships/revisionLog" Target="revisionLog222.xml"/><Relationship Id="rId223" Type="http://schemas.openxmlformats.org/officeDocument/2006/relationships/revisionLog" Target="revisionLog223.xml"/><Relationship Id="rId224" Type="http://schemas.openxmlformats.org/officeDocument/2006/relationships/revisionLog" Target="revisionLog224.xml"/><Relationship Id="rId225" Type="http://schemas.openxmlformats.org/officeDocument/2006/relationships/revisionLog" Target="revisionLog225.xml"/><Relationship Id="rId226" Type="http://schemas.openxmlformats.org/officeDocument/2006/relationships/revisionLog" Target="revisionLog226.xml"/><Relationship Id="rId227" Type="http://schemas.openxmlformats.org/officeDocument/2006/relationships/revisionLog" Target="revisionLog227.xml"/><Relationship Id="rId228" Type="http://schemas.openxmlformats.org/officeDocument/2006/relationships/revisionLog" Target="revisionLog228.xml"/><Relationship Id="rId229" Type="http://schemas.openxmlformats.org/officeDocument/2006/relationships/revisionLog" Target="revisionLog229.xml"/><Relationship Id="rId230" Type="http://schemas.openxmlformats.org/officeDocument/2006/relationships/revisionLog" Target="revisionLog230.xml"/><Relationship Id="rId231" Type="http://schemas.openxmlformats.org/officeDocument/2006/relationships/revisionLog" Target="revisionLog231.xml"/><Relationship Id="rId232" Type="http://schemas.openxmlformats.org/officeDocument/2006/relationships/revisionLog" Target="revisionLog232.xml"/><Relationship Id="rId233" Type="http://schemas.openxmlformats.org/officeDocument/2006/relationships/revisionLog" Target="revisionLog233.xml"/><Relationship Id="rId234" Type="http://schemas.openxmlformats.org/officeDocument/2006/relationships/revisionLog" Target="revisionLog234.xml"/><Relationship Id="rId235" Type="http://schemas.openxmlformats.org/officeDocument/2006/relationships/revisionLog" Target="revisionLog235.xml"/><Relationship Id="rId236" Type="http://schemas.openxmlformats.org/officeDocument/2006/relationships/revisionLog" Target="revisionLog236.xml"/><Relationship Id="rId237" Type="http://schemas.openxmlformats.org/officeDocument/2006/relationships/revisionLog" Target="revisionLog237.xml"/><Relationship Id="rId238" Type="http://schemas.openxmlformats.org/officeDocument/2006/relationships/revisionLog" Target="revisionLog238.xml"/><Relationship Id="rId239" Type="http://schemas.openxmlformats.org/officeDocument/2006/relationships/revisionLog" Target="revisionLog239.xml"/><Relationship Id="rId240" Type="http://schemas.openxmlformats.org/officeDocument/2006/relationships/revisionLog" Target="revisionLog240.xml"/><Relationship Id="rId241" Type="http://schemas.openxmlformats.org/officeDocument/2006/relationships/revisionLog" Target="revisionLog241.xml"/><Relationship Id="rId242" Type="http://schemas.openxmlformats.org/officeDocument/2006/relationships/revisionLog" Target="revisionLog242.xml"/><Relationship Id="rId243" Type="http://schemas.openxmlformats.org/officeDocument/2006/relationships/revisionLog" Target="revisionLog243.xml"/><Relationship Id="rId244" Type="http://schemas.openxmlformats.org/officeDocument/2006/relationships/revisionLog" Target="revisionLog244.xml"/><Relationship Id="rId245" Type="http://schemas.openxmlformats.org/officeDocument/2006/relationships/revisionLog" Target="revisionLog245.xml"/><Relationship Id="rId246" Type="http://schemas.openxmlformats.org/officeDocument/2006/relationships/revisionLog" Target="revisionLog246.xml"/><Relationship Id="rId247" Type="http://schemas.openxmlformats.org/officeDocument/2006/relationships/revisionLog" Target="revisionLog247.xml"/><Relationship Id="rId248" Type="http://schemas.openxmlformats.org/officeDocument/2006/relationships/revisionLog" Target="revisionLog248.xml"/><Relationship Id="rId249" Type="http://schemas.openxmlformats.org/officeDocument/2006/relationships/revisionLog" Target="revisionLog249.xml"/><Relationship Id="rId250" Type="http://schemas.openxmlformats.org/officeDocument/2006/relationships/revisionLog" Target="revisionLog250.xml"/><Relationship Id="rId251" Type="http://schemas.openxmlformats.org/officeDocument/2006/relationships/revisionLog" Target="revisionLog251.xml"/><Relationship Id="rId252" Type="http://schemas.openxmlformats.org/officeDocument/2006/relationships/revisionLog" Target="revisionLog252.xml"/><Relationship Id="rId253" Type="http://schemas.openxmlformats.org/officeDocument/2006/relationships/revisionLog" Target="revisionLog253.xml"/><Relationship Id="rId254" Type="http://schemas.openxmlformats.org/officeDocument/2006/relationships/revisionLog" Target="revisionLog254.xml"/><Relationship Id="rId255" Type="http://schemas.openxmlformats.org/officeDocument/2006/relationships/revisionLog" Target="revisionLog255.xml"/><Relationship Id="rId256" Type="http://schemas.openxmlformats.org/officeDocument/2006/relationships/revisionLog" Target="revisionLog256.xml"/><Relationship Id="rId257" Type="http://schemas.openxmlformats.org/officeDocument/2006/relationships/revisionLog" Target="revisionLog257.xml"/><Relationship Id="rId258" Type="http://schemas.openxmlformats.org/officeDocument/2006/relationships/revisionLog" Target="revisionLog258.xml"/><Relationship Id="rId259" Type="http://schemas.openxmlformats.org/officeDocument/2006/relationships/revisionLog" Target="revisionLog259.xml"/><Relationship Id="rId260" Type="http://schemas.openxmlformats.org/officeDocument/2006/relationships/revisionLog" Target="revisionLog260.xml"/><Relationship Id="rId261" Type="http://schemas.openxmlformats.org/officeDocument/2006/relationships/revisionLog" Target="revisionLog261.xml"/><Relationship Id="rId262" Type="http://schemas.openxmlformats.org/officeDocument/2006/relationships/revisionLog" Target="revisionLog262.xml"/><Relationship Id="rId263" Type="http://schemas.openxmlformats.org/officeDocument/2006/relationships/revisionLog" Target="revisionLog263.xml"/><Relationship Id="rId264" Type="http://schemas.openxmlformats.org/officeDocument/2006/relationships/revisionLog" Target="revisionLog264.xml"/><Relationship Id="rId265" Type="http://schemas.openxmlformats.org/officeDocument/2006/relationships/revisionLog" Target="revisionLog265.xml"/><Relationship Id="rId266" Type="http://schemas.openxmlformats.org/officeDocument/2006/relationships/revisionLog" Target="revisionLog266.xml"/><Relationship Id="rId267" Type="http://schemas.openxmlformats.org/officeDocument/2006/relationships/revisionLog" Target="revisionLog267.xml"/><Relationship Id="rId268" Type="http://schemas.openxmlformats.org/officeDocument/2006/relationships/revisionLog" Target="revisionLog268.xml"/><Relationship Id="rId269" Type="http://schemas.openxmlformats.org/officeDocument/2006/relationships/revisionLog" Target="revisionLog269.xml"/><Relationship Id="rId270" Type="http://schemas.openxmlformats.org/officeDocument/2006/relationships/revisionLog" Target="revisionLog270.xml"/><Relationship Id="rId271" Type="http://schemas.openxmlformats.org/officeDocument/2006/relationships/revisionLog" Target="revisionLog271.xml"/><Relationship Id="rId272" Type="http://schemas.openxmlformats.org/officeDocument/2006/relationships/revisionLog" Target="revisionLog272.xml"/><Relationship Id="rId273" Type="http://schemas.openxmlformats.org/officeDocument/2006/relationships/revisionLog" Target="revisionLog273.xml"/><Relationship Id="rId274" Type="http://schemas.openxmlformats.org/officeDocument/2006/relationships/revisionLog" Target="revisionLog274.xml"/><Relationship Id="rId275" Type="http://schemas.openxmlformats.org/officeDocument/2006/relationships/revisionLog" Target="revisionLog275.xml"/><Relationship Id="rId276" Type="http://schemas.openxmlformats.org/officeDocument/2006/relationships/revisionLog" Target="revisionLog276.xml"/><Relationship Id="rId277" Type="http://schemas.openxmlformats.org/officeDocument/2006/relationships/revisionLog" Target="revisionLog277.xml"/><Relationship Id="rId278" Type="http://schemas.openxmlformats.org/officeDocument/2006/relationships/revisionLog" Target="revisionLog278.xml"/><Relationship Id="rId279" Type="http://schemas.openxmlformats.org/officeDocument/2006/relationships/revisionLog" Target="revisionLog279.xml"/><Relationship Id="rId280" Type="http://schemas.openxmlformats.org/officeDocument/2006/relationships/revisionLog" Target="revisionLog280.xml"/><Relationship Id="rId281" Type="http://schemas.openxmlformats.org/officeDocument/2006/relationships/revisionLog" Target="revisionLog281.xml"/><Relationship Id="rId282" Type="http://schemas.openxmlformats.org/officeDocument/2006/relationships/revisionLog" Target="revisionLog282.xml"/><Relationship Id="rId283" Type="http://schemas.openxmlformats.org/officeDocument/2006/relationships/revisionLog" Target="revisionLog283.xml"/><Relationship Id="rId284" Type="http://schemas.openxmlformats.org/officeDocument/2006/relationships/revisionLog" Target="revisionLog284.xml"/><Relationship Id="rId285" Type="http://schemas.openxmlformats.org/officeDocument/2006/relationships/revisionLog" Target="revisionLog285.xml"/><Relationship Id="rId286" Type="http://schemas.openxmlformats.org/officeDocument/2006/relationships/revisionLog" Target="revisionLog286.xml"/><Relationship Id="rId287" Type="http://schemas.openxmlformats.org/officeDocument/2006/relationships/revisionLog" Target="revisionLog287.xml"/><Relationship Id="rId288" Type="http://schemas.openxmlformats.org/officeDocument/2006/relationships/revisionLog" Target="revisionLog288.xml"/><Relationship Id="rId289" Type="http://schemas.openxmlformats.org/officeDocument/2006/relationships/revisionLog" Target="revisionLog289.xml"/><Relationship Id="rId290" Type="http://schemas.openxmlformats.org/officeDocument/2006/relationships/revisionLog" Target="revisionLog290.xml"/><Relationship Id="rId291" Type="http://schemas.openxmlformats.org/officeDocument/2006/relationships/revisionLog" Target="revisionLog291.xml"/><Relationship Id="rId292" Type="http://schemas.openxmlformats.org/officeDocument/2006/relationships/revisionLog" Target="revisionLog292.xml"/><Relationship Id="rId293" Type="http://schemas.openxmlformats.org/officeDocument/2006/relationships/revisionLog" Target="revisionLog293.xml"/><Relationship Id="rId294" Type="http://schemas.openxmlformats.org/officeDocument/2006/relationships/revisionLog" Target="revisionLog294.xml"/><Relationship Id="rId295" Type="http://schemas.openxmlformats.org/officeDocument/2006/relationships/revisionLog" Target="revisionLog295.xml"/><Relationship Id="rId296" Type="http://schemas.openxmlformats.org/officeDocument/2006/relationships/revisionLog" Target="revisionLog296.xml"/><Relationship Id="rId297" Type="http://schemas.openxmlformats.org/officeDocument/2006/relationships/revisionLog" Target="revisionLog297.xml"/><Relationship Id="rId298" Type="http://schemas.openxmlformats.org/officeDocument/2006/relationships/revisionLog" Target="revisionLog298.xml"/><Relationship Id="rId299" Type="http://schemas.openxmlformats.org/officeDocument/2006/relationships/revisionLog" Target="revisionLog299.xml"/><Relationship Id="rId300" Type="http://schemas.openxmlformats.org/officeDocument/2006/relationships/revisionLog" Target="revisionLog300.xml"/><Relationship Id="rId301" Type="http://schemas.openxmlformats.org/officeDocument/2006/relationships/revisionLog" Target="revisionLog301.xml"/><Relationship Id="rId302" Type="http://schemas.openxmlformats.org/officeDocument/2006/relationships/revisionLog" Target="revisionLog302.xml"/><Relationship Id="rId303" Type="http://schemas.openxmlformats.org/officeDocument/2006/relationships/revisionLog" Target="revisionLog303.xml"/><Relationship Id="rId304" Type="http://schemas.openxmlformats.org/officeDocument/2006/relationships/revisionLog" Target="revisionLog304.xml"/><Relationship Id="rId305" Type="http://schemas.openxmlformats.org/officeDocument/2006/relationships/revisionLog" Target="revisionLog305.xml"/><Relationship Id="rId306" Type="http://schemas.openxmlformats.org/officeDocument/2006/relationships/revisionLog" Target="revisionLog306.xml"/><Relationship Id="rId307" Type="http://schemas.openxmlformats.org/officeDocument/2006/relationships/revisionLog" Target="revisionLog307.xml"/><Relationship Id="rId308" Type="http://schemas.openxmlformats.org/officeDocument/2006/relationships/revisionLog" Target="revisionLog308.xml"/><Relationship Id="rId309" Type="http://schemas.openxmlformats.org/officeDocument/2006/relationships/revisionLog" Target="revisionLog309.xml"/><Relationship Id="rId310" Type="http://schemas.openxmlformats.org/officeDocument/2006/relationships/revisionLog" Target="revisionLog310.xml"/><Relationship Id="rId311" Type="http://schemas.openxmlformats.org/officeDocument/2006/relationships/revisionLog" Target="revisionLog311.xml"/><Relationship Id="rId312" Type="http://schemas.openxmlformats.org/officeDocument/2006/relationships/revisionLog" Target="revisionLog312.xml"/><Relationship Id="rId313" Type="http://schemas.openxmlformats.org/officeDocument/2006/relationships/revisionLog" Target="revisionLog313.xml"/><Relationship Id="rId314" Type="http://schemas.openxmlformats.org/officeDocument/2006/relationships/revisionLog" Target="revisionLog314.xml"/><Relationship Id="rId315" Type="http://schemas.openxmlformats.org/officeDocument/2006/relationships/revisionLog" Target="revisionLog315.xml"/><Relationship Id="rId316" Type="http://schemas.openxmlformats.org/officeDocument/2006/relationships/revisionLog" Target="revisionLog316.xml"/><Relationship Id="rId317" Type="http://schemas.openxmlformats.org/officeDocument/2006/relationships/revisionLog" Target="revisionLog317.xml"/><Relationship Id="rId318" Type="http://schemas.openxmlformats.org/officeDocument/2006/relationships/revisionLog" Target="revisionLog318.xml"/><Relationship Id="rId319" Type="http://schemas.openxmlformats.org/officeDocument/2006/relationships/revisionLog" Target="revisionLog319.xml"/><Relationship Id="rId320" Type="http://schemas.openxmlformats.org/officeDocument/2006/relationships/revisionLog" Target="revisionLog320.xml"/><Relationship Id="rId321" Type="http://schemas.openxmlformats.org/officeDocument/2006/relationships/revisionLog" Target="revisionLog321.xml"/><Relationship Id="rId322" Type="http://schemas.openxmlformats.org/officeDocument/2006/relationships/revisionLog" Target="revisionLog322.xml"/><Relationship Id="rId323" Type="http://schemas.openxmlformats.org/officeDocument/2006/relationships/revisionLog" Target="revisionLog323.xml"/><Relationship Id="rId324" Type="http://schemas.openxmlformats.org/officeDocument/2006/relationships/revisionLog" Target="revisionLog324.xml"/><Relationship Id="rId325" Type="http://schemas.openxmlformats.org/officeDocument/2006/relationships/revisionLog" Target="revisionLog325.xml"/><Relationship Id="rId326" Type="http://schemas.openxmlformats.org/officeDocument/2006/relationships/revisionLog" Target="revisionLog326.xml"/><Relationship Id="rId327" Type="http://schemas.openxmlformats.org/officeDocument/2006/relationships/revisionLog" Target="revisionLog327.xml"/><Relationship Id="rId328" Type="http://schemas.openxmlformats.org/officeDocument/2006/relationships/revisionLog" Target="revisionLog328.xml"/><Relationship Id="rId329" Type="http://schemas.openxmlformats.org/officeDocument/2006/relationships/revisionLog" Target="revisionLog329.xml"/><Relationship Id="rId330" Type="http://schemas.openxmlformats.org/officeDocument/2006/relationships/revisionLog" Target="revisionLog330.xml"/><Relationship Id="rId331" Type="http://schemas.openxmlformats.org/officeDocument/2006/relationships/revisionLog" Target="revisionLog331.xml"/><Relationship Id="rId332" Type="http://schemas.openxmlformats.org/officeDocument/2006/relationships/revisionLog" Target="revisionLog332.xml"/><Relationship Id="rId333" Type="http://schemas.openxmlformats.org/officeDocument/2006/relationships/revisionLog" Target="revisionLog333.xml"/><Relationship Id="rId334" Type="http://schemas.openxmlformats.org/officeDocument/2006/relationships/revisionLog" Target="revisionLog334.xml"/><Relationship Id="rId335" Type="http://schemas.openxmlformats.org/officeDocument/2006/relationships/revisionLog" Target="revisionLog335.xml"/><Relationship Id="rId336" Type="http://schemas.openxmlformats.org/officeDocument/2006/relationships/revisionLog" Target="revisionLog336.xml"/><Relationship Id="rId337" Type="http://schemas.openxmlformats.org/officeDocument/2006/relationships/revisionLog" Target="revisionLog337.xml"/><Relationship Id="rId338" Type="http://schemas.openxmlformats.org/officeDocument/2006/relationships/revisionLog" Target="revisionLog338.xml"/><Relationship Id="rId339" Type="http://schemas.openxmlformats.org/officeDocument/2006/relationships/revisionLog" Target="revisionLog339.xml"/><Relationship Id="rId340" Type="http://schemas.openxmlformats.org/officeDocument/2006/relationships/revisionLog" Target="revisionLog340.xml"/><Relationship Id="rId341" Type="http://schemas.openxmlformats.org/officeDocument/2006/relationships/revisionLog" Target="revisionLog341.xml"/><Relationship Id="rId342" Type="http://schemas.openxmlformats.org/officeDocument/2006/relationships/revisionLog" Target="revisionLog342.xml"/><Relationship Id="rId343" Type="http://schemas.openxmlformats.org/officeDocument/2006/relationships/revisionLog" Target="revisionLog343.xml"/><Relationship Id="rId344" Type="http://schemas.openxmlformats.org/officeDocument/2006/relationships/revisionLog" Target="revisionLog344.xml"/><Relationship Id="rId345" Type="http://schemas.openxmlformats.org/officeDocument/2006/relationships/revisionLog" Target="revisionLog345.xml"/><Relationship Id="rId346" Type="http://schemas.openxmlformats.org/officeDocument/2006/relationships/revisionLog" Target="revisionLog346.xml"/><Relationship Id="rId347" Type="http://schemas.openxmlformats.org/officeDocument/2006/relationships/revisionLog" Target="revisionLog347.xml"/><Relationship Id="rId348" Type="http://schemas.openxmlformats.org/officeDocument/2006/relationships/revisionLog" Target="revisionLog348.xml"/><Relationship Id="rId349" Type="http://schemas.openxmlformats.org/officeDocument/2006/relationships/revisionLog" Target="revisionLog349.xml"/><Relationship Id="rId350" Type="http://schemas.openxmlformats.org/officeDocument/2006/relationships/revisionLog" Target="revisionLog350.xml"/><Relationship Id="rId351" Type="http://schemas.openxmlformats.org/officeDocument/2006/relationships/revisionLog" Target="revisionLog351.xml"/><Relationship Id="rId352" Type="http://schemas.openxmlformats.org/officeDocument/2006/relationships/revisionLog" Target="revisionLog352.xml"/><Relationship Id="rId353" Type="http://schemas.openxmlformats.org/officeDocument/2006/relationships/revisionLog" Target="revisionLog353.xml"/><Relationship Id="rId354" Type="http://schemas.openxmlformats.org/officeDocument/2006/relationships/revisionLog" Target="revisionLog354.xml"/><Relationship Id="rId355" Type="http://schemas.openxmlformats.org/officeDocument/2006/relationships/revisionLog" Target="revisionLog355.xml"/><Relationship Id="rId356" Type="http://schemas.openxmlformats.org/officeDocument/2006/relationships/revisionLog" Target="revisionLog356.xml"/><Relationship Id="rId357" Type="http://schemas.openxmlformats.org/officeDocument/2006/relationships/revisionLog" Target="revisionLog357.xml"/><Relationship Id="rId358" Type="http://schemas.openxmlformats.org/officeDocument/2006/relationships/revisionLog" Target="revisionLog358.xml"/><Relationship Id="rId359" Type="http://schemas.openxmlformats.org/officeDocument/2006/relationships/revisionLog" Target="revisionLog359.xml"/><Relationship Id="rId360" Type="http://schemas.openxmlformats.org/officeDocument/2006/relationships/revisionLog" Target="revisionLog360.xml"/><Relationship Id="rId361" Type="http://schemas.openxmlformats.org/officeDocument/2006/relationships/revisionLog" Target="revisionLog361.xml"/><Relationship Id="rId362" Type="http://schemas.openxmlformats.org/officeDocument/2006/relationships/revisionLog" Target="revisionLog362.xml"/><Relationship Id="rId363" Type="http://schemas.openxmlformats.org/officeDocument/2006/relationships/revisionLog" Target="revisionLog363.xml"/><Relationship Id="rId364" Type="http://schemas.openxmlformats.org/officeDocument/2006/relationships/revisionLog" Target="revisionLog364.xml"/><Relationship Id="rId365" Type="http://schemas.openxmlformats.org/officeDocument/2006/relationships/revisionLog" Target="revisionLog365.xml"/><Relationship Id="rId366" Type="http://schemas.openxmlformats.org/officeDocument/2006/relationships/revisionLog" Target="revisionLog366.xml"/><Relationship Id="rId367" Type="http://schemas.openxmlformats.org/officeDocument/2006/relationships/revisionLog" Target="revisionLog367.xml"/><Relationship Id="rId368" Type="http://schemas.openxmlformats.org/officeDocument/2006/relationships/revisionLog" Target="revisionLog368.xml"/><Relationship Id="rId369" Type="http://schemas.openxmlformats.org/officeDocument/2006/relationships/revisionLog" Target="revisionLog369.xml"/><Relationship Id="rId370" Type="http://schemas.openxmlformats.org/officeDocument/2006/relationships/revisionLog" Target="revisionLog370.xml"/><Relationship Id="rId371" Type="http://schemas.openxmlformats.org/officeDocument/2006/relationships/revisionLog" Target="revisionLog371.xml"/><Relationship Id="rId372" Type="http://schemas.openxmlformats.org/officeDocument/2006/relationships/revisionLog" Target="revisionLog372.xml"/><Relationship Id="rId373" Type="http://schemas.openxmlformats.org/officeDocument/2006/relationships/revisionLog" Target="revisionLog373.xml"/><Relationship Id="rId374" Type="http://schemas.openxmlformats.org/officeDocument/2006/relationships/revisionLog" Target="revisionLog374.xml"/><Relationship Id="rId375" Type="http://schemas.openxmlformats.org/officeDocument/2006/relationships/revisionLog" Target="revisionLog375.xml"/><Relationship Id="rId376" Type="http://schemas.openxmlformats.org/officeDocument/2006/relationships/revisionLog" Target="revisionLog376.xml"/><Relationship Id="rId377" Type="http://schemas.openxmlformats.org/officeDocument/2006/relationships/revisionLog" Target="revisionLog377.xml"/><Relationship Id="rId378" Type="http://schemas.openxmlformats.org/officeDocument/2006/relationships/revisionLog" Target="revisionLog378.xml"/><Relationship Id="rId379" Type="http://schemas.openxmlformats.org/officeDocument/2006/relationships/revisionLog" Target="revisionLog379.xml"/><Relationship Id="rId380" Type="http://schemas.openxmlformats.org/officeDocument/2006/relationships/revisionLog" Target="revisionLog380.xml"/><Relationship Id="rId381" Type="http://schemas.openxmlformats.org/officeDocument/2006/relationships/revisionLog" Target="revisionLog381.xml"/><Relationship Id="rId382" Type="http://schemas.openxmlformats.org/officeDocument/2006/relationships/revisionLog" Target="revisionLog382.xml"/><Relationship Id="rId383" Type="http://schemas.openxmlformats.org/officeDocument/2006/relationships/revisionLog" Target="revisionLog383.xml"/><Relationship Id="rId384" Type="http://schemas.openxmlformats.org/officeDocument/2006/relationships/revisionLog" Target="revisionLog384.xml"/><Relationship Id="rId385" Type="http://schemas.openxmlformats.org/officeDocument/2006/relationships/revisionLog" Target="revisionLog385.xml"/><Relationship Id="rId386" Type="http://schemas.openxmlformats.org/officeDocument/2006/relationships/revisionLog" Target="revisionLog386.xml"/><Relationship Id="rId387" Type="http://schemas.openxmlformats.org/officeDocument/2006/relationships/revisionLog" Target="revisionLog387.xml"/><Relationship Id="rId388" Type="http://schemas.openxmlformats.org/officeDocument/2006/relationships/revisionLog" Target="revisionLog388.xml"/><Relationship Id="rId389" Type="http://schemas.openxmlformats.org/officeDocument/2006/relationships/revisionLog" Target="revisionLog389.xml"/><Relationship Id="rId390" Type="http://schemas.openxmlformats.org/officeDocument/2006/relationships/revisionLog" Target="revisionLog390.xml"/><Relationship Id="rId391" Type="http://schemas.openxmlformats.org/officeDocument/2006/relationships/revisionLog" Target="revisionLog391.xml"/><Relationship Id="rId392" Type="http://schemas.openxmlformats.org/officeDocument/2006/relationships/revisionLog" Target="revisionLog392.xml"/><Relationship Id="rId393" Type="http://schemas.openxmlformats.org/officeDocument/2006/relationships/revisionLog" Target="revisionLog393.xml"/><Relationship Id="rId394" Type="http://schemas.openxmlformats.org/officeDocument/2006/relationships/revisionLog" Target="revisionLog394.xml"/><Relationship Id="rId395" Type="http://schemas.openxmlformats.org/officeDocument/2006/relationships/revisionLog" Target="revisionLog395.xml"/><Relationship Id="rId396" Type="http://schemas.openxmlformats.org/officeDocument/2006/relationships/revisionLog" Target="revisionLog396.xml"/><Relationship Id="rId397" Type="http://schemas.openxmlformats.org/officeDocument/2006/relationships/revisionLog" Target="revisionLog397.xml"/><Relationship Id="rId398" Type="http://schemas.openxmlformats.org/officeDocument/2006/relationships/revisionLog" Target="revisionLog398.xml"/><Relationship Id="rId399" Type="http://schemas.openxmlformats.org/officeDocument/2006/relationships/revisionLog" Target="revisionLog399.xml"/><Relationship Id="rId400" Type="http://schemas.openxmlformats.org/officeDocument/2006/relationships/revisionLog" Target="revisionLog400.xml"/><Relationship Id="rId401" Type="http://schemas.openxmlformats.org/officeDocument/2006/relationships/revisionLog" Target="revisionLog401.xml"/><Relationship Id="rId402" Type="http://schemas.openxmlformats.org/officeDocument/2006/relationships/revisionLog" Target="revisionLog402.xml"/><Relationship Id="rId403" Type="http://schemas.openxmlformats.org/officeDocument/2006/relationships/revisionLog" Target="revisionLog403.xml"/><Relationship Id="rId404" Type="http://schemas.openxmlformats.org/officeDocument/2006/relationships/revisionLog" Target="revisionLog404.xml"/><Relationship Id="rId405" Type="http://schemas.openxmlformats.org/officeDocument/2006/relationships/revisionLog" Target="revisionLog405.xml"/><Relationship Id="rId406" Type="http://schemas.openxmlformats.org/officeDocument/2006/relationships/revisionLog" Target="revisionLog406.xml"/><Relationship Id="rId407" Type="http://schemas.openxmlformats.org/officeDocument/2006/relationships/revisionLog" Target="revisionLog407.xml"/><Relationship Id="rId408" Type="http://schemas.openxmlformats.org/officeDocument/2006/relationships/revisionLog" Target="revisionLog408.xml"/><Relationship Id="rId409" Type="http://schemas.openxmlformats.org/officeDocument/2006/relationships/revisionLog" Target="revisionLog409.xml"/><Relationship Id="rId410" Type="http://schemas.openxmlformats.org/officeDocument/2006/relationships/revisionLog" Target="revisionLog410.xml"/><Relationship Id="rId411" Type="http://schemas.openxmlformats.org/officeDocument/2006/relationships/revisionLog" Target="revisionLog411.xml"/><Relationship Id="rId412" Type="http://schemas.openxmlformats.org/officeDocument/2006/relationships/revisionLog" Target="revisionLog412.xml"/><Relationship Id="rId413" Type="http://schemas.openxmlformats.org/officeDocument/2006/relationships/revisionLog" Target="revisionLog413.xml"/><Relationship Id="rId414" Type="http://schemas.openxmlformats.org/officeDocument/2006/relationships/revisionLog" Target="revisionLog414.xml"/><Relationship Id="rId415" Type="http://schemas.openxmlformats.org/officeDocument/2006/relationships/revisionLog" Target="revisionLog415.xml"/><Relationship Id="rId416" Type="http://schemas.openxmlformats.org/officeDocument/2006/relationships/revisionLog" Target="revisionLog416.xml"/><Relationship Id="rId417" Type="http://schemas.openxmlformats.org/officeDocument/2006/relationships/revisionLog" Target="revisionLog417.xml"/><Relationship Id="rId418" Type="http://schemas.openxmlformats.org/officeDocument/2006/relationships/revisionLog" Target="revisionLog418.xml"/><Relationship Id="rId419" Type="http://schemas.openxmlformats.org/officeDocument/2006/relationships/revisionLog" Target="revisionLog419.xml"/><Relationship Id="rId420" Type="http://schemas.openxmlformats.org/officeDocument/2006/relationships/revisionLog" Target="revisionLog420.xml"/><Relationship Id="rId421" Type="http://schemas.openxmlformats.org/officeDocument/2006/relationships/revisionLog" Target="revisionLog421.xml"/><Relationship Id="rId422" Type="http://schemas.openxmlformats.org/officeDocument/2006/relationships/revisionLog" Target="revisionLog422.xml"/><Relationship Id="rId423" Type="http://schemas.openxmlformats.org/officeDocument/2006/relationships/revisionLog" Target="revisionLog423.xml"/><Relationship Id="rId424" Type="http://schemas.openxmlformats.org/officeDocument/2006/relationships/revisionLog" Target="revisionLog424.xml"/><Relationship Id="rId425" Type="http://schemas.openxmlformats.org/officeDocument/2006/relationships/revisionLog" Target="revisionLog425.xml"/><Relationship Id="rId426" Type="http://schemas.openxmlformats.org/officeDocument/2006/relationships/revisionLog" Target="revisionLog426.xml"/><Relationship Id="rId427" Type="http://schemas.openxmlformats.org/officeDocument/2006/relationships/revisionLog" Target="revisionLog427.xml"/><Relationship Id="rId428" Type="http://schemas.openxmlformats.org/officeDocument/2006/relationships/revisionLog" Target="revisionLog428.xml"/><Relationship Id="rId429" Type="http://schemas.openxmlformats.org/officeDocument/2006/relationships/revisionLog" Target="revisionLog429.xml"/><Relationship Id="rId430" Type="http://schemas.openxmlformats.org/officeDocument/2006/relationships/revisionLog" Target="revisionLog430.xml"/><Relationship Id="rId431" Type="http://schemas.openxmlformats.org/officeDocument/2006/relationships/revisionLog" Target="revisionLog431.xml"/><Relationship Id="rId432" Type="http://schemas.openxmlformats.org/officeDocument/2006/relationships/revisionLog" Target="revisionLog432.xml"/><Relationship Id="rId433" Type="http://schemas.openxmlformats.org/officeDocument/2006/relationships/revisionLog" Target="revisionLog433.xml"/><Relationship Id="rId434" Type="http://schemas.openxmlformats.org/officeDocument/2006/relationships/revisionLog" Target="revisionLog434.xml"/><Relationship Id="rId435" Type="http://schemas.openxmlformats.org/officeDocument/2006/relationships/revisionLog" Target="revisionLog435.xml"/><Relationship Id="rId436" Type="http://schemas.openxmlformats.org/officeDocument/2006/relationships/revisionLog" Target="revisionLog436.xml"/><Relationship Id="rId437" Type="http://schemas.openxmlformats.org/officeDocument/2006/relationships/revisionLog" Target="revisionLog437.xml"/><Relationship Id="rId438" Type="http://schemas.openxmlformats.org/officeDocument/2006/relationships/revisionLog" Target="revisionLog438.xml"/><Relationship Id="rId439" Type="http://schemas.openxmlformats.org/officeDocument/2006/relationships/revisionLog" Target="revisionLog439.xml"/><Relationship Id="rId440" Type="http://schemas.openxmlformats.org/officeDocument/2006/relationships/revisionLog" Target="revisionLog440.xml"/><Relationship Id="rId441" Type="http://schemas.openxmlformats.org/officeDocument/2006/relationships/revisionLog" Target="revisionLog441.xml"/><Relationship Id="rId442" Type="http://schemas.openxmlformats.org/officeDocument/2006/relationships/revisionLog" Target="revisionLog442.xml"/><Relationship Id="rId443" Type="http://schemas.openxmlformats.org/officeDocument/2006/relationships/revisionLog" Target="revisionLog443.xml"/><Relationship Id="rId444" Type="http://schemas.openxmlformats.org/officeDocument/2006/relationships/revisionLog" Target="revisionLog444.xml"/><Relationship Id="rId445" Type="http://schemas.openxmlformats.org/officeDocument/2006/relationships/revisionLog" Target="revisionLog445.xml"/><Relationship Id="rId446" Type="http://schemas.openxmlformats.org/officeDocument/2006/relationships/revisionLog" Target="revisionLog446.xml"/><Relationship Id="rId447" Type="http://schemas.openxmlformats.org/officeDocument/2006/relationships/revisionLog" Target="revisionLog447.xml"/><Relationship Id="rId448" Type="http://schemas.openxmlformats.org/officeDocument/2006/relationships/revisionLog" Target="revisionLog448.xml"/><Relationship Id="rId449" Type="http://schemas.openxmlformats.org/officeDocument/2006/relationships/revisionLog" Target="revisionLog449.xml"/><Relationship Id="rId450" Type="http://schemas.openxmlformats.org/officeDocument/2006/relationships/revisionLog" Target="revisionLog450.xml"/><Relationship Id="rId451" Type="http://schemas.openxmlformats.org/officeDocument/2006/relationships/revisionLog" Target="revisionLog451.xml"/><Relationship Id="rId452" Type="http://schemas.openxmlformats.org/officeDocument/2006/relationships/revisionLog" Target="revisionLog452.xml"/><Relationship Id="rId453" Type="http://schemas.openxmlformats.org/officeDocument/2006/relationships/revisionLog" Target="revisionLog453.xml"/><Relationship Id="rId454" Type="http://schemas.openxmlformats.org/officeDocument/2006/relationships/revisionLog" Target="revisionLog454.xml"/><Relationship Id="rId455" Type="http://schemas.openxmlformats.org/officeDocument/2006/relationships/revisionLog" Target="revisionLog455.xml"/><Relationship Id="rId456" Type="http://schemas.openxmlformats.org/officeDocument/2006/relationships/revisionLog" Target="revisionLog456.xml"/><Relationship Id="rId457" Type="http://schemas.openxmlformats.org/officeDocument/2006/relationships/revisionLog" Target="revisionLog457.xml"/><Relationship Id="rId458" Type="http://schemas.openxmlformats.org/officeDocument/2006/relationships/revisionLog" Target="revisionLog458.xml"/><Relationship Id="rId459" Type="http://schemas.openxmlformats.org/officeDocument/2006/relationships/revisionLog" Target="revisionLog459.xml"/><Relationship Id="rId460" Type="http://schemas.openxmlformats.org/officeDocument/2006/relationships/revisionLog" Target="revisionLog460.xml"/><Relationship Id="rId461" Type="http://schemas.openxmlformats.org/officeDocument/2006/relationships/revisionLog" Target="revisionLog461.xml"/><Relationship Id="rId462" Type="http://schemas.openxmlformats.org/officeDocument/2006/relationships/revisionLog" Target="revisionLog462.xml"/><Relationship Id="rId463" Type="http://schemas.openxmlformats.org/officeDocument/2006/relationships/revisionLog" Target="revisionLog463.xml"/><Relationship Id="rId464" Type="http://schemas.openxmlformats.org/officeDocument/2006/relationships/revisionLog" Target="revisionLog464.xml"/><Relationship Id="rId465" Type="http://schemas.openxmlformats.org/officeDocument/2006/relationships/revisionLog" Target="revisionLog465.xml"/><Relationship Id="rId466" Type="http://schemas.openxmlformats.org/officeDocument/2006/relationships/revisionLog" Target="revisionLog466.xml"/><Relationship Id="rId467" Type="http://schemas.openxmlformats.org/officeDocument/2006/relationships/revisionLog" Target="revisionLog467.xml"/><Relationship Id="rId468" Type="http://schemas.openxmlformats.org/officeDocument/2006/relationships/revisionLog" Target="revisionLog468.xml"/><Relationship Id="rId469" Type="http://schemas.openxmlformats.org/officeDocument/2006/relationships/revisionLog" Target="revisionLog469.xml"/><Relationship Id="rId470" Type="http://schemas.openxmlformats.org/officeDocument/2006/relationships/revisionLog" Target="revisionLog470.xml"/><Relationship Id="rId471" Type="http://schemas.openxmlformats.org/officeDocument/2006/relationships/revisionLog" Target="revisionLog471.xml"/><Relationship Id="rId472" Type="http://schemas.openxmlformats.org/officeDocument/2006/relationships/revisionLog" Target="revisionLog472.xml"/><Relationship Id="rId473" Type="http://schemas.openxmlformats.org/officeDocument/2006/relationships/revisionLog" Target="revisionLog473.xml"/><Relationship Id="rId474" Type="http://schemas.openxmlformats.org/officeDocument/2006/relationships/revisionLog" Target="revisionLog474.xml"/><Relationship Id="rId475" Type="http://schemas.openxmlformats.org/officeDocument/2006/relationships/revisionLog" Target="revisionLog475.xml"/><Relationship Id="rId476" Type="http://schemas.openxmlformats.org/officeDocument/2006/relationships/revisionLog" Target="revisionLog476.xml"/><Relationship Id="rId477" Type="http://schemas.openxmlformats.org/officeDocument/2006/relationships/revisionLog" Target="revisionLog477.xml"/><Relationship Id="rId478" Type="http://schemas.openxmlformats.org/officeDocument/2006/relationships/revisionLog" Target="revisionLog478.xml"/><Relationship Id="rId479" Type="http://schemas.openxmlformats.org/officeDocument/2006/relationships/revisionLog" Target="revisionLog479.xml"/><Relationship Id="rId480" Type="http://schemas.openxmlformats.org/officeDocument/2006/relationships/revisionLog" Target="revisionLog480.xml"/><Relationship Id="rId481" Type="http://schemas.openxmlformats.org/officeDocument/2006/relationships/revisionLog" Target="revisionLog481.xml"/><Relationship Id="rId482" Type="http://schemas.openxmlformats.org/officeDocument/2006/relationships/revisionLog" Target="revisionLog482.xml"/><Relationship Id="rId483" Type="http://schemas.openxmlformats.org/officeDocument/2006/relationships/revisionLog" Target="revisionLog483.xml"/><Relationship Id="rId484" Type="http://schemas.openxmlformats.org/officeDocument/2006/relationships/revisionLog" Target="revisionLog484.xml"/><Relationship Id="rId485" Type="http://schemas.openxmlformats.org/officeDocument/2006/relationships/revisionLog" Target="revisionLog485.xml"/><Relationship Id="rId486" Type="http://schemas.openxmlformats.org/officeDocument/2006/relationships/revisionLog" Target="revisionLog486.xml"/><Relationship Id="rId487" Type="http://schemas.openxmlformats.org/officeDocument/2006/relationships/revisionLog" Target="revisionLog487.xml"/><Relationship Id="rId488" Type="http://schemas.openxmlformats.org/officeDocument/2006/relationships/revisionLog" Target="revisionLog488.xml"/><Relationship Id="rId489" Type="http://schemas.openxmlformats.org/officeDocument/2006/relationships/revisionLog" Target="revisionLog489.xml"/><Relationship Id="rId490" Type="http://schemas.openxmlformats.org/officeDocument/2006/relationships/revisionLog" Target="revisionLog490.xml"/>
</Relationships>
</file>

<file path=xl/revisions/revisionHeaders.xml><?xml version="1.0" encoding="utf-8"?>
<headers xmlns="http://schemas.openxmlformats.org/spreadsheetml/2006/main" xmlns:r="http://schemas.openxmlformats.org/officeDocument/2006/relationships" guid="{3A812C5D-9310-4BD8-B8DC-B5A54489A35F}">
  <header guid="{E1F0255B-4210-4157-AEDB-61877881A8F1}" dateTime="2021-03-11T09:04:00.000000000Z" userName="Yi Fan Liu" r:id="rId1" minRId="1" maxRId="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3D423A5-6BBB-47FB-964A-DE107E96A4BE}" dateTime="2021-03-08T09:02:00.000000000Z" userName="Yi Fan Liu" r:id="rId2" minRId="7" maxRId="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326B490-483E-47E3-B211-C5DEDC54753D}" dateTime="2021-02-23T14:12:00.000000000Z" userName="Gordon Y P Mak" r:id="rId3" minRId="9" maxRId="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AA25018-427B-408D-8938-1E2A2291FAB1}" dateTime="2021-02-24T08:56:00.000000000Z" userName="Yi Fan Liu" r:id="rId4" minRId="10" maxRId="1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0CD5F93-6D74-494B-964D-EC5E80BBAE65}" dateTime="2021-03-12T09:11:00.000000000Z" userName="Yi Fan Liu" r:id="rId5" minRId="12" maxRId="1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1E1D840-3D4C-4E95-8B76-358E75B41FC6}" dateTime="2021-03-11T08:51:00.000000000Z" userName="Run Si Mao" r:id="rId6" minRId="14" maxRId="1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3E0AFAB-41BB-49B0-9155-8DCB65B1FE69}" dateTime="2021-03-11T08:52:00.000000000Z" userName="Yi Fan Liu" r:id="rId7" minRId="15" maxRId="1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763F196-5D98-4C4F-ABE5-5991FFBDEC23}" dateTime="2021-02-26T11:33:00.000000000Z" userName="Yi Fan Liu" r:id="rId8" minRId="16" maxRId="1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6C97FE5-DDAC-4BE1-9235-401B35720022}" dateTime="2021-03-08T16:19:00.000000000Z" userName="Yi Fan Liu" r:id="rId9" minRId="19" maxRId="2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C616102-C3F7-4740-AB4F-62D1524AC6AB}" dateTime="2021-03-12T09:23:00.000000000Z" userName="Yi Fan Liu" r:id="rId10" minRId="21" maxRId="2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79A9A4F-F503-497B-A274-E3C77339F21A}" dateTime="2021-03-09T07:57:00.000000000Z" userName="Run Si Mao" r:id="rId11" minRId="22" maxRId="2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EABCE73-D09C-4BC5-8B40-DE8CC6572F58}" dateTime="2021-03-11T08:53:00.000000000Z" userName="Yi Fan Liu" r:id="rId12" minRId="23" maxRId="2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433C83A-EC3F-43B7-AA75-E9057B444BD2}" dateTime="2021-03-03T10:04:00.000000000Z" userName="Yi Fan Liu" r:id="rId13" minRId="25" maxRId="2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28D3701-5E81-46D6-8375-8E29F04DA6F4}" dateTime="2021-03-11T08:54:00.000000000Z" userName="Yi Fan Liu" r:id="rId14" minRId="29" maxRId="2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DCDC4F1-D163-4B0F-A323-41C9E1EB772C}" dateTime="2021-03-01T08:40:00.000000000Z" userName="Yi Fan Liu" r:id="rId15" minRId="30" maxRId="3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684452B-5A85-496A-96CC-C604CB72B392}" dateTime="2021-02-26T09:02:00.000000000Z" userName="Yi Fan Liu" r:id="rId16" minRId="36" maxRId="3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C01E691-E729-44FF-8930-AB28F61FB28B}" dateTime="2021-03-03T08:57:00.000000000Z" userName="Run Si Mao" r:id="rId17" minRId="38" maxRId="3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C6A481C-CEED-45C1-9E81-AE658339FF7B}" dateTime="2021-02-17T09:27:00.000000000Z" userName="Yi Fan Liu" r:id="rId18" minRId="40" maxRId="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59ECD47-5DED-4D74-8056-08A7D12A7158}" dateTime="2021-03-04T08:49:00.000000000Z" userName="Yi Fan Liu" r:id="rId19" minRId="41" maxRId="4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6471CF2-30D6-4A1A-AC30-38D5E793818F}" dateTime="2021-02-16T17:22:00.000000000Z" userName="Yi Fan Liu" r:id="rId20" minRId="46" maxRId="4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3BB3717-E459-419C-A17A-BD59FD8BA3C8}" dateTime="2021-02-17T09:26:00.000000000Z" userName="Yi Fan Liu" r:id="rId21" minRId="49" maxRId="5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11C9D9D-4D04-4641-A3F5-C326C2795092}" dateTime="2021-03-11T08:56:00.000000000Z" userName="Yi Fan Liu" r:id="rId22" minRId="51" maxRId="5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975898C-D298-4F4E-8D3B-D6061CD6D48C}" dateTime="2021-03-15T10:41:00.000000000Z" userName="Colin" r:id="rId23" minRId="54" maxRId="5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6070B47-D9D5-46EF-B2DE-D7AC0F71EACE}" dateTime="2021-03-11T09:09:00.000000000Z" userName="Yi Fan Liu" r:id="rId24" minRId="55" maxRId="5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448984B-3EBC-47AB-8DAF-233A848DBDBA}" dateTime="2021-03-11T08:57:00.000000000Z" userName="Run Si Mao" r:id="rId25" minRId="57" maxRId="7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B06DDCF-E6A3-418E-81AB-E240C6772D89}" dateTime="2021-03-11T08:58:00.000000000Z" userName="Yi Fan Liu" r:id="rId26" minRId="72" maxRId="7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BD8487C-629B-4C92-A847-B418D9B1DB64}" dateTime="2021-02-23T14:13:00.000000000Z" userName="Gordon Y P Mak" r:id="rId27" minRId="75" maxRId="7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EC630A9-8FA4-41CC-BB00-88D3E309BDE0}" dateTime="2021-02-18T15:39:00.000000000Z" userName="Gordon Y P Mak" r:id="rId28" minRId="76" maxRId="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E8D5AA8-D2C8-43A5-91BF-EAC9C247312C}" dateTime="2021-03-03T08:58:00.000000000Z" userName="Yi Fan Liu" r:id="rId29" minRId="77" maxRId="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F506365-0729-41A1-AF01-1E0B1A2B91F5}" dateTime="2023-12-11T15:53:00.000000000Z" userName=" " r:id="rId30" minRId="79" maxRId="8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05EFB49-C845-45FB-B45E-81ABA54ECCDC}" dateTime="2021-02-16T14:56:00.000000000Z" userName="Yi Fan Liu" r:id="rId31" minRId="81" maxRId="8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F753DA1-F8F4-47F8-BDE5-12FF0F259AC5}" dateTime="2021-02-18T09:13:00.000000000Z" userName="Yi Fan Liu" r:id="rId32" minRId="82" maxRId="8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53BECA2-81F6-4BD0-8FD4-B383A8C6E845}" dateTime="2021-02-24T09:22:00.000000000Z" userName="Gordon Y P Mak" r:id="rId33" minRId="85" maxRId="9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57C33A4-DDB8-4164-A91F-0F8437BA7CA5}" dateTime="2021-02-23T18:36:00.000000000Z" userName="Yi Fan Liu" r:id="rId34" minRId="100" maxRId="10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287B889-041A-4AE8-A718-193A344498BB}" dateTime="2021-02-26T09:36:00.000000000Z" userName="Yi Fan Liu" r:id="rId35" minRId="104" maxRId="10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DDAFE55-3461-4E16-8853-76E8DF9D88D1}" dateTime="2021-02-26T11:34:00.000000000Z" userName="Yi Fan Liu" r:id="rId36" minRId="105" maxRId="1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F92E514-4075-4F7D-9DDF-7065EC0299BD}" dateTime="2021-02-16T14:58:00.000000000Z" userName="Yi Fan Liu" r:id="rId37" minRId="106" maxRId="10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0755979-646D-419D-8EBE-AC9B00C67F9B}" dateTime="2021-03-11T09:15:00.000000000Z" userName="Run Si Mao" r:id="rId38" minRId="107" maxRId="1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72DC228-0E18-4A94-9178-63393D0E46C3}" dateTime="2021-02-16T14:59:00.000000000Z" userName="Yi Fan Liu" r:id="rId39" minRId="108" maxRId="1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1F0C596-3346-42FC-A356-AE411B7262A8}" dateTime="2021-03-03T10:06:00.000000000Z" userName="Yi Fan Liu" r:id="rId40" minRId="109" maxRId="1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93D740F-AD96-4B74-B8E9-8BC58118B237}" dateTime="2021-03-03T09:00:00.000000000Z" userName="Yi Fan Liu" r:id="rId41" minRId="111" maxRId="1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EB9583A-FDF0-4CED-B6A7-A74C40D905B9}" dateTime="2021-02-16T15:00:00.000000000Z" userName="Yi Fan Liu" r:id="rId42" minRId="113" maxRId="11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8EC8E5E-BD8D-483F-BA79-18B21E96F0EE}" dateTime="2021-02-16T15:02:00.000000000Z" userName="Yi Fan Liu" r:id="rId43" minRId="115" maxRId="11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6420C7A-2D43-4F6B-BCF8-724FB222E6C7}" dateTime="2021-02-18T15:41:00.000000000Z" userName="Gordon Y P Mak" r:id="rId44" minRId="117" maxRId="1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264931B-CC12-4B65-A0E3-2418335958F1}" dateTime="2021-02-17T08:54:00.000000000Z" userName="Yi Fan Liu" r:id="rId45" minRId="118" maxRId="12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D094F4C-331C-4D2D-B1EB-6F0F1377F1FC}" dateTime="2021-03-12T09:29:00.000000000Z" userName="Yi Fan Liu" r:id="rId46" minRId="121" maxRId="12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413DC04-4068-4129-A12C-A2B58AAFB2C8}" dateTime="2021-03-01T12:56:00.000000000Z" userName="Yi Fan Liu" r:id="rId47" minRId="123" maxRId="12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910B34A-39D1-4EAA-A0DA-51C22EA31672}" dateTime="2021-02-16T15:03:00.000000000Z" userName="Yi Fan Liu" r:id="rId48" minRId="126" maxRId="12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08040E6-F65D-49A9-A649-51A2055752DC}" dateTime="2021-02-24T09:55:00.000000000Z" userName="Gordon Y P Mak" r:id="rId49" minRId="127" maxRId="12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5F59F85-16E0-492E-8DF9-DD7D8B6246F4}" dateTime="2021-03-08T18:42:00.000000000Z" userName="Yi Fan Liu" r:id="rId50" minRId="128" maxRId="12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F640CA0-4324-46FD-BCEA-53E1123DCE8F}" dateTime="2021-02-16T15:04:00.000000000Z" userName="Yi Fan Liu" r:id="rId51" minRId="130" maxRId="13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1DB9980-BB52-4255-A4EB-9FD6C99DA587}" dateTime="2021-02-16T15:06:00.000000000Z" userName="Yi Fan Liu" r:id="rId52" minRId="132" maxRId="13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B84CC81-B02B-4D5D-A552-DB2FF594F654}" dateTime="2021-03-12T09:21:00.000000000Z" userName="Yi Fan Liu" r:id="rId53" minRId="133" maxRId="13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700899A-34EF-42D1-A728-77D65A451D64}" dateTime="2021-03-11T09:02:00.000000000Z" userName="Yi Fan Liu" r:id="rId54" minRId="135" maxRId="13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BCE762D-5AB9-452E-9080-E3D75FDB55D5}" dateTime="2021-03-01T08:41:00.000000000Z" userName="Yi Fan Liu" r:id="rId55" minRId="137" maxRId="13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61A7FB6-8AF6-4416-AF3D-1E5163D48EF7}" dateTime="2021-02-16T15:10:00.000000000Z" userName="Yi Fan Liu" r:id="rId56" minRId="140" maxRId="1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A88E7D5-27FD-40EB-9273-0B9272630C17}" dateTime="2021-02-23T14:08:00.000000000Z" userName="Gordon Y P Mak" r:id="rId57" minRId="141" maxRId="15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2FE0B26-D72A-45C8-9FB6-76B614742EFF}" dateTime="2021-02-18T09:06:00.000000000Z" userName="Yi Fan Liu" r:id="rId58" minRId="158" maxRId="15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4328C29-FF44-48F4-A361-FA4F32319404}" dateTime="2021-02-24T08:44:00.000000000Z" userName="Yi Fan Liu" r:id="rId59" minRId="160" maxRId="3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B4BE33E-7DF2-4DAF-A567-4E77B6961E43}" dateTime="2021-03-01T12:57:00.000000000Z" userName="Yi Fan Liu" r:id="rId60" minRId="320" maxRId="32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327BCAD-DCB3-4EFA-8299-3477D1B8121E}" dateTime="2021-02-16T15:11:00.000000000Z" userName="Yi Fan Liu" r:id="rId61" minRId="322" maxRId="32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8B756D7-C980-433D-8306-CFA4194D6442}" dateTime="2021-02-24T08:57:00.000000000Z" userName="Yi Fan Liu" r:id="rId62" minRId="323" maxRId="32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7053DEE-DE13-430F-9459-51416304A3CC}" dateTime="2021-02-17T08:49:00.000000000Z" userName="Yi Fan Liu" r:id="rId63" minRId="326" maxRId="32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32DD8CB-C185-4678-BEFF-CCC75FE11F30}" dateTime="2021-02-26T09:26:00.000000000Z" userName="Yi Fan Liu" r:id="rId64" minRId="328" maxRId="32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BCF9A6F-5726-4B92-B712-D364645E8ECF}" dateTime="2021-02-26T09:03:00.000000000Z" userName="Yi Fan Liu" r:id="rId65" minRId="330" maxRId="33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BFF857C-EC90-433F-84B6-48AAACDF2214}" dateTime="2021-02-16T16:20:00.000000000Z" userName="Yi Fan Liu" r:id="rId66" minRId="332" maxRId="33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291952E-D547-4E5F-A377-C00D3EEB39E0}" dateTime="2021-02-16T16:21:00.000000000Z" userName="Yi Fan Liu" r:id="rId67" minRId="334" maxRId="33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369C573-6AC8-4306-BD8B-0A7019FE6100}" dateTime="2023-05-29T12:12:00.000000000Z" userName=" " r:id="rId68" minRId="336" maxRId="33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39137DF-2FAD-4243-A16C-CA22D03E3E1B}" dateTime="2021-02-22T18:47:00.000000000Z" userName="Yi Fan Liu" r:id="rId69" minRId="337" maxRId="33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2DCB6DC-93E9-4A72-B07A-68085E21211E}" dateTime="2021-03-11T09:17:00.000000000Z" userName="Yi Fan Liu" r:id="rId70" minRId="340" maxRId="3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A624BD2-9AED-49B1-83D7-480B1DC55AA4}" dateTime="2023-05-27T18:11:00.000000000Z" userName=" " r:id="rId71" minRId="341" maxRId="35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D973965-EA31-489D-BA98-CDFF8788959F}" dateTime="2021-02-16T16:23:00.000000000Z" userName="Yi Fan Liu" r:id="rId72" minRId="356" maxRId="35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06F9710-7AA8-4EBB-AACF-9246611D2459}" dateTime="2021-03-03T09:28:00.000000000Z" userName="Run Si Mao" r:id="rId73" minRId="357" maxRId="35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1F193B9-24EC-4883-AE09-CC57DA87C97E}" dateTime="2021-02-16T16:25:00.000000000Z" userName="Yi Fan Liu" r:id="rId74" minRId="358" maxRId="35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B057332-9BDC-475A-8A5D-7124CC6F7CE7}" dateTime="2021-02-16T16:28:00.000000000Z" userName="Yi Fan Liu" r:id="rId75" minRId="360" maxRId="36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E820001-43EF-4303-92A2-C7BD1B07EA1F}" dateTime="2021-03-12T09:14:00.000000000Z" userName="Yi Fan Liu" r:id="rId76" minRId="362" maxRId="36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8BA1D6C-B4C5-4B22-BBBE-268767C3CD7E}" dateTime="2023-05-29T20:45:00.000000000Z" userName=" " r:id="rId77" minRId="363" maxRId="36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2D3F822-7F3C-49B5-BBA5-661FC608D9BA}" dateTime="2021-02-24T09:56:00.000000000Z" userName="Gordon Y P Mak" r:id="rId78" minRId="364" maxRId="36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95EC758-9AC4-49CB-936B-2A5A58B189CA}" dateTime="2021-02-26T09:07:00.000000000Z" userName="Yi Fan Liu" r:id="rId79" minRId="365" maxRId="36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77AD64A-9D80-4E61-B6FF-4EAB7AEA7BCA}" dateTime="2021-03-03T09:01:00.000000000Z" userName="Yi Fan Liu" r:id="rId80" minRId="368" maxRId="36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AC80D35-D4ED-4B5D-ADC6-87DD86987C6D}" dateTime="2021-02-16T16:29:00.000000000Z" userName="Yi Fan Liu" r:id="rId81" minRId="370" maxRId="37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F722751-2675-459A-8266-9D5734C37DB1}" dateTime="2021-02-16T16:30:00.000000000Z" userName="Yi Fan Liu" r:id="rId82" minRId="371" maxRId="37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3A8E981-2667-451E-9CED-E3BF68FEE896}" dateTime="2021-02-16T16:31:00.000000000Z" userName="Yi Fan Liu" r:id="rId83" minRId="372" maxRId="37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3B3DB47-F931-4C09-B079-3C38BC2F5AEF}" dateTime="2021-03-03T10:08:00.000000000Z" userName="Yi Fan Liu" r:id="rId84" minRId="374" maxRId="37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A059874-834F-4751-AB30-7DE65F7B4014}" dateTime="2021-02-24T08:52:00.000000000Z" userName="Yi Fan Liu" r:id="rId85" minRId="376" maxRId="3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7FCEBDC-0953-4FCC-B57E-DA84F93B92FB}" dateTime="2021-03-09T08:58:00.000000000Z" userName="Yi Fan Liu" r:id="rId86" minRId="377" maxRId="3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54561B1-3B08-4196-B539-F48F7A5E2F97}" dateTime="2021-02-26T09:34:00.000000000Z" userName="Yi Fan Liu" r:id="rId87" minRId="379" maxRId="38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ACB150E-0C69-4D5B-9BC4-F872E00C2FA6}" dateTime="2021-02-16T08:46:00.000000000Z" userName="Yi Fan Liu" r:id="rId88" minRId="382" maxRId="54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129AE10-BD44-4759-833C-1699481A5EFA}" dateTime="2021-03-04T08:54:00.000000000Z" userName="Yi Fan Liu" r:id="rId89" minRId="546" maxRId="54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71CDC32-0300-4393-BE36-E71BCA455601}" dateTime="2021-03-12T09:39:00.000000000Z" userName="Run Si Mao" r:id="rId90" minRId="549" maxRId="54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EA31479-ED4B-410E-B7F1-E5BD0488595E}" dateTime="2021-02-18T09:07:00.000000000Z" userName="Gordon Y P Mak" r:id="rId91" minRId="550" maxRId="55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6F92390-10C3-45FD-89B4-07C7D88BD21C}" dateTime="2021-02-16T16:32:00.000000000Z" userName="Yi Fan Liu" r:id="rId92" minRId="551" maxRId="55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8E8D931-B9B7-473F-862A-2B632DD3BE75}" dateTime="2021-03-01T08:34:00.000000000Z" userName="Yi Fan Liu" r:id="rId93" minRId="553" maxRId="76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88CED33-E193-4351-8A98-45A2E95E423C}" dateTime="2021-02-24T10:35:00.000000000Z" userName="Gordon Y P Mak" r:id="rId94" minRId="763" maxRId="76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9A63F7B-271A-4838-BF76-2BFC42ADAE0F}" dateTime="2021-02-16T16:34:00.000000000Z" userName="Yi Fan Liu" r:id="rId95" minRId="764" maxRId="76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A632F96-E7A7-42DB-9EA0-466FB4234B17}" dateTime="2021-02-16T09:13:00.000000000Z" userName="Yi Fan Liu" r:id="rId96" minRId="765" maxRId="76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E63E6E9-1927-4469-9807-FD2CB81D194F}" dateTime="2021-02-16T16:35:00.000000000Z" userName="Yi Fan Liu" r:id="rId97" minRId="768" maxRId="76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3A9D3E9-023A-4802-ADEC-7696E98DA58F}" dateTime="2021-02-16T16:47:00.000000000Z" userName="Yi Fan Liu" r:id="rId98" minRId="769" maxRId="77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A92E870-9E0B-4FC3-A84F-B40057ED7077}" dateTime="2021-03-01T12:58:00.000000000Z" userName="Yi Fan Liu" r:id="rId99" minRId="772" maxRId="77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6A9C260-0FE5-4761-9E02-1B6B20F2C913}" dateTime="2021-03-11T09:18:00.000000000Z" userName="Yi Fan Liu" r:id="rId100" minRId="773" maxRId="77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4FA5728-BB8B-4D22-8BF4-705BCAF2DA68}" dateTime="2021-03-01T09:44:00.000000000Z" userName="Yi Fan Liu" r:id="rId101" minRId="776" maxRId="7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3DDE790-BC4B-4EAA-AA88-AA1279B3F6EE}" dateTime="2021-03-12T09:26:00.000000000Z" userName="Yi Fan Liu" r:id="rId102" minRId="777" maxRId="77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A533808-6488-4891-AAD3-765A89567D52}" dateTime="2021-03-01T08:42:00.000000000Z" userName="Yi Fan Liu" r:id="rId103" minRId="780" maxRId="78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8EAAAAF-EB71-49B4-9B2C-CFDF8F615CE1}" dateTime="2021-02-16T16:49:00.000000000Z" userName="Yi Fan Liu" r:id="rId104" minRId="782" maxRId="78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877B5CB-A026-4D46-BE7A-6BB4A76CD5B9}" dateTime="2021-02-16T16:50:00.000000000Z" userName="Yi Fan Liu" r:id="rId105" minRId="783" maxRId="7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6165664-2ED1-4E68-8ADE-51B5E524319C}" dateTime="2021-03-03T19:07:00.000000000Z" userName="Yi Fan Liu" r:id="rId106" minRId="786" maxRId="78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AA85C3F-2E32-4E2A-A013-AEFEED5E6A6B}" dateTime="2021-02-16T09:11:00.000000000Z" userName="Yi Fan Liu" r:id="rId107" minRId="790" maxRId="79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C2EB01F-862B-4C17-8372-5FC53B5E987F}" dateTime="2021-02-16T09:17:00.000000000Z" userName="Yi Fan Liu" r:id="rId108" minRId="793" maxRId="79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F19E63D-32B1-4A6B-9D51-CFB78AD18514}" dateTime="2021-03-11T09:23:00.000000000Z" userName="Yi Fan Liu" r:id="rId109" minRId="796" maxRId="79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5F54860-4506-4CA2-A04E-106D99437A3A}" dateTime="2021-02-16T16:58:00.000000000Z" userName="Yi Fan Liu" r:id="rId110" minRId="797" maxRId="79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E9C8525-F32C-4F86-85FC-7D76C56631A9}" dateTime="2021-03-04T08:34:00.000000000Z" userName="Yi Fan Liu" r:id="rId111" minRId="798" maxRId="79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310ACDC-705F-4927-8895-F36137797315}" dateTime="2021-03-02T17:24:00.000000000Z" userName="Yi Fan Liu" r:id="rId112" minRId="800" maxRId="80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ECF20E3-AE23-4789-9252-EECED929EC21}" dateTime="2021-03-08T09:04:00.000000000Z" userName="Yi Fan Liu" r:id="rId113" minRId="802" maxRId="80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0366156-2ABE-4939-9423-B0D75BD3FDCF}" dateTime="2021-03-12T09:00:00.000000000Z" userName="Yi Fan Liu" r:id="rId114" minRId="804" maxRId="8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C3E32D3-21C7-450B-8EB4-CCCBE2E4EEF5}" dateTime="2021-03-09T09:10:00.000000000Z" userName="Yi Fan Liu" r:id="rId115" minRId="806" maxRId="8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BD0C4CD-8CCB-49D0-8E19-F728E401FBAD}" dateTime="2021-02-16T17:03:00.000000000Z" userName="Yi Fan Liu" r:id="rId116" minRId="808" maxRId="8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AFE0FC5-EB4E-40F9-BE08-954847945FB2}" dateTime="2021-03-12T08:35:00.000000000Z" userName="Yi Fan Liu" r:id="rId117" minRId="809" maxRId="10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F18B308-F2AD-4F8D-80CA-9D685FAEDDD9}" dateTime="2021-02-24T08:54:00.000000000Z" userName="Yi Fan Liu" r:id="rId118" minRId="1009" maxRId="101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9FCF03B-A7D6-43AB-8B83-F01E9A2050E5}" dateTime="2021-02-16T17:04:00.000000000Z" userName="Yi Fan Liu" r:id="rId119" minRId="1012" maxRId="10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BA95980-02BD-455F-9E58-AD58A0C53CAF}" dateTime="2021-03-11T09:25:00.000000000Z" userName="Yi Fan Liu" r:id="rId120" minRId="1013" maxRId="101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79355D2-766A-4E6B-A5EF-B31FDF6A3EE9}" dateTime="2021-02-16T17:06:00.000000000Z" userName="Yi Fan Liu" r:id="rId121" minRId="1016" maxRId="10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134EA85-A0B2-4C07-951F-09607D4BAA34}" dateTime="2021-02-16T17:07:00.000000000Z" userName="Yi Fan Liu" r:id="rId122" minRId="1018" maxRId="10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E80C436-81DC-4FB6-8B9E-2DBA72EF9095}" dateTime="2021-02-22T15:59:00.000000000Z" userName="Gordon Y P Mak" r:id="rId123" minRId="1020" maxRId="103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EF6D8BD-5F26-425C-898A-F9FA873221CF}" dateTime="2021-03-08T09:06:00.000000000Z" userName="Yi Fan Liu" r:id="rId124" minRId="1035" maxRId="103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94B0A41-D0D5-49FE-A747-18E6BEB04DC8}" dateTime="2021-03-01T08:51:00.000000000Z" userName="Yi Fan Liu" r:id="rId125" minRId="1038" maxRId="103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5E074FB-E4DB-487A-9993-36D1A8A468B7}" dateTime="2023-12-11T18:28:00.000000000Z" userName=" " r:id="rId126" minRId="1039" maxRId="103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4DB07F3-BD01-4D7A-8ABB-900034DD8ED3}" dateTime="2023-05-29T12:59:00.000000000Z" userName=" " r:id="rId127" minRId="1040" maxRId="10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5B77172-BAAB-4BC1-9ED6-BD2371E917A2}" dateTime="2021-02-17T09:05:00.000000000Z" userName="Yi Fan Liu" r:id="rId128" minRId="1041" maxRId="104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9F2DCD7-A1A3-497E-A3DB-3789D6A0E116}" dateTime="2023-12-11T18:30:00.000000000Z" userName=" " r:id="rId129" minRId="1043" maxRId="104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8A300CE-B625-4E12-8C9F-BA7C875E1EDA}" dateTime="2021-02-18T15:44:00.000000000Z" userName="Gordon Y P Mak" r:id="rId130" minRId="1044" maxRId="104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9946842-00BB-4BA2-A599-94F904546C91}" dateTime="2021-03-01T09:05:00.000000000Z" userName="Run Si Mao" r:id="rId131" minRId="1045" maxRId="104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614118A-B1A9-45A1-B4CD-22430BEE9EDF}" dateTime="2021-03-04T08:25:00.000000000Z" userName="Yi Fan Liu" r:id="rId132" minRId="1046" maxRId="124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C5BB33A-4330-4481-BF61-490901A35C90}" dateTime="2021-02-18T18:34:00.000000000Z" userName="Yi Fan Liu" r:id="rId133" minRId="1244" maxRId="124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DAA65D5-16B3-4734-95AF-D5037B2429A7}" dateTime="2021-03-11T09:29:00.000000000Z" userName="Yi Fan Liu" r:id="rId134" minRId="1247" maxRId="124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D42054D-3594-4FE7-B030-B524425AEC82}" dateTime="2021-03-08T09:07:00.000000000Z" userName="Yi Fan Liu" r:id="rId135" minRId="1249" maxRId="124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E601A02-F1E6-48DC-8E23-9093F7390DC6}" dateTime="2021-02-19T08:54:00.000000000Z" userName="Yi Fan Liu" r:id="rId136" minRId="1250" maxRId="14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6F30640-4F4B-4A34-AC38-B81143D9EFC7}" dateTime="2021-03-09T08:22:00.000000000Z" userName="Yi Fan Liu" r:id="rId137" minRId="1411" maxRId="16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1F58C43-91F5-4915-B203-CA65A09BA0AF}" dateTime="2021-02-24T10:36:00.000000000Z" userName="Gordon Y P Mak" r:id="rId138" minRId="1608" maxRId="16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D9CCA27-D0BB-4415-AF94-33DFF0F93255}" dateTime="2021-02-17T09:11:00.000000000Z" userName="Yi Fan Liu" r:id="rId139" minRId="1609" maxRId="160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DD794B7-CB34-4521-98FB-CF829904318F}" dateTime="2021-02-17T09:12:00.000000000Z" userName="Yi Fan Liu" r:id="rId140" minRId="1610" maxRId="16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C2017F4-F976-47A2-AB71-01B27B3792B3}" dateTime="2021-02-16T17:38:00.000000000Z" userName="Yi Fan Liu" r:id="rId141" minRId="1611" maxRId="16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B531F71-3E6B-4A0B-A18E-70ABD048972E}" dateTime="2021-03-01T12:59:00.000000000Z" userName="Yi Fan Liu" r:id="rId142" minRId="1613" maxRId="161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DB8A15D-83CE-4C94-A54F-DF62CFC5CF27}" dateTime="2021-02-19T09:21:00.000000000Z" userName="Yi Fan Liu" r:id="rId143" minRId="1615" maxRId="16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5A6CD4C-EBD5-4462-8FB7-8CEC10E44830}" dateTime="2021-02-19T09:23:00.000000000Z" userName="Yi Fan Liu" r:id="rId144" minRId="1618" maxRId="16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218CF8F-E2DB-4BFB-A67F-CE72C4559E07}" dateTime="2021-02-16T09:14:00.000000000Z" userName="Yi Fan Liu" r:id="rId145" minRId="1620" maxRId="162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CA3547E-6452-425D-AC23-8DC2F0F63497}" dateTime="2021-03-08T09:10:00.000000000Z" userName="Yi Fan Liu" r:id="rId146" minRId="1621" maxRId="162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8608CF5-14E6-4ADD-A4E9-EE3DA5EC7805}" dateTime="2021-02-19T09:25:00.000000000Z" userName="Yi Fan Liu" r:id="rId147" minRId="1625" maxRId="162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C696CB9-13C0-423C-A750-231AB51FC82C}" dateTime="2021-02-19T09:45:00.000000000Z" userName="Yi Fan Liu" r:id="rId148" minRId="1626" maxRId="163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E89484E-91B4-4F89-AD54-983D409FD713}" dateTime="2021-02-16T17:09:00.000000000Z" userName="Yi Fan Liu" r:id="rId149" minRId="1631" maxRId="163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92A2FFA-5538-41B4-9944-B7C59E27D385}" dateTime="2021-03-04T08:35:00.000000000Z" userName="Yi Fan Liu" r:id="rId150" minRId="1632" maxRId="163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34CF26D-5ECF-4137-9253-EA9CA501BE25}" dateTime="2021-02-19T09:46:00.000000000Z" userName="Yi Fan Liu" r:id="rId151" minRId="1634" maxRId="163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7254E03-9325-43F9-87A2-C5B2474404AA}" dateTime="2021-03-04T08:55:00.000000000Z" userName="Yi Fan Liu" r:id="rId152" minRId="1635" maxRId="163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98AD2E3-6FBD-40B4-AD38-52E146859C8F}" dateTime="2021-02-24T08:59:00.000000000Z" userName="Yi Fan Liu" r:id="rId153" minRId="1637" maxRId="163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60850E5-06E5-4319-85E7-A0887FCFADA8}" dateTime="2021-03-01T09:47:00.000000000Z" userName="Run Si Mao" r:id="rId154" minRId="1639" maxRId="163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E08427D-4751-4ECA-B8DA-3058484676A1}" dateTime="2021-03-01T13:02:00.000000000Z" userName="Yi Fan Liu" r:id="rId155" minRId="1640" maxRId="16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DC42727-6E23-4E32-9CA1-2033E5E5F2AA}" dateTime="2021-03-01T09:06:00.000000000Z" userName="Yi Fan Liu" r:id="rId156" minRId="1641" maxRId="164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09E51B1-F300-45A9-865D-D4B7146BD619}" dateTime="2021-03-02T22:03:00.000000000Z" userName="Yi Fan Liu" r:id="rId157" minRId="1643" maxRId="164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14D4CE9-B5A8-430E-B2DA-F21778E504DD}" dateTime="2021-02-19T09:47:00.000000000Z" userName="Gordon Y P Mak" r:id="rId158" minRId="1646" maxRId="166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3D86259-E133-488A-A257-93E1E96302B0}" dateTime="2021-03-03T09:12:00.000000000Z" userName="Yi Fan Liu" r:id="rId159" minRId="1663" maxRId="166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AF99BDE-0661-4AAD-9A76-388910C16FEA}" dateTime="2021-02-19T09:48:00.000000000Z" userName="Yi Fan Liu" r:id="rId160" minRId="1666" maxRId="166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C627512-6549-447B-8AE5-C53542CED368}" dateTime="2021-02-19T09:49:00.000000000Z" userName="Yi Fan Liu" r:id="rId161" minRId="1667" maxRId="166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4CFC762-B698-4055-B509-2C6FF57826CD}" dateTime="2021-02-26T09:24:00.000000000Z" userName="Yi Fan Liu" r:id="rId162" minRId="1668" maxRId="167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38B5CFB-1C38-49C0-AA93-4D5857FD1C99}" dateTime="2021-02-19T09:51:00.000000000Z" userName="Yi Fan Liu" r:id="rId163" minRId="1674" maxRId="16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7575A06-0556-479D-A773-BFDF96C60BB5}" dateTime="2021-03-08T18:47:00.000000000Z" userName="Run Si Mao" r:id="rId164" minRId="1677" maxRId="167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ED60607-0214-4E2F-86F5-D0546827E072}" dateTime="2021-02-16T17:12:00.000000000Z" userName="Yi Fan Liu" r:id="rId165" minRId="1678" maxRId="16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4A10CB9-6489-484D-888E-F4B1A7549042}" dateTime="2021-03-11T09:31:00.000000000Z" userName="Yi Fan Liu" r:id="rId166" minRId="1679" maxRId="168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D9F9F86-863D-45EF-9772-01E46F5D6E3B}" dateTime="2021-02-16T17:41:00.000000000Z" userName="Yi Fan Liu" r:id="rId167" minRId="1681" maxRId="168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0F19EE9-9A23-4DBE-8099-942159E589F6}" dateTime="2021-02-17T09:22:00.000000000Z" userName="Gordon Y P Mak" r:id="rId168" minRId="1684" maxRId="168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842A8FE-C098-4299-81D7-8DDCA3176F19}" dateTime="2021-03-01T13:06:00.000000000Z" userName="Yi Fan Liu" r:id="rId169" minRId="1685" maxRId="168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0FF9A0E-8413-4B90-B3FF-FA407DB2D6DF}" dateTime="2021-03-08T09:11:00.000000000Z" userName="Yi Fan Liu" r:id="rId170" minRId="1688" maxRId="168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DA86108-C140-4FC6-9482-39D138F1D525}" dateTime="2021-02-19T15:18:00.000000000Z" userName="Gordon Y P Mak" r:id="rId171" minRId="1689" maxRId="170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B2AB96E-265A-4172-BF01-5C877343A716}" dateTime="2021-02-17T09:16:00.000000000Z" userName="Yi Fan Liu" r:id="rId172" minRId="1704" maxRId="17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28DB746-0934-413B-94D2-3F0D2FDB8828}" dateTime="2021-02-19T15:21:00.000000000Z" userName="Gordon Y P Mak" r:id="rId173" minRId="1706" maxRId="17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43822CE-5D59-485E-8A09-56CBB555B0FF}" dateTime="2021-02-19T18:40:00.000000000Z" userName="Yi Fan Liu" r:id="rId174" minRId="1708" maxRId="17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6E04195-A7D4-4FDE-920E-38A10B0CCC45}" dateTime="2021-02-22T08:48:00.000000000Z" userName="Yi Fan Liu" r:id="rId175" minRId="1711" maxRId="187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925EF90-BB40-4A57-BC32-FFD5C3C37C73}" dateTime="2021-02-16T09:25:00.000000000Z" userName="Yi Fan Liu" r:id="rId176" minRId="1875" maxRId="187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5FAF4F4-F373-47AF-8937-9AC10214D411}" dateTime="2021-03-09T08:26:00.000000000Z" userName="Yi Fan Liu" r:id="rId177" minRId="1876" maxRId="18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666945C-9BAF-4AF3-9017-CD2A3977D4D1}" dateTime="2021-03-01T09:06:00.000000000Z" userName="Run Si Mao" r:id="rId178" minRId="1879" maxRId="187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6F3AD01-8AAD-4CF5-8AA5-8AEE13FF1885}" dateTime="2023-05-29T22:09:00.000000000Z" userName=" " r:id="rId179" minRId="1880" maxRId="188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04520FD-FD0A-4BD8-ABB5-CC605F66066A}" dateTime="2021-03-03T09:26:00.000000000Z" userName="Run Si Mao" r:id="rId180" minRId="1881" maxRId="188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C9FC0A2-8060-48CA-B337-933DAFE60BD4}" dateTime="2023-05-29T12:08:00.000000000Z" userName=" " r:id="rId181" minRId="1882" maxRId="189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206A54E-D3FD-47DB-B43C-DE181EAC8BDD}" dateTime="2021-03-04T08:33:00.000000000Z" userName="Yi Fan Liu" r:id="rId182" minRId="1898" maxRId="190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914ACA1-729F-46E2-88DD-4474B07BC638}" dateTime="2021-02-23T08:54:00.000000000Z" userName="Yi Fan Liu" r:id="rId183" minRId="1901" maxRId="190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5AF686F-C751-41F0-A6A0-813BD60F082D}" dateTime="2021-02-24T09:01:00.000000000Z" userName="Yi Fan Liu" r:id="rId184" minRId="1903" maxRId="19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257656B-A276-446C-ACEE-8760843EE9E9}" dateTime="2021-02-18T09:10:00.000000000Z" userName="Yi Fan Liu" r:id="rId185" minRId="1906" maxRId="19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6C47EC7-547A-4A7B-8763-E2A277F3B66C}" dateTime="2021-02-22T08:54:00.000000000Z" userName="Yi Fan Liu" r:id="rId186" minRId="1908" maxRId="19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38FC67A-5A1C-4BFE-9746-0CC179C8EE0B}" dateTime="2021-02-22T08:57:00.000000000Z" userName="Yi Fan Liu" r:id="rId187" minRId="1911" maxRId="19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0E8C0DC-D216-41CB-801A-CCE826CCDEF8}" dateTime="2021-03-04T08:56:00.000000000Z" userName="Yi Fan Liu" r:id="rId188" minRId="1913" maxRId="191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2AE02FE-5457-4004-B454-2780FE73DF14}" dateTime="2021-02-22T08:59:00.000000000Z" userName="Yi Fan Liu" r:id="rId189" minRId="1914" maxRId="191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72DB8D2-E83A-4116-B267-747CE82A1C4F}" dateTime="2023-05-29T22:11:00.000000000Z" userName=" " r:id="rId190" minRId="1915" maxRId="191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B8C4421-E925-44E4-BB35-D725D6D96E2C}" dateTime="2021-02-22T09:01:00.000000000Z" userName="Yi Fan Liu" r:id="rId191" minRId="1916" maxRId="191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5FA459F-04A6-45A9-8DF9-FDAAA4F3544B}" dateTime="2021-02-22T09:02:00.000000000Z" userName="Yi Fan Liu" r:id="rId192" minRId="1917" maxRId="19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FD1C6D4-001A-4904-B2EA-C41872927C07}" dateTime="2021-03-12T09:24:00.000000000Z" userName="Yi Fan Liu" r:id="rId193" minRId="1918" maxRId="192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E58146A-6EF9-473C-A49E-DE4D27419C17}" dateTime="2021-02-22T09:04:00.000000000Z" userName="Yi Fan Liu" r:id="rId194" minRId="1922" maxRId="192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D41DC67-F5F9-41B5-A133-E61119E34E91}" dateTime="2021-02-16T17:46:00.000000000Z" userName="Yi Fan Liu" r:id="rId195" minRId="1924" maxRId="192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5BC94EC-99C2-473B-A040-C247A1C89801}" dateTime="2021-02-18T09:15:00.000000000Z" userName="Yi Fan Liu" r:id="rId196" minRId="1925" maxRId="192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2F56026-B985-479F-847C-33CD076632C7}" dateTime="2021-03-09T08:38:00.000000000Z" userName="Yi Fan Liu" r:id="rId197" minRId="1926" maxRId="192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4C4A440-3079-4D70-BBC5-3B8C8060BE8F}" dateTime="2023-05-29T12:11:00.000000000Z" userName=" " r:id="rId198" minRId="1929" maxRId="192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4AD1AC0-73B3-4A2B-B02E-F3F73B57A458}" dateTime="2021-03-09T08:42:00.000000000Z" userName="Yi Fan Liu" r:id="rId199" minRId="1930" maxRId="193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5289847-F965-42EA-8877-3762582B443A}" dateTime="2021-02-17T09:00:00.000000000Z" userName="Yi Fan Liu" r:id="rId200" minRId="1932" maxRId="193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FB4AACD-5EF3-43A9-BD73-DF65AC2BB9F5}" dateTime="2021-02-16T13:09:00.000000000Z" userName="Yi Fan Liu" r:id="rId201" minRId="1933" maxRId="193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54660A4-6C9F-42C3-B4ED-4B0A1F848485}" dateTime="2021-03-11T09:20:00.000000000Z" userName="Yi Fan Liu" r:id="rId202" minRId="1934" maxRId="193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397BB0E-16A4-4B78-85DE-C813B522F169}" dateTime="2021-03-11T18:54:00.000000000Z" userName="Yi Fan Liu" r:id="rId203" minRId="1936" maxRId="193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9E60A1F-EDE2-48DF-B45D-CCBD59D217FB}" dateTime="2021-02-22T09:05:00.000000000Z" userName="Yi Fan Liu" r:id="rId204" minRId="1940" maxRId="19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BC5AFD5-087C-499F-98CF-0335E0EF5D82}" dateTime="2021-02-17T08:55:00.000000000Z" userName="Yi Fan Liu" r:id="rId205" minRId="1941" maxRId="194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35BAA49-3F70-4D5A-A752-45C3E59A8D12}" dateTime="2021-03-01T09:10:00.000000000Z" userName="Yi Fan Liu" r:id="rId206" minRId="1943" maxRId="194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5991B59-2A33-4A1F-B7F1-B130CDD08ED2}" dateTime="2021-02-22T09:08:00.000000000Z" userName="Yi Fan Liu" r:id="rId207" minRId="1945" maxRId="194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20B2CE2-1AFF-4692-A4A2-038E44C6DAB7}" dateTime="2021-02-17T08:45:00.000000000Z" userName="Yi Fan Liu" r:id="rId208" minRId="1947" maxRId="194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76D7D46-84D9-4221-BD0D-2484338E74C6}" dateTime="2021-03-01T13:09:00.000000000Z" userName="Yi Fan Liu" r:id="rId209" minRId="1948" maxRId="194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A4B0DB9-9C76-4FD3-A288-83C94FE67485}" dateTime="2021-02-22T09:10:00.000000000Z" userName="Yi Fan Liu" r:id="rId210" minRId="1950" maxRId="195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8F63025-E454-4FF0-A734-6614199D8968}" dateTime="2021-02-22T09:13:00.000000000Z" userName="Yi Fan Liu" r:id="rId211" minRId="1952" maxRId="195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3AD5A4B-0920-45CF-9C72-76E92467124E}" dateTime="2021-02-26T09:08:00.000000000Z" userName="Run Si Mao" r:id="rId212" minRId="1954" maxRId="195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1CFF46F-4367-4E05-9B89-3E177D44598F}" dateTime="2021-03-04T08:58:00.000000000Z" userName="Yi Fan Liu" r:id="rId213" minRId="1956" maxRId="195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43D96D9-95C1-4AD4-AA97-62587CCFB18B}" dateTime="2021-03-04T08:38:00.000000000Z" userName="Yi Fan Liu" r:id="rId214" minRId="1958" maxRId="195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A97966B-8EA5-4A36-A1FE-C71DAD06AE23}" dateTime="2021-02-24T19:11:00.000000000Z" userName="Yi Fan Liu" r:id="rId215" minRId="1959" maxRId="196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92AEF86-A540-4102-8414-A35EA8BA2DA0}" dateTime="2023-12-12T10:02:00.000000000Z" userName=" " r:id="rId216" minRId="1962" maxRId="196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C4B67FE-C090-4A28-9BC3-6ABE9090D555}" dateTime="2021-03-04T08:41:00.000000000Z" userName="Yi Fan Liu" r:id="rId217" minRId="1963" maxRId="196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66F2763-0DE4-4348-9AFD-F8B9C74CE83C}" dateTime="2021-03-09T08:39:00.000000000Z" userName="Yi Fan Liu" r:id="rId218" minRId="1966" maxRId="196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9F14F17-EDFC-4D8F-8314-E138E4BA0D20}" dateTime="2021-02-25T08:53:00.000000000Z" userName="Yi Fan Liu" r:id="rId219" minRId="1967" maxRId="216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958C6AA-FC2B-4B55-BC60-57A2A5CFD370}" dateTime="2021-02-25T08:57:00.000000000Z" userName="Yi Fan Liu" r:id="rId220" minRId="2162" maxRId="216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7303B4C-1938-4F84-9CB5-9017027B5C28}" dateTime="2021-02-25T08:59:00.000000000Z" userName="Yi Fan Liu" r:id="rId221" minRId="2163" maxRId="216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E1F72EE-D4F4-460B-A0F0-34EAA6CB23CD}" dateTime="2021-03-01T13:16:00.000000000Z" userName="Yi Fan Liu" r:id="rId222" minRId="2166" maxRId="216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C000F7C-AF6C-4827-A7E4-2EDE479439FF}" dateTime="2021-03-08T08:59:00.000000000Z" userName="Yi Fan Liu" r:id="rId223" minRId="2168" maxRId="216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4348A78-C6A1-4B7D-9C2F-0A621D61D6BC}" dateTime="2021-03-09T15:30:00.000000000Z" userName="Run Si Mao" r:id="rId224" minRId="2170" maxRId="217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BBDDA79-4CC1-48AC-9FEE-D245D1B91EAA}" dateTime="2021-02-16T09:18:00.000000000Z" userName="Yi Fan Liu" r:id="rId225" minRId="2171" maxRId="217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B334870-5A7B-49B5-A2ED-A2A7D4E998EA}" dateTime="2021-02-23T09:07:00.000000000Z" userName="Yi Fan Liu" r:id="rId226" minRId="2172" maxRId="217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E22E507-8CD3-4E38-A583-8FA3523A8B0A}" dateTime="2021-03-12T09:07:00.000000000Z" userName="Yi Fan Liu" r:id="rId227" minRId="2173" maxRId="21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4AC4B1F-54D0-46A6-9B51-F040DC50B472}" dateTime="2021-02-25T09:00:00.000000000Z" userName="Yi Fan Liu" r:id="rId228" minRId="2177" maxRId="21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7B702D1-E23D-402E-A13B-11D17C589B79}" dateTime="2021-02-25T09:01:00.000000000Z" userName="Yi Fan Liu" r:id="rId229" minRId="2179" maxRId="217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C6A185B-E9ED-4DFC-938D-0E1BF06C8E22}" dateTime="2021-02-16T17:26:00.000000000Z" userName="Yi Fan Liu" r:id="rId230" minRId="2180" maxRId="218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13A0136-401E-4846-AAC6-77DF416AA249}" dateTime="2021-02-17T08:50:00.000000000Z" userName="Yi Fan Liu" r:id="rId231" minRId="2181" maxRId="218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2CF4CEB-5B0C-41B1-A7E8-75ADE884937E}" dateTime="2021-02-25T09:02:00.000000000Z" userName="Yi Fan Liu" r:id="rId232" minRId="2183" maxRId="218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6A08F41-2585-48E4-8B88-200A1201CA6C}" dateTime="2021-02-22T09:16:00.000000000Z" userName="Gordon Y P Mak" r:id="rId233" minRId="2185" maxRId="21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37326D0-CCC3-4ADD-A0D3-19CF8390714E}" dateTime="2021-03-09T08:54:00.000000000Z" userName="Yi Fan Liu" r:id="rId234" minRId="2186" maxRId="218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CD3F183-4C89-4508-BF6D-032F7DE43766}" dateTime="2021-02-17T09:24:00.000000000Z" userName="Yi Fan Liu" r:id="rId235" minRId="2187" maxRId="218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E50EB0C-5F5B-4DE7-871A-FFBB56A7CAFD}" dateTime="2021-02-22T16:00:00.000000000Z" userName="Gordon Y P Mak" r:id="rId236" minRId="2190" maxRId="219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12C3C2C-FD23-4B67-892D-26151282488D}" dateTime="2021-03-04T08:51:00.000000000Z" userName="Yi Fan Liu" r:id="rId237" minRId="2192" maxRId="219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4064E65-69D5-4918-90F1-8221B39594EC}" dateTime="2021-03-04T08:59:00.000000000Z" userName="Yi Fan Liu" r:id="rId238" minRId="2194" maxRId="219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5F02518-B526-4FC3-82EE-10FEB9D58481}" dateTime="2021-03-01T12:53:00.000000000Z" userName="Yi Fan Liu" r:id="rId239" minRId="2195" maxRId="219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32038C7-0218-40A0-857A-03E668C84697}" dateTime="2021-03-04T08:45:00.000000000Z" userName="Yi Fan Liu" r:id="rId240" minRId="2198" maxRId="220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64A3FF7-B1E6-4848-939B-E13D5923CBA5}" dateTime="2021-02-25T09:03:00.000000000Z" userName="Yi Fan Liu" r:id="rId241" minRId="2203" maxRId="220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629797D-F862-4635-850A-27DD788C1E68}" dateTime="2021-03-08T16:22:00.000000000Z" userName="Yi Fan Liu" r:id="rId242" minRId="2205" maxRId="22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A67AA0F-664E-440D-9C4C-BAD8B00228E0}" dateTime="2021-02-25T09:05:00.000000000Z" userName="Yi Fan Liu" r:id="rId243" minRId="2206" maxRId="220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60AC879-A9B4-4A7D-BDF8-7C2D07D65BD6}" dateTime="2021-02-25T09:06:00.000000000Z" userName="Yi Fan Liu" r:id="rId244" minRId="2210" maxRId="22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C63A7DA-DC24-439A-84F2-B8F68F84F5E5}" dateTime="2021-03-03T09:09:00.000000000Z" userName="Yi Fan Liu" r:id="rId245" minRId="2211" maxRId="22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1A1AA57-56DF-4E88-ABE0-8FD782639946}" dateTime="2021-02-16T09:16:00.000000000Z" userName="Yi Fan Liu" r:id="rId246" minRId="2213" maxRId="221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8F57FDC-C654-4816-A2E9-EA03BF24E530}" dateTime="2021-02-25T09:07:00.000000000Z" userName="Yi Fan Liu" r:id="rId247" minRId="2214" maxRId="221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23D4B72-C096-4067-8B6F-BFCD0CABD453}" dateTime="2021-02-22T09:17:00.000000000Z" userName="Gordon Y P Mak" r:id="rId248" minRId="2215" maxRId="221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26F56E6-91C9-4F5C-8E3F-6DF234432B07}" dateTime="2021-02-25T09:08:00.000000000Z" userName="Yi Fan Liu" r:id="rId249" minRId="2216" maxRId="22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85EF776-5B65-4316-98CB-3A0327CB3A5F}" dateTime="2021-03-04T09:31:00.000000000Z" userName="Yi Fan Liu" r:id="rId250" minRId="2220" maxRId="222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EA73403-C3D8-4416-908D-44DF864EE1AE}" dateTime="2021-03-11T09:01:00.000000000Z" userName="Yi Fan Liu" r:id="rId251" minRId="2222" maxRId="222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DEFA3B0-0E92-4AE6-814C-53223CFD3147}" dateTime="2021-02-25T09:10:00.000000000Z" userName="Yi Fan Liu" r:id="rId252" minRId="2225" maxRId="222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8F9E20D-B9AD-4C23-984A-092AB42B76FC}" dateTime="2021-02-25T09:11:00.000000000Z" userName="Yi Fan Liu" r:id="rId253" minRId="2227" maxRId="222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A977716-0E2E-418D-9A2C-1CB32614603E}" dateTime="2021-03-12T08:59:00.000000000Z" userName="Yi Fan Liu" r:id="rId254" minRId="2228" maxRId="222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F16BDCE-A37B-42DA-BEC6-F1952D15402E}" dateTime="2021-03-12T09:08:00.000000000Z" userName="Yi Fan Liu" r:id="rId255" minRId="2229" maxRId="223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B1B8138-A513-4394-A244-54B2F6B6683C}" dateTime="2021-02-25T11:50:00.000000000Z" userName="Run Si Mao" r:id="rId256" minRId="2232" maxRId="223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F53B966-BC71-4183-AB36-657F53246958}" dateTime="2021-02-16T17:36:00.000000000Z" userName="Yi Fan Liu" r:id="rId257" minRId="2233" maxRId="223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24A734A-23F0-4C14-93EF-CF83C60C534B}" dateTime="2021-02-17T08:51:00.000000000Z" userName="Yi Fan Liu" r:id="rId258" minRId="2234" maxRId="223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56077AD-BA19-4226-AAB7-5C9476017F73}" dateTime="2021-02-16T09:19:00.000000000Z" userName="Yi Fan Liu" r:id="rId259" minRId="2237" maxRId="223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D7A0418-0C18-4BC1-A6E1-D17B4DFB729A}" dateTime="2021-03-04T08:46:00.000000000Z" userName="Yi Fan Liu" r:id="rId260" minRId="2239" maxRId="22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5F2D572-FAAF-452C-A89E-46A413283557}" dateTime="2021-03-08T18:44:00.000000000Z" userName="Yi Fan Liu" r:id="rId261" minRId="2241" maxRId="224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E2D4D21-72DF-4705-9C0D-F8C929913EE3}" dateTime="2021-03-12T09:44:00.000000000Z" userName="Run Si Mao" r:id="rId262" minRId="2248" maxRId="224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AE56A91-E53B-4890-B84B-C69BC7F96E97}" dateTime="2021-03-04T13:08:00.000000000Z" userName="Yi Fan Liu" r:id="rId263" minRId="2250" maxRId="225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C1FAEA8-6CC3-4CA1-B94F-E59BB3B2B171}" dateTime="2021-02-22T09:17:00.000000000Z" userName="Yi Fan Liu" r:id="rId264" minRId="2252" maxRId="225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90644AC-534F-4A0E-93F2-0F055D70E569}" dateTime="2023-05-29T12:22:00.000000000Z" userName=" " r:id="rId265" minRId="2254" maxRId="225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306C4F2-4EDB-46CF-9669-E95557E5561D}" dateTime="2021-03-11T09:08:00.000000000Z" userName="Yi Fan Liu" r:id="rId266" minRId="2255" maxRId="225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01085AB-DAD1-4699-88C4-A35C4A106421}" dateTime="2021-02-22T16:01:00.000000000Z" userName="Gordon Y P Mak" r:id="rId267" minRId="2256" maxRId="225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FA8F7AD-C53B-4126-AD2B-4B3F43F0F228}" dateTime="2021-02-23T12:25:00.000000000Z" userName="Yi Fan Liu" r:id="rId268" minRId="2257" maxRId="225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70C494F-C500-4F44-A8E5-75BC5F856C75}" dateTime="2021-02-25T11:51:00.000000000Z" userName="Run Si Mao" r:id="rId269" minRId="2260" maxRId="226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D676CE3-DA80-4AEA-B728-361947319C38}" dateTime="2021-02-25T11:52:00.000000000Z" userName="Run Si Mao" r:id="rId270" minRId="2262" maxRId="226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E5087FF-255F-40FB-A65A-D83F4F564AC0}" dateTime="2021-02-25T16:20:00.000000000Z" userName="Yi Fan Liu" r:id="rId271" minRId="2264" maxRId="227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F55ABAA-D9A4-47AA-A926-D09585F4806B}" dateTime="2021-02-25T16:21:00.000000000Z" userName="Yi Fan Liu" r:id="rId272" minRId="2275" maxRId="230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9D98E00-C3C5-495C-8FCD-297DD22B52E8}" dateTime="2021-02-17T09:22:00.000000000Z" userName="Yi Fan Liu" r:id="rId273" minRId="2304" maxRId="230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D4B1C60-1AA1-4B8C-BD5C-C35B2C905BB1}" dateTime="2021-02-25T19:32:00.000000000Z" userName="Yi Fan Liu" r:id="rId274" minRId="2307" maxRId="230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A11C16E-0E65-4AFD-BBE6-1831F6A71E9D}" dateTime="2021-02-24T09:08:00.000000000Z" userName="Yi Fan Liu" r:id="rId275" minRId="2310" maxRId="231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9FC0F95-7B97-45EB-839D-FEE8D9C9CC63}" dateTime="2021-02-26T08:48:00.000000000Z" userName="Yi Fan Liu" r:id="rId276" minRId="2312" maxRId="251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F5044CF-3FA4-4353-90D8-4399AC478A44}" dateTime="2021-02-16T09:20:00.000000000Z" userName="Yi Fan Liu" r:id="rId277" minRId="2517" maxRId="25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04C1F14-D4E9-4D2B-ABAC-584FAFA1060A}" dateTime="2021-02-16T09:23:00.000000000Z" userName="Yi Fan Liu" r:id="rId278" minRId="2518" maxRId="25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4F86799-0C84-4863-8858-B6F674A42B1B}" dateTime="2021-02-23T09:05:00.000000000Z" userName="Yi Fan Liu" r:id="rId279" minRId="2520" maxRId="252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43A06C7-2027-4E18-BB31-F66536C3AC7A}" dateTime="2021-02-22T09:18:00.000000000Z" userName="Yi Fan Liu" r:id="rId280" minRId="2523" maxRId="252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054927A-0BD2-4C0D-8D1E-86E010841B8C}" dateTime="2021-02-17T08:33:00.000000000Z" userName="Yi Fan Liu" r:id="rId281" minRId="2524" maxRId="267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97A3552-E9D7-4640-ABC3-94E4911886E0}" dateTime="2021-02-26T08:53:00.000000000Z" userName="Yi Fan Liu" r:id="rId282" minRId="2680" maxRId="268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B496665-40FF-40B2-A947-237AC502DEC9}" dateTime="2021-02-26T08:54:00.000000000Z" userName="Run Si Mao" r:id="rId283" minRId="2683" maxRId="26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2EC2EC1-E34E-4251-9D69-CFB646487A5C}" dateTime="2021-02-23T08:59:00.000000000Z" userName="Yi Fan Liu" r:id="rId284" minRId="2686" maxRId="268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09B1F34-1963-46B7-AD07-08760DD675C4}" dateTime="2021-03-04T08:47:00.000000000Z" userName="Yi Fan Liu" r:id="rId285" minRId="2689" maxRId="268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42D96BB-8E40-4682-87D9-D609AB4466E8}" dateTime="2021-02-26T08:55:00.000000000Z" userName="Yi Fan Liu" r:id="rId286" minRId="2690" maxRId="269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056D544-AEC7-49FB-A77A-AE09BB5C7176}" dateTime="2021-02-26T09:31:00.000000000Z" userName="Yi Fan Liu" r:id="rId287" minRId="2692" maxRId="269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95F75C0-ECDA-48D6-AABB-A8A090884FAA}" dateTime="2021-02-23T08:53:00.000000000Z" userName="Yi Fan Liu" r:id="rId288" minRId="2695" maxRId="269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7D5434F-5DE8-4C19-AFF3-1586D0ED3C90}" dateTime="2021-03-12T09:10:00.000000000Z" userName="Yi Fan Liu" r:id="rId289" minRId="2698" maxRId="269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FC86FE3-3E5F-43E5-A838-B326BA9E8D9C}" dateTime="2021-03-09T15:31:00.000000000Z" userName="Run Si Mao" r:id="rId290" minRId="2699" maxRId="270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AEE330B-D29A-4D89-B135-79DB56AA7DFF}" dateTime="2021-02-22T16:04:00.000000000Z" userName="Gordon Y P Mak" r:id="rId291" minRId="2701" maxRId="270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1A34E41-52D0-4897-BA41-1837623F52FE}" dateTime="2021-02-26T09:15:00.000000000Z" userName="Yi Fan Liu" r:id="rId292" minRId="2703" maxRId="27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68F2F42-AC7E-416A-BC05-E86E399A2E52}" dateTime="2021-03-09T08:56:00.000000000Z" userName="Yi Fan Liu" r:id="rId293" minRId="2706" maxRId="270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F8D42CC-E9EE-47CD-A968-9FA614039D6B}" dateTime="2023-12-12T10:18:00.000000000Z" userName=" " r:id="rId294" minRId="2707" maxRId="27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0586791-4564-482D-8EBD-EA1801FD8026}" dateTime="2023-12-12T10:20:00.000000000Z" userName=" " r:id="rId295" minRId="2708" maxRId="27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0563E22-BAC0-41B0-A23B-FDFC11E0E301}" dateTime="2021-03-09T09:01:00.000000000Z" userName="Yi Fan Liu" r:id="rId296" minRId="2709" maxRId="270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0B4F04D-C315-401B-9821-BA72ADED0038}" dateTime="2021-02-16T09:21:00.000000000Z" userName="Yi Fan Liu" r:id="rId297" minRId="2710" maxRId="27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6F393B9-EE07-4A81-96DF-E38C1B5B8CF7}" dateTime="2021-03-12T09:16:00.000000000Z" userName="Yi Fan Liu" r:id="rId298" minRId="2711" maxRId="27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023CBD5-DA4B-48EA-8A52-9AC56D0B1679}" dateTime="2021-03-04T15:18:00.000000000Z" userName="Yi Fan Liu" r:id="rId299" minRId="2713" maxRId="271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100D56B-7188-4D0E-BBDB-C3C876B294FC}" dateTime="2021-03-01T13:18:00.000000000Z" userName="Yi Fan Liu" r:id="rId300" minRId="2717" maxRId="27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97C4606-985A-4620-AC2B-AF2BB21E2789}" dateTime="2021-03-09T20:09:00.000000000Z" userName="Yi Fan Liu" r:id="rId301" minRId="2718" maxRId="272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2D80E67-9EF1-439A-ABAF-F692F736ACDA}" dateTime="2021-03-01T15:52:00.000000000Z" userName="Yi Fan Liu" r:id="rId302" minRId="2721" maxRId="272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8E61ECB-7AA3-4663-8C32-9E73A5793BA3}" dateTime="2021-02-18T09:22:00.000000000Z" userName="Yi Fan Liu" r:id="rId303" minRId="2722" maxRId="272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6DC2A92-C16B-4024-BD55-2E10169BB543}" dateTime="2021-03-01T19:35:00.000000000Z" userName="Yi Fan Liu" r:id="rId304" minRId="2723" maxRId="272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DB41D2E-108A-4487-ADF2-AFF57A174889}" dateTime="2021-03-02T08:52:00.000000000Z" userName="Yi Fan Liu" r:id="rId305" minRId="2725" maxRId="293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2075623-70B4-4F51-A5B8-5E3C2FE6CBD2}" dateTime="2021-03-11T09:22:00.000000000Z" userName="Yi Fan Liu" r:id="rId306" minRId="2934" maxRId="293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B0DFBDC-6972-44FD-A469-CFC954601BCE}" dateTime="2021-02-24T09:05:00.000000000Z" userName="Yi Fan Liu" r:id="rId307" minRId="2937" maxRId="293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74635A5-27BC-4EE8-94D7-C2450DB2D9AB}" dateTime="2021-03-02T09:01:00.000000000Z" userName="Yi Fan Liu" r:id="rId308" minRId="2938" maxRId="294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312BD78-E2A4-44A9-8B75-28AF1DA36C0A}" dateTime="2021-03-02T09:02:00.000000000Z" userName="Run Si Mao" r:id="rId309" minRId="2941" maxRId="294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2021578-11E2-48A7-971E-0CB84F47F8AF}" dateTime="2021-02-26T08:55:00.000000000Z" userName="Run Si Mao" r:id="rId310" minRId="2942" maxRId="294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825880F-202B-4D19-863D-52966221FAE0}" dateTime="2021-03-09T09:11:00.000000000Z" userName="Yi Fan Liu" r:id="rId311" minRId="2943" maxRId="294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338B536-DC31-4F8B-8B9A-882791A54253}" dateTime="2021-03-10T07:55:00.000000000Z" userName="Run Si Mao" r:id="rId312" minRId="2944" maxRId="294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FD10CBC-70DE-49C7-99FB-B1934D3C19B2}" dateTime="2021-03-11T09:14:00.000000000Z" userName="Run Si Mao" r:id="rId313" minRId="2946" maxRId="294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A3CABC4-08C9-4BBD-B603-BA9AF3DF654A}" dateTime="2021-03-11T09:06:00.000000000Z" userName="Yi Fan Liu" r:id="rId314" minRId="2948" maxRId="295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42F9C81-9AA0-488D-9264-6FD59EDCE2FD}" dateTime="2021-03-04T08:52:00.000000000Z" userName="Yi Fan Liu" r:id="rId315" minRId="2951" maxRId="295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99659D4-9D15-467C-8ECA-EA3160F408BA}" dateTime="2021-03-09T09:06:00.000000000Z" userName="Yi Fan Liu" r:id="rId316" minRId="2952" maxRId="295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82FA60D-6E5D-4522-A78B-96CFC5AF045F}" dateTime="2021-03-02T09:02:00.000000000Z" userName="Yi Fan Liu" r:id="rId317" minRId="2955" maxRId="295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9AE4AEE-D6F4-4B3C-89BC-2CF085D3F431}" dateTime="2021-03-11T09:13:00.000000000Z" userName="Run Si Mao" r:id="rId318" minRId="2957" maxRId="295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6AEC1F0-91D3-4EDA-AC8B-23FC6A33C05A}" dateTime="2021-02-26T09:17:00.000000000Z" userName="Yi Fan Liu" r:id="rId319" minRId="2959" maxRId="296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DEFA0DD-17D9-49FC-AE02-C4680F940439}" dateTime="2021-03-02T09:02:00.000000000Z" userName="Run Si Mao" r:id="rId320" minRId="2961" maxRId="296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F0C63F2-9F87-4E2B-A343-E2006834F203}" dateTime="2021-03-08T16:20:00.000000000Z" userName="Yi Fan Liu" r:id="rId321" minRId="2962" maxRId="296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A1E2C8E-E48F-477C-A85E-CF3AFEB7E5B0}" dateTime="2021-03-02T09:03:00.000000000Z" userName="Yi Fan Liu" r:id="rId322" minRId="2963" maxRId="296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414DBBE-30ED-4B68-ACF7-A02E36C4E90F}" dateTime="2021-02-26T11:31:00.000000000Z" userName="Yi Fan Liu" r:id="rId323" minRId="2965" maxRId="296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BCC22B0-DECB-41C6-BA85-FE520631E880}" dateTime="2021-02-16T17:08:00.000000000Z" userName="Yi Fan Liu" r:id="rId324" minRId="2967" maxRId="296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A8AED58-AEAF-4CD5-8791-F206AB4171CF}" dateTime="2021-02-26T08:56:00.000000000Z" userName="Run Si Mao" r:id="rId325" minRId="2968" maxRId="296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B0EEA77-C922-40AF-96DC-130598C5306D}" dateTime="2021-03-02T09:05:00.000000000Z" userName="Yi Fan Liu" r:id="rId326" minRId="2969" maxRId="297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D1500CE-C43B-4425-927A-25F63EECD402}" dateTime="2021-03-12T09:19:00.000000000Z" userName="Yi Fan Liu" r:id="rId327" minRId="2975" maxRId="29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C0B1FF3-92FB-4D01-823F-08CA6D18C339}" dateTime="2021-03-02T09:06:00.000000000Z" userName="Yi Fan Liu" r:id="rId328" minRId="2977" maxRId="29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65F437F-4CFF-452D-ADC1-1D2A655E8EF1}" dateTime="2021-02-17T08:59:00.000000000Z" userName="Yi Fan Liu" r:id="rId329" minRId="2979" maxRId="297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78C3BE8-DFBE-4013-9B90-6D1F2D22BA3F}" dateTime="2021-03-02T09:08:00.000000000Z" userName="Yi Fan Liu" r:id="rId330" minRId="2980" maxRId="298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A342013-2A2E-4D15-90F7-72030743B3B8}" dateTime="2021-03-02T09:09:00.000000000Z" userName="Yi Fan Liu" r:id="rId331" minRId="2983" maxRId="298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B9191FC-A7EE-49E6-BE8C-61C0B9C70234}" dateTime="2021-02-17T09:07:00.000000000Z" userName="Yi Fan Liu" r:id="rId332" minRId="2985" maxRId="29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CE0A2C6-EBD1-465A-AA70-7FCA7C94FDB5}" dateTime="2021-02-18T09:24:00.000000000Z" userName="Yi Fan Liu" r:id="rId333" minRId="2986" maxRId="298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5153CEF-E9C2-40B5-9A3E-35D20A26C2AC}" dateTime="2021-02-17T14:06:00.000000000Z" userName="Gordon Y P Mak" r:id="rId334" minRId="2988" maxRId="298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A3ACF2C-4F57-45BF-95D5-4C09A41041D6}" dateTime="2021-03-10T08:26:00.000000000Z" userName="Yi Fan Liu" r:id="rId335" minRId="2989" maxRId="318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1F87C98-148B-4D54-A125-FA33304EAA20}" dateTime="2021-03-09T09:07:00.000000000Z" userName="Yi Fan Liu" r:id="rId336" minRId="3182" maxRId="318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5732867-6885-4C33-A816-EA8D7434F3D5}" dateTime="2021-02-26T09:04:00.000000000Z" userName="Yi Fan Liu" r:id="rId337" minRId="3183" maxRId="318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4F16667-1568-4506-926A-6345BA6914C5}" dateTime="2021-02-16T09:15:00.000000000Z" userName="Yi Fan Liu" r:id="rId338" minRId="3185" maxRId="31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1CCD47C-5585-4459-B1FA-03E972BCD0CB}" dateTime="2021-02-26T08:56:00.000000000Z" userName="Yi Fan Liu" r:id="rId339" minRId="3186" maxRId="318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009F9EB-309A-4050-A758-389170A762AB}" dateTime="2021-02-16T17:21:00.000000000Z" userName="Yi Fan Liu" r:id="rId340" minRId="3188" maxRId="318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AD0EECF-9192-4A9B-B7FC-5661DC7325E2}" dateTime="2021-03-02T09:11:00.000000000Z" userName="Yi Fan Liu" r:id="rId341" minRId="3189" maxRId="319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E3BC585-EFE2-4307-8B76-C58C06B481CC}" dateTime="2021-03-12T08:53:00.000000000Z" userName="Yi Fan Liu" r:id="rId342" minRId="3192" maxRId="319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797D983-0C8C-420D-98CD-6850944EB8D4}" dateTime="2021-02-26T09:18:00.000000000Z" userName="Yi Fan Liu" r:id="rId343" minRId="3194" maxRId="319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0A85FC4-4C86-409B-A04B-04C27CE08C02}" dateTime="2021-03-02T09:12:00.000000000Z" userName="Yi Fan Liu" r:id="rId344" minRId="3195" maxRId="319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692D333-1F56-4050-9E2C-7E954EB04638}" dateTime="2021-03-02T09:13:00.000000000Z" userName="Yi Fan Liu" r:id="rId345" minRId="3198" maxRId="320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8EE4FD7-DA1F-48A2-817C-B6500DDDFE8C}" dateTime="2023-05-29T14:32:00.000000000Z" userName=" " r:id="rId346" minRId="3201" maxRId="320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BEAB33E-5652-4844-B488-7BE7868C75F8}" dateTime="2021-02-23T14:14:00.000000000Z" userName="Gordon Y P Mak" r:id="rId347" minRId="3202" maxRId="320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555DFD6-EF65-4639-8BED-24D9E22EAE9C}" dateTime="2021-03-02T09:15:00.000000000Z" userName="Yi Fan Liu" r:id="rId348" minRId="3203" maxRId="32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5C0719C-7B2C-4AF2-95DC-70FFF690105B}" dateTime="2021-03-11T09:28:00.000000000Z" userName="Yi Fan Liu" r:id="rId349" minRId="3206" maxRId="32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EDD2365-0C5C-4407-B62E-E350728E7B5B}" dateTime="2021-03-02T09:16:00.000000000Z" userName="Yi Fan Liu" r:id="rId350" minRId="3209" maxRId="321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1EE18E9-F33F-4C4A-9897-234D52EFF643}" dateTime="2021-02-18T09:26:00.000000000Z" userName="Yi Fan Liu" r:id="rId351" minRId="3214" maxRId="321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3090779-8B5A-454E-A39C-32914FA6DCAF}" dateTime="2021-02-26T08:57:00.000000000Z" userName="Yi Fan Liu" r:id="rId352" minRId="3215" maxRId="32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E4FF0D6-13F9-436E-8CEB-FDEDD2481B31}" dateTime="2021-02-23T08:29:00.000000000Z" userName="Yi Fan Liu" r:id="rId353" minRId="3218" maxRId="33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0AD0AB3-2795-46C1-BA17-EF85425B7B08}" dateTime="2021-03-02T09:18:00.000000000Z" userName="Yi Fan Liu" r:id="rId354" minRId="3386" maxRId="338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4FC42A7-04BA-4224-B0BD-9FDF5A29D840}" dateTime="2021-03-02T09:20:00.000000000Z" userName="Yi Fan Liu" r:id="rId355" minRId="3390" maxRId="339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B54D34A-16C8-4CB4-B47E-7F8B7FFDE705}" dateTime="2021-03-12T09:12:00.000000000Z" userName="Yi Fan Liu" r:id="rId356" minRId="3392" maxRId="339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4C34F7C-0139-4916-90D2-4B4BA51B7650}" dateTime="2021-03-10T08:52:00.000000000Z" userName="Yi Fan Liu" r:id="rId357" minRId="3394" maxRId="339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A92B29F-87DC-4797-A6C4-E5645BDD56BD}" dateTime="2021-03-09T09:09:00.000000000Z" userName="Yi Fan Liu" r:id="rId358" minRId="3397" maxRId="339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F1D29C7-7648-431A-A0DA-495985CB552A}" dateTime="2021-03-12T09:20:00.000000000Z" userName="Yi Fan Liu" r:id="rId359" minRId="3399" maxRId="340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D4ED19B-A41A-456A-A9E3-2802752BED26}" dateTime="2021-02-26T09:27:00.000000000Z" userName="Yi Fan Liu" r:id="rId360" minRId="3402" maxRId="340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D8413E3-2A23-4005-A61C-5A2AB37F490C}" dateTime="2021-03-04T21:09:00.000000000Z" userName="Yi Fan Liu" r:id="rId361" minRId="3404" maxRId="340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FB75926-3B60-45DD-866D-DF07E57187F6}" dateTime="2021-03-02T09:21:00.000000000Z" userName="Yi Fan Liu" r:id="rId362" minRId="3407" maxRId="34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E807DC7-3DE0-42B5-A3E9-692A88AEAECB}" dateTime="2021-03-02T09:22:00.000000000Z" userName="Yi Fan Liu" r:id="rId363" minRId="3409" maxRId="341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B5B397E-5E55-4EDE-805E-DD3DE4851BA4}" dateTime="2021-02-16T09:24:00.000000000Z" userName="Yi Fan Liu" r:id="rId364" minRId="3412" maxRId="341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766FF1A-FB52-4D3D-AF64-51D99069C02F}" dateTime="2023-12-12T11:31:00.000000000Z" userName=" " r:id="rId365" minRId="3414" maxRId="341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734BC3B-6573-409A-9F1E-3111C84DE870}" dateTime="2021-02-16T09:35:00.000000000Z" userName="Gordon Y P Mak" r:id="rId366" minRId="3415" maxRId="343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2C0E252-9435-45CD-B9F4-2615BFD7B985}" dateTime="2021-02-18T09:28:00.000000000Z" userName="Yi Fan Liu" r:id="rId367" minRId="3431" maxRId="343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2FAA6C3-CD11-4420-9F9A-C262430EC8C0}" dateTime="2021-03-10T08:53:00.000000000Z" userName="Yi Fan Liu" r:id="rId368" minRId="3434" maxRId="343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EE91E51-937F-478D-A605-21A4B643F2B0}" dateTime="2021-03-03T09:02:00.000000000Z" userName="Yi Fan Liu" r:id="rId369" minRId="3435" maxRId="343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30F1673-B4D1-4484-808A-08A8D0CBDE1B}" dateTime="2021-02-17T09:19:00.000000000Z" userName="Yi Fan Liu" r:id="rId370" minRId="3437" maxRId="343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9BB5203-D79A-4045-8FEE-90565FD5B5CA}" dateTime="2021-03-05T08:36:00.000000000Z" userName="Yi Fan Liu" r:id="rId371" minRId="3438" maxRId="364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FFCF4EF-6234-4D78-9FC2-DD0E8B07D916}" dateTime="2021-02-24T09:10:00.000000000Z" userName="Yi Fan Liu" r:id="rId372" minRId="3642" maxRId="364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376BCDF-68F1-405F-BF0F-53DB16DA419A}" dateTime="2021-03-05T08:40:00.000000000Z" userName="Yi Fan Liu" r:id="rId373" minRId="3644" maxRId="364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3330EA0-B3A4-4526-98CE-8F1776415548}" dateTime="2021-03-12T09:27:00.000000000Z" userName="Yi Fan Liu" r:id="rId374" minRId="3647" maxRId="364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022F52A-FD99-4BC5-8127-8EEAAE76D8CE}" dateTime="2021-03-05T08:41:00.000000000Z" userName="Yi Fan Liu" r:id="rId375" minRId="3648" maxRId="365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F2ED0E2-431A-44C8-A779-7A2837304AB2}" dateTime="2021-03-12T09:15:00.000000000Z" userName="Yi Fan Liu" r:id="rId376" minRId="3652" maxRId="365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D988178-A055-4DBF-A13D-518831DE4AFC}" dateTime="2021-02-17T08:42:00.000000000Z" userName="Yi Fan Liu" r:id="rId377" minRId="3654" maxRId="365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D7B1232-8C11-4020-AD79-45C4F5AD2A5A}" dateTime="2021-03-05T08:42:00.000000000Z" userName="Yi Fan Liu" r:id="rId378" minRId="3659" maxRId="366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AD296A2-94B8-4742-83FF-2CE356924BE3}" dateTime="2021-02-16T14:08:00.000000000Z" userName="Yi Fan Liu" r:id="rId379" minRId="3661" maxRId="366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D92660F-E6DA-440C-8057-37E32496FEE7}" dateTime="2021-02-26T09:19:00.000000000Z" userName="Yi Fan Liu" r:id="rId380" minRId="3663" maxRId="366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BBD090B-F466-4E66-9491-970EF72689A1}" dateTime="2021-02-18T09:30:00.000000000Z" userName="Yi Fan Liu" r:id="rId381" minRId="3664" maxRId="366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3D2E73A-C0D5-4E84-99FD-6192722FFBA6}" dateTime="2021-03-05T08:43:00.000000000Z" userName="Yi Fan Liu" r:id="rId382" minRId="3666" maxRId="366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E56F856-C00D-49CC-AED7-DBC0C647C97B}" dateTime="2021-03-12T18:55:00.000000000Z" userName="Yi Fan Liu" r:id="rId383" minRId="3669" maxRId="367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AD330FE-E037-4717-85A8-133C3438A21E}" dateTime="2021-02-16T09:37:00.000000000Z" userName="Gordon Y P Mak" r:id="rId384" minRId="3673" maxRId="367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8B9D840-DABA-4CB1-81C3-5B8DEAA07A63}" dateTime="2021-03-11T09:19:00.000000000Z" userName="Yi Fan Liu" r:id="rId385" minRId="3674" maxRId="36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816851C-6DC2-495A-A05B-E479A2D687C0}" dateTime="2021-02-18T09:09:00.000000000Z" userName="Gordon Y P Mak" r:id="rId386" minRId="3677" maxRId="367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E36E23E-0D02-4738-ABB4-C9572F157E98}" dateTime="2021-03-05T08:45:00.000000000Z" userName="Yi Fan Liu" r:id="rId387" minRId="3678" maxRId="368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EB5A8E5-5153-4A4F-B884-4E98F93F49D1}" dateTime="2021-03-03T09:05:00.000000000Z" userName="Yi Fan Liu" r:id="rId388" minRId="3681" maxRId="368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4AF314A-EFEE-45A6-B991-F83D535C52D2}" dateTime="2021-02-16T09:12:00.000000000Z" userName="Yi Fan Liu" r:id="rId389" minRId="3684" maxRId="36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32F0372-7885-4865-AD61-454C52313F78}" dateTime="2021-02-22T09:15:00.000000000Z" userName="Gordon Y P Mak" r:id="rId390" minRId="3686" maxRId="369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69F5466-4788-4AE7-97A9-C9B0CEA56729}" dateTime="2021-03-05T08:46:00.000000000Z" userName="Yi Fan Liu" r:id="rId391" minRId="3698" maxRId="369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55E471D-6D6F-423E-826A-15C6F11CA431}" dateTime="2021-02-23T08:56:00.000000000Z" userName="Yi Fan Liu" r:id="rId392" minRId="3699" maxRId="370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359DF84-B74B-46D1-89AB-4C03E223322C}" dateTime="2021-03-05T08:47:00.000000000Z" userName="Yi Fan Liu" r:id="rId393" minRId="3701" maxRId="370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6ACA27C-0898-49DA-9AD7-9BBC24EEB5F4}" dateTime="2021-03-05T08:48:00.000000000Z" userName="Yi Fan Liu" r:id="rId394" minRId="3703" maxRId="37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46AADFC-1D29-488B-AF44-4256579BF8C3}" dateTime="2021-02-17T09:19:00.000000000Z" userName="Gordon Y P Mak" r:id="rId395" minRId="3706" maxRId="37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FE06008-5C0E-44CD-8A45-A6B5CFEB5934}" dateTime="2021-02-23T09:04:00.000000000Z" userName="Yi Fan Liu" r:id="rId396" minRId="3708" maxRId="37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43ED74C-00CE-44F0-B170-704EC7E51429}" dateTime="2021-03-05T08:49:00.000000000Z" userName="Yi Fan Liu" r:id="rId397" minRId="3709" maxRId="371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1CF4AD1-9C5C-4E2E-A376-F80872253878}" dateTime="2021-03-05T08:50:00.000000000Z" userName="Yi Fan Liu" r:id="rId398" minRId="3712" maxRId="371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BCF57C8-28DA-465E-A760-0EFD8FA7059D}" dateTime="2021-03-05T08:54:00.000000000Z" userName="Yi Fan Liu" r:id="rId399" minRId="3714" maxRId="371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D5DAE06-A379-4C16-95E4-4B82F3E47502}" dateTime="2021-02-22T15:56:00.000000000Z" userName="Gordon Y P Mak" r:id="rId400" minRId="3716" maxRId="371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6E118AB-E58C-4EA5-93CE-7944F375D578}" dateTime="2021-03-03T08:35:00.000000000Z" userName="Yi Fan Liu" r:id="rId401" minRId="3717" maxRId="391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72ED0F8-FD8D-44E7-9339-54C3903A3FF2}" dateTime="2021-02-16T09:44:00.000000000Z" userName="Yi Fan Liu" r:id="rId402" minRId="3912" maxRId="391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E48FFF7-778F-4993-B7EA-07D4745E6961}" dateTime="2021-02-18T09:12:00.000000000Z" userName="Yi Fan Liu" r:id="rId403" minRId="3914" maxRId="391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0253CF5-7F46-4733-9338-51A00CD0CD93}" dateTime="2021-03-02T09:23:00.000000000Z" userName="Yi Fan Liu" r:id="rId404" minRId="3917" maxRId="39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A4947F3-F3F5-498B-A287-F83C67D08B8C}" dateTime="2021-02-22T09:21:00.000000000Z" userName="Gordon Y P Mak" r:id="rId405" minRId="3920" maxRId="392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33BD7E3-B7CC-405B-A0FA-565EAFCC8B57}" dateTime="2021-02-23T09:08:00.000000000Z" userName="Yi Fan Liu" r:id="rId406" minRId="3921" maxRId="392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26B63A0-83E9-4AC3-9C0F-2F229ABC834D}" dateTime="2021-03-12T09:28:00.000000000Z" userName="Yi Fan Liu" r:id="rId407" minRId="3922" maxRId="392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0790D7D-583F-4664-986F-832FE6FC33EF}" dateTime="2021-02-17T08:58:00.000000000Z" userName="Yi Fan Liu" r:id="rId408" minRId="3926" maxRId="392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899127A-8EF3-469B-9E10-1F1C341D673F}" dateTime="2021-03-03T09:06:00.000000000Z" userName="Yi Fan Liu" r:id="rId409" minRId="3929" maxRId="393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6140C62-CDC8-4CFD-8653-9C47A66A063B}" dateTime="2021-03-05T08:56:00.000000000Z" userName="Yi Fan Liu" r:id="rId410" minRId="3932" maxRId="393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971B4D4-7495-478F-8FAA-AEC554E1295C}" dateTime="2021-03-01T08:55:00.000000000Z" userName="Run Si Mao" r:id="rId411" minRId="3935" maxRId="393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4F57317-5835-4AE9-B425-BDD6C8CC6DBA}" dateTime="2021-02-24T09:18:00.000000000Z" userName="Gordon Y P Mak" r:id="rId412" minRId="3936" maxRId="393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875D976-E2F3-4A49-AA11-54C7B1886A94}" dateTime="2021-03-05T15:58:00.000000000Z" userName="Yi Fan Liu" r:id="rId413" minRId="3937" maxRId="393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5FE83D9-7948-4CA8-B701-20F83D9B6095}" dateTime="2021-03-05T16:01:00.000000000Z" userName="Yi Fan Liu" r:id="rId414" minRId="3939" maxRId="394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3CFEF7E-7FEA-495F-9330-354D630562ED}" dateTime="2021-02-24T09:11:00.000000000Z" userName="Yi Fan Liu" r:id="rId415" minRId="3942" maxRId="394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905A5DE-6F23-4E6A-A475-B4AB6B4C4DC0}" dateTime="2021-03-02T17:20:00.000000000Z" userName="Yi Fan Liu" r:id="rId416" minRId="3945" maxRId="394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AA8A7F7-1043-430E-A90C-6968A0E2D05C}" dateTime="2021-02-26T09:25:00.000000000Z" userName="Yi Fan Liu" r:id="rId417" minRId="3947" maxRId="394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F0C3FE0-5B2B-496A-9954-DC043FE51110}" dateTime="2021-03-05T20:10:00.000000000Z" userName="Yi Fan Liu" r:id="rId418" minRId="3948" maxRId="395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1464058-A10D-4C47-883E-AAC5A790E659}" dateTime="2021-03-08T08:35:00.000000000Z" userName="Run Si Mao" r:id="rId419" minRId="3952" maxRId="395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42A9C66-753B-4930-976A-29F895EF8ABD}" dateTime="2021-02-17T09:14:00.000000000Z" userName="Gordon Y P Mak" r:id="rId420" minRId="3953" maxRId="396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9C90053-3F34-4879-83D4-ECF489A4D86E}" dateTime="2021-02-16T11:48:00.000000000Z" userName="Gordon Y P Mak" r:id="rId421" minRId="3970" maxRId="397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D3F9386-E277-4525-95EF-667117181D21}" dateTime="2021-03-08T08:36:00.000000000Z" userName="Run Si Mao" r:id="rId422" minRId="3971" maxRId="397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0874F9D-2CDF-4E0D-AF8A-C263D56CE9DF}" dateTime="2021-03-03T09:16:00.000000000Z" userName="Yi Fan Liu" r:id="rId423" minRId="3974" maxRId="39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CF550E1-4CA5-4446-91D2-9E01707080DA}" dateTime="2021-03-03T09:13:00.000000000Z" userName="Yi Fan Liu" r:id="rId424" minRId="3977" maxRId="39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95308D7-5E9A-45B9-929D-4BAC77BE63FF}" dateTime="2021-02-17T09:21:00.000000000Z" userName="Gordon Y P Mak" r:id="rId425" minRId="3979" maxRId="397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F3309169-C51C-400C-A2BB-AD3B8CFF8626}" dateTime="2021-03-08T08:37:00.000000000Z" userName="Yi Fan Liu" r:id="rId426" minRId="3980" maxRId="418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1A9001D-210A-4CD5-A104-BEEBD4BACD10}" dateTime="2021-02-18T10:38:00.000000000Z" userName="Gordon Y P Mak" r:id="rId427" minRId="4181" maxRId="418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3E927BD-E96E-4FA3-B88D-4428E235AD4F}" dateTime="2024-01-30T22:06:00.000000000Z" userName=" " r:id="rId428" minRId="4182" maxRId="419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5534F85-E11E-475B-8376-0D1D6C2DF1A0}" dateTime="2024-01-30T22:07:00.000000000Z" userName=" " r:id="rId429" minRId="4199" maxRId="420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9C9D786-908E-4E98-84E9-951CA38516F4}" dateTime="2024-01-30T22:09:00.000000000Z" userName=" " r:id="rId430" minRId="4201" maxRId="420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D074A93-D6D8-42A1-BE7A-B7947AAB8D26}" dateTime="2024-01-30T22:10:00.000000000Z" userName=" " r:id="rId431" minRId="4202" maxRId="420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CEDFBA0-A439-4DDC-93A9-B0FC2E24FF0C}" dateTime="2024-01-30T22:11:00.000000000Z" userName=" " r:id="rId432" minRId="4204" maxRId="420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75C6967-27CD-4372-A782-C0CED09AD3E7}" dateTime="2024-01-30T22:26:00.000000000Z" userName=" " r:id="rId433" minRId="4205" maxRId="420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C2B315F-7CE4-469A-B3D3-310B61EF2775}" dateTime="2021-02-18T10:41:00.000000000Z" userName="Gordon Y P Mak" r:id="rId434" minRId="4206" maxRId="420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1599DE9-1CED-41F0-9C14-1E788C2ED372}" dateTime="2024-01-30T22:27:00.000000000Z" userName=" " r:id="rId435" minRId="4208" maxRId="420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8FFD945-BDF1-4164-87D8-41FF77A882C8}" dateTime="2021-02-24T09:14:00.000000000Z" userName="Yi Fan Liu" r:id="rId436" minRId="4209" maxRId="42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A7D53B2-4F70-4D3A-AADD-2EBFEF71A17B}" dateTime="2021-03-10T08:55:00.000000000Z" userName="Yi Fan Liu" r:id="rId437" minRId="4211" maxRId="42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EA6F482-C4C0-4893-812E-803D03A09891}" dateTime="2021-03-10T08:56:00.000000000Z" userName="Yi Fan Liu" r:id="rId438" minRId="4213" maxRId="421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67D174B-FAC4-4A43-B695-D8DF9F4875EA}" dateTime="2021-03-08T09:12:00.000000000Z" userName="Yi Fan Liu" r:id="rId439" minRId="4216" maxRId="421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6D3EAA1-81E2-4C12-AC93-4D5CCB733756}" dateTime="2023-05-29T14:34:00.000000000Z" userName=" " r:id="rId440" minRId="4217" maxRId="421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8857072-937C-4277-B5BE-48821D8CACBF}" dateTime="2021-02-23T14:10:00.000000000Z" userName="Gordon Y P Mak" r:id="rId441" minRId="4218" maxRId="42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436DBF2-7E19-4FBF-917C-6A9C99D0A95B}" dateTime="2021-03-10T08:57:00.000000000Z" userName="Yi Fan Liu" r:id="rId442" minRId="4220" maxRId="422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D1825B7-F156-4E25-AA5D-55429C52D33D}" dateTime="2021-03-14T13:31:00.000000000Z" userName="Run Si Mao" r:id="rId443" minRId="4221" maxRId="422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DDE0692-E37D-434E-A481-AA256481EA88}" dateTime="2021-02-17T09:18:00.000000000Z" userName="Yi Fan Liu" r:id="rId444" minRId="4222" maxRId="422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27BD108-F69A-4B91-A9F2-BBA253BAB78B}" dateTime="2021-02-17T09:25:00.000000000Z" userName="Yi Fan Liu" r:id="rId445" minRId="4225" maxRId="422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9F71ADE-322E-47DB-9CF0-33DF752D2C8B}" dateTime="2021-03-10T08:59:00.000000000Z" userName="Yi Fan Liu" r:id="rId446" minRId="4227" maxRId="422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5044CD7-BA1F-4A5A-AEC9-90416F1E01DC}" dateTime="2021-02-23T09:20:00.000000000Z" userName="Gordon Y P Mak" r:id="rId447" minRId="4229" maxRId="424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5546B36-363C-4FA0-B805-CBE21355F679}" dateTime="2021-03-12T09:03:00.000000000Z" userName="Yi Fan Liu" r:id="rId448" minRId="4246" maxRId="424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E654846C-6BB2-4A3C-86F2-B6C19B4B7C28}" dateTime="2021-02-23T08:51:00.000000000Z" userName="Yi Fan Liu" r:id="rId449" minRId="4248" maxRId="424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303A4DA-82A7-4667-8DBC-E1898290637E}" dateTime="2021-02-18T08:42:00.000000000Z" userName="Yi Fan Liu" r:id="rId450" minRId="4250" maxRId="440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115E052-E3B1-4CA4-966D-8A3BAB8EAA66}" dateTime="2021-02-18T11:23:00.000000000Z" userName="Gordon Y P Mak" r:id="rId451" minRId="4410" maxRId="441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D0863AA-F3E8-4BC9-BDE9-5628D6336A51}" dateTime="2021-03-10T09:03:00.000000000Z" userName="Yi Fan Liu" r:id="rId452" minRId="4411" maxRId="441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57C1FBE-079C-4BCF-BC61-46F45ED8B1E5}" dateTime="2023-05-29T12:14:00.000000000Z" userName=" " r:id="rId453" minRId="4413" maxRId="441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A9F1A7E-A45B-46EF-BCB3-C291988D2936}" dateTime="2021-03-10T09:06:00.000000000Z" userName="Yi Fan Liu" r:id="rId454" minRId="4416" maxRId="441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769A716-B2A1-40D7-ADAA-85F6E1A625E7}" dateTime="2021-02-16T17:47:00.000000000Z" userName="Yi Fan Liu" r:id="rId455" minRId="4419" maxRId="441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7D11CCA-F467-4959-BD77-A4A11947F704}" dateTime="2021-02-18T09:08:00.000000000Z" userName="Gordon Y P Mak" r:id="rId456" minRId="4420" maxRId="443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E473534-5C74-4C81-8F4D-C46FB61FF7E8}" dateTime="2021-03-10T09:08:00.000000000Z" userName="Yi Fan Liu" r:id="rId457" minRId="4435" maxRId="443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1F0B0E5-5816-4AD8-B505-D8B99B98DFEA}" dateTime="2021-03-03T09:07:00.000000000Z" userName="Yi Fan Liu" r:id="rId458" minRId="4438" maxRId="443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893B2DF3-5197-4F44-A354-B4D6FEF26879}" dateTime="2021-03-08T09:15:00.000000000Z" userName="Yi Fan Liu" r:id="rId459" minRId="4439" maxRId="444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344B62C-59F5-49DD-83CA-392875CF3366}" dateTime="2021-03-10T09:10:00.000000000Z" userName="Yi Fan Liu" r:id="rId460" minRId="4444" maxRId="444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D9650FB9-ED7D-4F5E-9658-AB2F3095F98B}" dateTime="2021-03-10T09:12:00.000000000Z" userName="Yi Fan Liu" r:id="rId461" minRId="4446" maxRId="444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F931082-C77D-45B2-89A1-6BBDCD34504D}" dateTime="2021-02-26T09:35:00.000000000Z" userName="Yi Fan Liu" r:id="rId462" minRId="4449" maxRId="445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E62F8C2-3FE3-4BF4-9DE7-AE9F4FABEED7}" dateTime="2021-03-10T09:13:00.000000000Z" userName="Yi Fan Liu" r:id="rId463" minRId="4451" maxRId="445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766C8B6B-C5B8-4E4E-B6AE-488F3A44A723}" dateTime="2021-02-23T14:11:00.000000000Z" userName="Gordon Y P Mak" r:id="rId464" minRId="4453" maxRId="445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E9D7388-A23A-413D-BD95-0E9DD61A1549}" dateTime="2021-03-10T09:16:00.000000000Z" userName="Yi Fan Liu" r:id="rId465" minRId="4455" maxRId="445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B9E5C7D-FA87-4AD4-AB0A-9683EE4CECDF}" dateTime="2021-03-01T12:54:00.000000000Z" userName="Yi Fan Liu" r:id="rId466" minRId="4457" maxRId="445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4D8C08B-9A21-4D81-A48E-7F92851DBE0F}" dateTime="2021-02-18T11:27:00.000000000Z" userName="Gordon Y P Mak" r:id="rId467" minRId="4459" maxRId="445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97D9AEA-3FD1-4B64-B972-5918546786E6}" dateTime="2023-05-29T12:58:00.000000000Z" userName=" " r:id="rId468" minRId="4460" maxRId="446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27DD3FE2-51ED-4D27-B963-0A9223E05103}" dateTime="2021-02-26T09:33:00.000000000Z" userName="Yi Fan Liu" r:id="rId469" minRId="4461" maxRId="446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AC524CC-9A91-4094-8D42-F6457A653E8C}" dateTime="2021-02-26T09:08:00.000000000Z" userName="Yi Fan Liu" r:id="rId470" minRId="4464" maxRId="446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FC8A737-1E07-4C77-8BD8-972C9FA297AD}" dateTime="2021-03-10T09:27:00.000000000Z" userName="Run Si Mao" r:id="rId471" minRId="4466" maxRId="446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2E9B80B-0BEB-44C1-9E9B-C67E22BB6698}" dateTime="2021-03-10T09:28:00.000000000Z" userName="Run Si Mao" r:id="rId472" minRId="4468" maxRId="446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4959162-2054-4416-A594-49DD10E61C64}" dateTime="2021-02-26T11:32:00.000000000Z" userName="Yi Fan Liu" r:id="rId473" minRId="4469" maxRId="446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387D1CD-47BD-4BCD-9DC2-AA8940E895F1}" dateTime="2021-02-17T09:25:00.000000000Z" userName="Gordon Y P Mak" r:id="rId474" minRId="4470" maxRId="447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12ED619A-167D-4FEC-B8B4-B6C4CFE4AB24}" dateTime="2021-02-23T09:02:00.000000000Z" userName="Yi Fan Liu" r:id="rId475" minRId="4471" maxRId="447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DAC6D79-44CC-40DF-815F-ADA331195D78}" dateTime="2021-03-04T08:39:00.000000000Z" userName="Yi Fan Liu" r:id="rId476" minRId="4473" maxRId="4474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FA8F44B-EF79-4C28-801D-4AF721708A0B}" dateTime="2021-03-08T09:17:00.000000000Z" userName="Yi Fan Liu" r:id="rId477" minRId="4475" maxRId="447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B5F89ABD-AE02-4733-9204-E9D631117EFF}" dateTime="2021-03-14T14:32:00.000000000Z" userName="Run Si Mao" r:id="rId478" minRId="4476" maxRId="4476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98A9E006-ACEE-45A8-B042-F092EA5B2FA2}" dateTime="2021-03-01T12:55:00.000000000Z" userName="Yi Fan Liu" r:id="rId479" minRId="4477" maxRId="447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A77C30C8-1382-4476-9D10-2DC70E9136B6}" dateTime="2021-03-08T09:01:00.000000000Z" userName="Yi Fan Liu" r:id="rId480" minRId="4479" maxRId="4479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C73C6FB7-8CA6-4D7E-9465-5CAFC3E0DED5}" dateTime="2021-03-03T09:10:00.000000000Z" userName="Yi Fan Liu" r:id="rId481" minRId="4480" maxRId="4481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61C19E2-C793-40EF-887F-1C10F3C77D59}" dateTime="2021-03-10T09:29:00.000000000Z" userName="Run Si Mao" r:id="rId482" minRId="4482" maxRId="448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4644F74E-D5F8-41C9-A383-5920DADEE2FE}" dateTime="2021-03-10T09:30:00.000000000Z" userName="Run Si Mao" r:id="rId483" minRId="4483" maxRId="4485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EDE4512-1E71-4CA7-A3DD-A768D9CEFF31}" dateTime="2021-02-23T12:26:00.000000000Z" userName="Yi Fan Liu" r:id="rId484" minRId="4486" maxRId="448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6BC5097D-3D05-41BE-B517-AA18556E27E7}" dateTime="2021-02-18T11:28:00.000000000Z" userName="Gordon Y P Mak" r:id="rId485" minRId="4488" maxRId="448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051CC7D7-D271-44AD-99D7-BD75EEAD7C1E}" dateTime="2021-03-10T09:32:00.000000000Z" userName="Run Si Mao" r:id="rId486" minRId="4489" maxRId="4490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B05CF41-24E3-4D93-9846-F6837782DD00}" dateTime="2021-03-08T18:39:00.000000000Z" userName="Yi Fan Liu" r:id="rId487" minRId="4491" maxRId="4492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4F8247E-FD27-4C18-A098-D06714B53929}" dateTime="2021-03-10T09:33:00.000000000Z" userName="Run Si Mao" r:id="rId488" minRId="4493" maxRId="4493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53B9C1EF-2A73-4F25-AB83-AC318FA0A724}" dateTime="2021-03-11T08:34:00.000000000Z" userName="Yi Fan Liu" r:id="rId489" minRId="4494" maxRId="4697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  <header guid="{3A812C5D-9310-4BD8-B8DC-B5A54489A35F}" dateTime="2021-02-24T09:19:00.000000000Z" userName="Gordon Y P Mak" r:id="rId490" minRId="4698" maxRId="4698" maxSheetId="22">
    <sheetIdMap count="2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8">
    <oc r="H3" t="n">
      <v>10.85</v>
    </oc>
    <nc r="H3" t="n">
      <v>10.9</v>
    </nc>
  </rcc>
  <rcc rId="2" ua="false" sId="18">
    <oc r="H2" t="n">
      <v>11.3</v>
    </oc>
    <nc r="H2" t="n">
      <v>11.2</v>
    </nc>
  </rcc>
  <rcc rId="3" ua="false" sId="18">
    <oc r="H5" t="n">
      <v>1.8</v>
    </oc>
    <nc r="H5" t="n">
      <v>2.1</v>
    </nc>
  </rcc>
  <rcc rId="4" ua="false" sId="18">
    <oc r="J2" t="n">
      <v>11.75</v>
    </oc>
    <nc r="J2" t="n">
      <v>11.2</v>
    </nc>
  </rcc>
  <rcc rId="5" ua="false" sId="18">
    <oc r="J3" t="n">
      <v>11.1</v>
    </oc>
    <nc r="J3" t="n">
      <v>10.9</v>
    </nc>
  </rcc>
  <rcc rId="6" ua="false" sId="18">
    <oc r="J5" t="n">
      <v>1.4</v>
    </oc>
    <nc r="J5" t="n">
      <v>2.1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7" ua="false" sId="18">
    <oc r="F5" t="n">
      <v>1.9</v>
    </oc>
    <nc r="F5" t="n">
      <v>0.7</v>
    </nc>
  </rcc>
  <rcc rId="8" ua="false" sId="18">
    <oc r="F2" t="n">
      <v>6.05</v>
    </oc>
    <nc r="F2" t="n">
      <v>6.1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9" ua="false" sId="18">
    <oc r="B3" t="n">
      <v>6.9</v>
    </oc>
    <nc r="B3" t="n">
      <v>6.95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0" ua="false" sId="18">
    <oc r="G6" t="n">
      <v>6.5</v>
    </oc>
    <nc r="G6" t="n">
      <v>6</v>
    </nc>
  </rcc>
  <rcc rId="11" ua="false" sId="18">
    <oc r="G3" t="n">
      <v>7.05</v>
    </oc>
    <nc r="G3" t="n">
      <v>7.08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2" ua="false" sId="18">
    <oc r="F3" t="n">
      <v>7.7</v>
    </oc>
    <nc r="F3" t="n">
      <v>7.65</v>
    </nc>
  </rcc>
  <rcc rId="13" ua="false" sId="18">
    <oc r="F20" t="n">
      <v>6</v>
    </oc>
    <nc r="F20" t="n">
      <v>5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4" ua="false" sId="18">
    <oc r="B2" t="n">
      <v>5.1</v>
    </oc>
    <nc r="B2" t="n">
      <v>5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15" ua="false" sId="18">
    <oc r="G2" t="n">
      <v>6.33</v>
    </oc>
    <nc r="G2" t="n">
      <v>6.3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16" ua="false" sId="18">
    <oc r="D2" t="n">
      <v>0.525</v>
    </oc>
    <nc r="D2" t="n">
      <v>0.53</v>
    </nc>
  </rcc>
  <rcc rId="17" ua="false" sId="18">
    <oc r="D3" t="n">
      <v>0.38</v>
    </oc>
    <nc r="D3" t="n">
      <v>0.39</v>
    </nc>
  </rcc>
  <rcc rId="18" ua="false" sId="18">
    <oc r="D3" t="n">
      <v>0.39</v>
    </oc>
    <nc r="D3" t="n">
      <v>0.395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19" ua="false" sId="18">
    <oc r="F2" t="n">
      <v>6.2</v>
    </oc>
    <nc r="F2" t="n">
      <v>6.3</v>
    </nc>
  </rcc>
  <rcc rId="20" ua="false" sId="18">
    <oc r="F5" t="n">
      <v>1</v>
    </oc>
    <nc r="F5" t="n">
      <v>1.2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21" ua="false" sId="18">
    <oc r="I3" t="n">
      <v>9</v>
    </oc>
    <nc r="I3" t="n">
      <v>9.03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22" ua="false" sId="18">
    <oc r="B2" t="n">
      <v>5.15</v>
    </oc>
    <nc r="B2" t="n">
      <v>5.3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23" ua="false" sId="18">
    <oc r="F2" t="n">
      <v>6.7</v>
    </oc>
    <nc r="F2" t="n">
      <v>6.6</v>
    </nc>
  </rcc>
  <rcc rId="24" ua="false" sId="18">
    <oc r="F5" t="n">
      <v>0.8</v>
    </oc>
    <nc r="F5" t="n">
      <v>1.1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25" ua="false" sId="18">
    <oc r="H3" t="n">
      <v>10.82</v>
    </oc>
    <nc r="H3" t="n">
      <v>10.83</v>
    </nc>
  </rcc>
  <rcc rId="26" ua="false" sId="18">
    <oc r="J3" t="n">
      <v>11.05</v>
    </oc>
    <nc r="J3" t="n">
      <v>11</v>
    </nc>
  </rcc>
  <rcc rId="27" ua="false" sId="18">
    <oc r="J2" t="n">
      <v>10.8</v>
    </oc>
    <nc r="J2" t="n">
      <v>10.7</v>
    </nc>
  </rcc>
  <rcc rId="28" ua="false" sId="18">
    <oc r="J5" t="n">
      <v>2</v>
    </oc>
    <nc r="J5" t="n">
      <v>1.5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29" ua="false" sId="18">
    <oc r="F2" t="n">
      <v>6.6</v>
    </oc>
    <nc r="F2" t="n">
      <v>6.55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rc rId="30" ua="false" sId="19" eol="1" ref="29:29" action="insertRow"/>
  <rcc rId="31" ua="false" sId="19">
    <nc r="B29" t="n">
      <v>355319</v>
    </nc>
  </rcc>
  <rcc rId="32" ua="false" sId="19">
    <nc r="A29" t="n">
      <v>44253</v>
    </nc>
  </rcc>
  <rcc rId="33" ua="false" sId="19">
    <nc r="C29" t="n">
      <f>C28+B29</f>
    </nc>
  </rcc>
  <rrc rId="34" ua="false" sId="19" eol="1" ref="30:30" action="insertRow"/>
  <rcc rId="35" ua="false" sId="19">
    <nc r="A30" t="n">
      <v>44256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36" ua="false" sId="18">
    <oc r="G2" t="n">
      <v>7.3</v>
    </oc>
    <nc r="G2" t="n">
      <v>7.2</v>
    </nc>
  </rcc>
  <rcc rId="37" ua="false" sId="18">
    <oc r="G5" t="n">
      <v>2</v>
    </oc>
    <nc r="G5" t="n">
      <v>2.4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38" ua="false" sId="18">
    <oc r="B2" t="n">
      <v>4.95</v>
    </oc>
    <nc r="B2" t="n">
      <v>4.7</v>
    </nc>
  </rcc>
  <rcc rId="39" ua="false" sId="18">
    <oc r="B2" t="n">
      <v>4.7</v>
    </oc>
    <nc r="B2" t="n">
      <v>4.75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40" ua="false" sId="18">
    <oc r="J2" t="n">
      <v>10.14</v>
    </oc>
    <nc r="J2" t="n">
      <v>10.13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41" ua="false" sId="18">
    <oc r="I2" t="n">
      <v>8.71</v>
    </oc>
    <nc r="I2" t="n">
      <v>8.55</v>
    </nc>
  </rcc>
  <rcc rId="42" ua="false" sId="18">
    <oc r="I5" t="n">
      <v>0.5</v>
    </oc>
    <nc r="I5" t="n">
      <v>0.9</v>
    </nc>
  </rcc>
  <rcc rId="43" ua="false" sId="18">
    <oc r="I3" t="n">
      <v>9.13</v>
    </oc>
    <nc r="I3" t="n">
      <v>9.1</v>
    </nc>
  </rcc>
  <rcc rId="44" ua="false" sId="18">
    <oc r="I2" t="n">
      <v>8.55</v>
    </oc>
    <nc r="I2" t="n">
      <v>8.4</v>
    </nc>
  </rcc>
  <rcc rId="45" ua="false" sId="18">
    <oc r="I5" t="n">
      <v>0.9</v>
    </oc>
    <nc r="I5" t="n">
      <v>1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46" ua="false" sId="18">
    <oc r="L2" t="n">
      <v>0.415</v>
    </oc>
    <nc r="L2" t="n">
      <v>0.405</v>
    </nc>
  </rcc>
  <rcc rId="47" ua="false" sId="18">
    <oc r="L3" t="n">
      <v>0.4</v>
    </oc>
    <nc r="L3" t="n">
      <v>0.395</v>
    </nc>
  </rcc>
  <rcc rId="48" ua="false" sId="18">
    <oc r="L5" t="n">
      <v>0.1</v>
    </oc>
    <nc r="L5" t="n">
      <v>-0.2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49" ua="false" sId="18">
    <oc r="J2" t="n">
      <v>10.15</v>
    </oc>
    <nc r="J2" t="n">
      <v>10.14</v>
    </nc>
  </rcc>
  <rcc rId="50" ua="false" sId="18">
    <oc r="J5" t="n">
      <v>0.5</v>
    </oc>
    <nc r="J5" t="n">
      <v>0.45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51" ua="false" sId="18">
    <oc r="I3" t="n">
      <v>9.23</v>
    </oc>
    <nc r="I3" t="n">
      <v>9.2</v>
    </nc>
  </rcc>
  <rcc rId="52" ua="false" sId="18">
    <oc r="I2" t="n">
      <v>8.52</v>
    </oc>
    <nc r="I2" t="n">
      <v>8.2</v>
    </nc>
  </rcc>
  <rcc rId="53" ua="false" sId="18">
    <oc r="I5" t="n">
      <v>1.3</v>
    </oc>
    <nc r="I5" t="n">
      <v>1.5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54" ua="false" sId="21">
    <oc r="A1" t="inlineStr">
      <is>
        <r>
          <rPr>
            <sz val="11"/>
            <rFont val="Calibri"/>
            <family val="0"/>
            <charset val="1"/>
          </rPr>
          <t xml:space="preserve">Z:\# Derivatives and Structured Products #\Yifan\indication.xlsx</t>
        </r>
      </is>
    </oc>
    <nc r="A1" t="inlineStr">
      <is>
        <r>
          <rPr>
            <sz val="11"/>
            <rFont val="Calibri"/>
            <family val="0"/>
            <charset val="1"/>
          </rPr>
          <t xml:space="preserve">indication.xlsx</t>
        </r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55" ua="false" sId="18">
    <oc r="G2" t="n">
      <v>6.2</v>
    </oc>
    <nc r="G2" t="n">
      <v>6.1</v>
    </nc>
  </rcc>
  <rcc rId="56" ua="false" sId="18">
    <oc r="G21" t="n">
      <v>1</v>
    </oc>
    <nc r="G21" t="n">
      <v>3</v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rc rId="57" ua="false" sId="18" eol="1" ref="9:9" action="insertRow"/>
  <rcc rId="58" ua="false" sId="18">
    <nc r="A9" t="inlineStr">
      <is>
        <r>
          <rPr>
            <sz val="11"/>
            <rFont val="Calibri"/>
            <family val="0"/>
            <charset val="1"/>
          </rPr>
          <t xml:space="preserve">03/11/2021 00:00</t>
        </r>
      </is>
    </nc>
  </rcc>
  <rcc rId="59" ua="false" sId="18">
    <nc r="B9" t="n">
      <v>0</v>
    </nc>
  </rcc>
  <rcc rId="60" ua="false" sId="18">
    <nc r="C9" t="n">
      <v>0</v>
    </nc>
  </rcc>
  <rcc rId="61" ua="false" sId="18">
    <nc r="D9" t="n">
      <v>0</v>
    </nc>
  </rcc>
  <rcc rId="62" ua="false" sId="18">
    <nc r="E9" t="n">
      <v>0</v>
    </nc>
  </rcc>
  <rcc rId="63" ua="false" sId="18">
    <nc r="F9" t="n">
      <v>0</v>
    </nc>
  </rcc>
  <rcc rId="64" ua="false" sId="18">
    <nc r="G9" t="n">
      <v>0</v>
    </nc>
  </rcc>
  <rcc rId="65" ua="false" sId="18">
    <nc r="H9" t="n">
      <v>0</v>
    </nc>
  </rcc>
  <rcc rId="66" ua="false" sId="18">
    <nc r="I9" t="n">
      <v>0</v>
    </nc>
  </rcc>
  <rcc rId="67" ua="false" sId="18">
    <nc r="J9" t="n">
      <v>0</v>
    </nc>
  </rcc>
  <rcc rId="68" ua="false" sId="18">
    <nc r="K9" t="n">
      <v>0</v>
    </nc>
  </rcc>
  <rcc rId="69" ua="false" sId="18">
    <nc r="L9" t="n">
      <v>0</v>
    </nc>
  </rcc>
  <rcc rId="70" ua="false" sId="18">
    <nc r="M9" t="n">
      <v>0</v>
    </nc>
  </rcc>
  <rcc rId="71" ua="false" sId="18">
    <nc r="N9" t="n">
      <v>0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72" ua="false" sId="18">
    <oc r="G9" t="n">
      <v>0</v>
    </oc>
    <nc r="G9" t="n">
      <v>1</v>
    </nc>
  </rcc>
  <rcc rId="73" ua="false" sId="18">
    <oc r="I5" t="n">
      <v>1.5</v>
    </oc>
    <nc r="I5" t="n">
      <v>2</v>
    </nc>
  </rcc>
  <rcc rId="74" ua="false" sId="18">
    <oc r="I2" t="n">
      <v>8.2</v>
    </oc>
    <nc r="I2" t="n">
      <v>8.15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75" ua="false" sId="18">
    <oc r="B5" t="n">
      <v>0</v>
    </oc>
    <nc r="B5" t="n">
      <v>-0.3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76" ua="false" sId="18">
    <oc r="B2" t="n">
      <v>5.15</v>
    </oc>
    <nc r="B2" t="n">
      <v>5.2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77" ua="false" sId="18">
    <oc r="G2" t="n">
      <v>6.5</v>
    </oc>
    <nc r="G2" t="n">
      <v>6.4</v>
    </nc>
  </rcc>
  <rcc rId="78" ua="false" sId="18">
    <oc r="G3" t="n">
      <v>7.1</v>
    </oc>
    <nc r="G3" t="n">
      <v>7.05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79" ua="false" sId="19">
    <oc r="A9" t="inlineStr">
      <is>
        <r>
          <rPr>
            <sz val="11"/>
            <rFont val="Calibri"/>
            <family val="0"/>
            <charset val="1"/>
          </rPr>
          <t xml:space="preserve">06/20/2023 00:00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12/16/2023 00:00</t>
        </r>
      </is>
    </nc>
  </rcc>
  <rcc rId="80" ua="false" sId="19">
    <oc r="B9" t="n">
      <v>10</v>
    </oc>
    <nc r="B9" t="n">
      <v>5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81" ua="false" sId="18">
    <oc r="H2" t="n">
      <v>9.6</v>
    </oc>
    <nc r="H2" t="n">
      <v>10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82" ua="false" sId="18">
    <oc r="G3" t="n">
      <v>7.1</v>
    </oc>
    <nc r="G3" t="n">
      <v>7.05</v>
    </nc>
  </rcc>
  <rcc rId="83" ua="false" sId="18">
    <oc r="G5" t="n">
      <v>0.7</v>
    </oc>
    <nc r="G5" t="n">
      <v>0.6</v>
    </nc>
  </rcc>
  <rcc rId="84" ua="false" sId="18">
    <oc r="G2" t="n">
      <v>6.15</v>
    </oc>
    <nc r="G2" t="n">
      <v>6.2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85" ua="false" sId="16">
    <oc r="D2" t="n">
      <v>0.42</v>
    </oc>
    <nc r="D2" t="n">
      <v>0.415</v>
    </nc>
  </rcc>
  <rcc rId="86" ua="false" sId="16">
    <oc r="D3" t="n">
      <v>0.4525</v>
    </oc>
    <nc r="D3" t="n">
      <v>0.445</v>
    </nc>
  </rcc>
  <rcc rId="87" ua="false" sId="16">
    <oc r="D4" t="n">
      <v>0.5375</v>
    </oc>
    <nc r="D4" t="n">
      <v>0.535</v>
    </nc>
  </rcc>
  <rcc rId="88" ua="false" sId="16">
    <oc r="C5" t="n">
      <v>0.2075</v>
    </oc>
    <nc r="C5" t="n">
      <v>0.215</v>
    </nc>
  </rcc>
  <rcc rId="89" ua="false" sId="16">
    <oc r="D5" t="n">
      <v>0.6725</v>
    </oc>
    <nc r="D5" t="n">
      <v>0.67</v>
    </nc>
  </rcc>
  <rcc rId="90" ua="false" sId="16">
    <oc r="C6" t="n">
      <v>0.2375</v>
    </oc>
    <nc r="C6" t="n">
      <v>0.235</v>
    </nc>
  </rcc>
  <rcc rId="91" ua="false" sId="16">
    <oc r="D6" t="n">
      <v>0.75</v>
    </oc>
    <nc r="D6" t="n">
      <v>0.76</v>
    </nc>
  </rcc>
  <rcc rId="92" ua="false" sId="16">
    <oc r="C7" t="n">
      <v>0.2775</v>
    </oc>
    <nc r="C7" t="n">
      <v>0.28</v>
    </nc>
  </rcc>
  <rcc rId="93" ua="false" sId="16">
    <oc r="D7" t="n">
      <v>0.9575</v>
    </oc>
    <nc r="D7" t="n">
      <v>0.97</v>
    </nc>
  </rcc>
  <rcc rId="94" ua="false" sId="16">
    <oc r="C8" t="n">
      <v>0.3075</v>
    </oc>
    <nc r="C8" t="n">
      <v>0.3125</v>
    </nc>
  </rcc>
  <rcc rId="95" ua="false" sId="16">
    <oc r="D8" t="n">
      <v>1.1125</v>
    </oc>
    <nc r="D8" t="n">
      <v>1.1175</v>
    </nc>
  </rcc>
  <rcc rId="96" ua="false" sId="16">
    <oc r="C9" t="n">
      <v>0.3275</v>
    </oc>
    <nc r="C9" t="n">
      <v>0.33</v>
    </nc>
  </rcc>
  <rcc rId="97" ua="false" sId="16">
    <oc r="D9" t="n">
      <v>1.2425</v>
    </oc>
    <nc r="D9" t="n">
      <v>1.24</v>
    </nc>
  </rcc>
  <rcc rId="98" ua="false" sId="16">
    <oc r="C10" t="n">
      <v>0.3525</v>
    </oc>
    <nc r="C10" t="n">
      <v>0.355</v>
    </nc>
  </rcc>
  <rcc rId="99" ua="false" sId="16">
    <oc r="D10" t="n">
      <v>1.3175</v>
    </oc>
    <nc r="D10" t="n">
      <v>1.33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100" ua="false" sId="19">
    <nc r="A26" t="n">
      <v>44248</v>
    </nc>
  </rcc>
  <rcc rId="101" ua="false" sId="19">
    <nc r="B26" t="n">
      <v>7800</v>
    </nc>
  </rcc>
  <rcc rId="102" ua="false" sId="19">
    <nc r="C26" t="n">
      <f>C25+B26</f>
    </nc>
  </rcc>
  <rcc rId="103" ua="false" sId="19">
    <oc r="A26" t="n">
      <v>44248</v>
    </oc>
    <nc r="A26" t="n">
      <v>44250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104" ua="false" sId="18">
    <oc r="J5" t="n">
      <v>4.6</v>
    </oc>
    <nc r="J5" t="n">
      <v>4.9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105" ua="false" sId="18">
    <oc r="D3" t="n">
      <v>0.395</v>
    </oc>
    <nc r="D3" t="n">
      <v>0.39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106" ua="false" sId="18">
    <oc r="H3" t="n">
      <v>10.3</v>
    </oc>
    <nc r="H3" t="n">
      <v>10.1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107" ua="false" sId="18">
    <oc r="G11" t="n">
      <v>5</v>
    </oc>
    <nc r="G11" t="n">
      <v>0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108" ua="false" sId="18">
    <oc r="H3" t="n">
      <v>10.1</v>
    </oc>
    <nc r="H3" t="n">
      <v>10.2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109" ua="false" sId="18">
    <oc r="J2" t="n">
      <v>10.7</v>
    </oc>
    <nc r="J2" t="n">
      <v>10.72</v>
    </nc>
  </rcc>
  <rcc rId="110" ua="false" sId="18">
    <oc r="J3" t="n">
      <v>11</v>
    </oc>
    <nc r="J3" t="n">
      <v>10.97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>
  <rcc rId="111" ua="false" sId="18">
    <oc r="G3" t="n">
      <v>7.05</v>
    </oc>
    <nc r="G3" t="n">
      <v>7.1</v>
    </nc>
  </rcc>
  <rcc rId="112" ua="false" sId="18">
    <oc r="G5" t="n">
      <v>0.45</v>
    </oc>
    <nc r="G5" t="n">
      <v>0.55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113" ua="false" sId="18">
    <oc r="H5" t="n">
      <v>0</v>
    </oc>
    <nc r="H5" t="n">
      <v>-0.4</v>
    </nc>
  </rcc>
  <rcc rId="114" ua="false" sId="18">
    <oc r="H3" t="n">
      <v>10.2</v>
    </oc>
    <nc r="H3" t="n">
      <v>10.3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115" ua="false" sId="18">
    <oc r="H6" t="n">
      <v>3</v>
    </oc>
    <nc r="H6" t="n">
      <v>7.5</v>
    </nc>
  </rcc>
  <rcc rId="116" ua="false" sId="18">
    <oc r="H5" t="n">
      <v>-0.4</v>
    </oc>
    <nc r="H5" t="n">
      <v>0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117" ua="false" sId="18">
    <oc r="B2" t="n">
      <v>5.2</v>
    </oc>
    <nc r="B2" t="n">
      <v>5.25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118" ua="false" sId="18">
    <oc r="F5" t="n">
      <v>0.4</v>
    </oc>
    <nc r="F5" t="n">
      <v>0.6</v>
    </nc>
  </rcc>
  <rcc rId="119" ua="false" sId="18">
    <oc r="F2" t="n">
      <v>6.05</v>
    </oc>
    <nc r="F2" t="n">
      <v>6</v>
    </nc>
  </rcc>
  <rcc rId="120" ua="false" sId="18">
    <oc r="F3" t="n">
      <v>7.5</v>
    </oc>
    <nc r="F3" t="n">
      <v>7.55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121" ua="false" sId="18">
    <oc r="J3" t="n">
      <v>10.75</v>
    </oc>
    <nc r="J3" t="n">
      <v>10.77</v>
    </nc>
  </rcc>
  <rcc rId="122" ua="false" sId="18">
    <oc r="J5" t="n">
      <v>1.1</v>
    </oc>
    <nc r="J5" t="n">
      <v>1.2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123" ua="false" sId="18">
    <oc r="I2" t="n">
      <v>8.85</v>
    </oc>
    <nc r="I2" t="n">
      <v>8.95</v>
    </nc>
  </rcc>
  <rcc rId="124" ua="false" sId="18">
    <oc r="I5" t="n">
      <v>2.7</v>
    </oc>
    <nc r="I5" t="n">
      <v>2.5</v>
    </nc>
  </rcc>
  <rcc rId="125" ua="false" sId="18">
    <oc r="I3" t="n">
      <v>9.5</v>
    </oc>
    <nc r="I3" t="n">
      <v>9.45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126" ua="false" sId="18">
    <oc r="H2" t="n">
      <v>10</v>
    </oc>
    <nc r="H2" t="n">
      <v>9.6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127" ua="false" sId="18">
    <oc r="B5" t="n">
      <v>0</v>
    </oc>
    <nc r="B5" t="n">
      <v>-0.1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128" ua="false" sId="18">
    <oc r="H2" t="n">
      <v>11.8</v>
    </oc>
    <nc r="H2" t="n">
      <v>11.9</v>
    </nc>
  </rcc>
  <rcc rId="129" ua="false" sId="18">
    <oc r="H3" t="n">
      <v>11.1</v>
    </oc>
    <nc r="H3" t="n">
      <v>11.2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130" ua="false" sId="18">
    <oc r="H3" t="n">
      <v>10.3</v>
    </oc>
    <nc r="H3" t="n">
      <v>10.25</v>
    </nc>
  </rcc>
  <rcc rId="131" ua="false" sId="18">
    <oc r="H2" t="n">
      <v>9.6</v>
    </oc>
    <nc r="H2" t="n">
      <v>9.55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132" ua="false" sId="18">
    <oc r="H6" t="n">
      <v>7.5</v>
    </oc>
    <nc r="H6" t="n">
      <v>8.5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133" ua="false" sId="18">
    <oc r="I3" t="n">
      <v>9.05</v>
    </oc>
    <nc r="I3" t="n">
      <v>9</v>
    </nc>
  </rcc>
  <rcc rId="134" ua="false" sId="18">
    <oc r="I2" t="n">
      <v>7.9</v>
    </oc>
    <nc r="I2" t="n">
      <v>7.75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135" ua="false" sId="18">
    <oc r="H2" t="n">
      <v>11.6</v>
    </oc>
    <nc r="H2" t="n">
      <v>11.3</v>
    </nc>
  </rcc>
  <rcc rId="136" ua="false" sId="18">
    <oc r="H3" t="n">
      <v>10.95</v>
    </oc>
    <nc r="H3" t="n">
      <v>10.85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137" ua="false" sId="18">
    <oc r="G5" t="n">
      <v>3</v>
    </oc>
    <nc r="G5" t="n">
      <v>1.2</v>
    </nc>
  </rcc>
  <rcc rId="138" ua="false" sId="18">
    <oc r="G2" t="n">
      <v>7</v>
    </oc>
    <nc r="G2" t="n">
      <v>6.8</v>
    </nc>
  </rcc>
  <rcc rId="139" ua="false" sId="18">
    <oc r="G3" t="n">
      <v>7.4</v>
    </oc>
    <nc r="G3" t="n">
      <v>7.3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140" ua="false" sId="18">
    <oc r="H6" t="n">
      <v>8.5</v>
    </oc>
    <nc r="H6" t="n">
      <v>9.5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141" ua="false" sId="16">
    <oc r="D2" t="n">
      <v>0.45</v>
    </oc>
    <nc r="D2" t="n">
      <v>0.42</v>
    </nc>
  </rcc>
  <rcc rId="142" ua="false" sId="16">
    <oc r="C3" t="n">
      <v>0.1825</v>
    </oc>
    <nc r="C3" t="n">
      <v>0.18</v>
    </nc>
  </rcc>
  <rcc rId="143" ua="false" sId="16">
    <oc r="D3" t="n">
      <v>0.5175</v>
    </oc>
    <nc r="D3" t="n">
      <v>0.4525</v>
    </nc>
  </rcc>
  <rcc rId="144" ua="false" sId="16">
    <oc r="C4" t="n">
      <v>0.19</v>
    </oc>
    <nc r="C4" t="n">
      <v>0.195</v>
    </nc>
  </rcc>
  <rcc rId="145" ua="false" sId="16">
    <oc r="D4" t="n">
      <v>0.555</v>
    </oc>
    <nc r="D4" t="n">
      <v>0.5375</v>
    </nc>
  </rcc>
  <rcc rId="146" ua="false" sId="16">
    <oc r="D5" t="n">
      <v>0.6675</v>
    </oc>
    <nc r="D5" t="n">
      <v>0.6725</v>
    </nc>
  </rcc>
  <rcc rId="147" ua="false" sId="16">
    <oc r="C6" t="n">
      <v>0.235</v>
    </oc>
    <nc r="C6" t="n">
      <v>0.2375</v>
    </nc>
  </rcc>
  <rcc rId="148" ua="false" sId="16">
    <oc r="D6" t="n">
      <v>0.765</v>
    </oc>
    <nc r="D6" t="n">
      <v>0.75</v>
    </nc>
  </rcc>
  <rcc rId="149" ua="false" sId="16">
    <oc r="C7" t="n">
      <v>0.2825</v>
    </oc>
    <nc r="C7" t="n">
      <v>0.2775</v>
    </nc>
  </rcc>
  <rcc rId="150" ua="false" sId="16">
    <oc r="D7" t="n">
      <v>0.97</v>
    </oc>
    <nc r="D7" t="n">
      <v>0.9575</v>
    </nc>
  </rcc>
  <rcc rId="151" ua="false" sId="16">
    <oc r="C8" t="n">
      <v>0.3175</v>
    </oc>
    <nc r="C8" t="n">
      <v>0.3075</v>
    </nc>
  </rcc>
  <rcc rId="152" ua="false" sId="16">
    <oc r="D8" t="n">
      <v>1.125</v>
    </oc>
    <nc r="D8" t="n">
      <v>1.1125</v>
    </nc>
  </rcc>
  <rcc rId="153" ua="false" sId="16">
    <oc r="C9" t="n">
      <v>0.3425</v>
    </oc>
    <nc r="C9" t="n">
      <v>0.3275</v>
    </nc>
  </rcc>
  <rcc rId="154" ua="false" sId="16">
    <oc r="D9" t="n">
      <v>1.24</v>
    </oc>
    <nc r="D9" t="n">
      <v>1.2425</v>
    </nc>
  </rcc>
  <rcc rId="155" ua="false" sId="16">
    <oc r="C10" t="n">
      <v>0.37</v>
    </oc>
    <nc r="C10" t="n">
      <v>0.3525</v>
    </nc>
  </rcc>
  <rcc rId="156" ua="false" sId="16">
    <oc r="D10" t="n">
      <v>1.335</v>
    </oc>
    <nc r="D10" t="n">
      <v>1.3175</v>
    </nc>
  </rcc>
  <rcc rId="157" ua="false" sId="18">
    <oc r="B3" t="n">
      <v>6.7</v>
    </oc>
    <nc r="B3" t="n">
      <v>6.8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158" ua="false" sId="18">
    <oc r="G2" t="n">
      <v>5.95</v>
    </oc>
    <nc r="G2" t="n">
      <v>6.15</v>
    </nc>
  </rcc>
  <rcc rId="159" ua="false" sId="18">
    <oc r="G5" t="n">
      <v>0.2</v>
    </oc>
    <nc r="G5" t="n">
      <v>0.3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160" ua="false" sId="2">
    <oc r="C2" t="n">
      <v>0.235</v>
    </oc>
    <nc r="C2" t="n">
      <v>0.245</v>
    </nc>
  </rcc>
  <rcc rId="161" ua="false" sId="2">
    <oc r="D2" t="n">
      <v>-0.53</v>
    </oc>
    <nc r="D2" t="n">
      <v>-0.605</v>
    </nc>
  </rcc>
  <rcc rId="162" ua="false" sId="2">
    <oc r="C3" t="n">
      <v>0.2475</v>
    </oc>
    <nc r="C3" t="n">
      <v>0.25</v>
    </nc>
  </rcc>
  <rcc rId="163" ua="false" sId="2">
    <oc r="D3" t="n">
      <v>-0.6725</v>
    </oc>
    <nc r="D3" t="n">
      <v>-0.7325</v>
    </nc>
  </rcc>
  <rcc rId="164" ua="false" sId="2">
    <oc r="D4" t="n">
      <v>-0.7975</v>
    </oc>
    <nc r="D4" t="n">
      <v>-0.8975</v>
    </nc>
  </rcc>
  <rcc rId="165" ua="false" sId="2">
    <oc r="C5" t="n">
      <v>0.2625</v>
    </oc>
    <nc r="C5" t="n">
      <v>0.2675</v>
    </nc>
  </rcc>
  <rcc rId="166" ua="false" sId="2">
    <oc r="D5" t="n">
      <v>-0.815</v>
    </oc>
    <nc r="D5" t="n">
      <v>-0.8375</v>
    </nc>
  </rcc>
  <rcc rId="167" ua="false" sId="2">
    <oc r="C6" t="n">
      <v>0.305</v>
    </oc>
    <nc r="C6" t="n">
      <v>0.3025</v>
    </nc>
  </rcc>
  <rcc rId="168" ua="false" sId="2">
    <oc r="D6" t="n">
      <v>-0.925</v>
    </oc>
    <nc r="D6" t="n">
      <v>-0.9725</v>
    </nc>
  </rcc>
  <rcc rId="169" ua="false" sId="2">
    <oc r="C7" t="n">
      <v>0.3275</v>
    </oc>
    <nc r="C7" t="n">
      <v>0.33</v>
    </nc>
  </rcc>
  <rcc rId="170" ua="false" sId="2">
    <oc r="D7" t="n">
      <v>-1.145</v>
    </oc>
    <nc r="D7" t="n">
      <v>-1.1625</v>
    </nc>
  </rcc>
  <rcc rId="171" ua="false" sId="2">
    <oc r="C8" t="n">
      <v>0.365</v>
    </oc>
    <nc r="C8" t="n">
      <v>0.37</v>
    </nc>
  </rcc>
  <rcc rId="172" ua="false" sId="2">
    <oc r="D8" t="n">
      <v>-1.325</v>
    </oc>
    <nc r="D8" t="n">
      <v>-1.355</v>
    </nc>
  </rcc>
  <rcc rId="173" ua="false" sId="2">
    <oc r="C9" t="n">
      <v>0.395</v>
    </oc>
    <nc r="C9" t="n">
      <v>0.3975</v>
    </nc>
  </rcc>
  <rcc rId="174" ua="false" sId="2">
    <oc r="D9" t="n">
      <v>-1.4125</v>
    </oc>
    <nc r="D9" t="n">
      <v>-1.4375</v>
    </nc>
  </rcc>
  <rcc rId="175" ua="false" sId="2">
    <oc r="C10" t="n">
      <v>0.415</v>
    </oc>
    <nc r="C10" t="n">
      <v>0.42</v>
    </nc>
  </rcc>
  <rcc rId="176" ua="false" sId="2">
    <oc r="D10" t="n">
      <v>-1.485</v>
    </oc>
    <nc r="D10" t="n">
      <v>-1.5</v>
    </nc>
  </rcc>
  <rcc rId="177" ua="false" sId="2">
    <oc r="D11" t="n">
      <v>-1.5675</v>
    </oc>
    <nc r="D11" t="n">
      <v>-1.5875</v>
    </nc>
  </rcc>
  <rcc rId="178" ua="false" sId="3">
    <oc r="C2" t="n">
      <v>0.185</v>
    </oc>
    <nc r="C2" t="n">
      <v>0.19</v>
    </nc>
  </rcc>
  <rcc rId="179" ua="false" sId="3">
    <oc r="D2" t="n">
      <v>-0.2325</v>
    </oc>
    <nc r="D2" t="n">
      <v>-0.25</v>
    </nc>
  </rcc>
  <rcc rId="180" ua="false" sId="3">
    <oc r="C3" t="n">
      <v>0.1875</v>
    </oc>
    <nc r="C3" t="n">
      <v>0.185</v>
    </nc>
  </rcc>
  <rcc rId="181" ua="false" sId="3">
    <oc r="D3" t="n">
      <v>-0.2375</v>
    </oc>
    <nc r="D3" t="n">
      <v>-0.25</v>
    </nc>
  </rcc>
  <rcc rId="182" ua="false" sId="3">
    <oc r="D4" t="n">
      <v>-0.29</v>
    </oc>
    <nc r="D4" t="n">
      <v>-0.345</v>
    </nc>
  </rcc>
  <rcc rId="183" ua="false" sId="3">
    <oc r="C5" t="n">
      <v>0.205</v>
    </oc>
    <nc r="C5" t="n">
      <v>0.2075</v>
    </nc>
  </rcc>
  <rcc rId="184" ua="false" sId="3">
    <oc r="D5" t="n">
      <v>-0.415</v>
    </oc>
    <nc r="D5" t="n">
      <v>-0.4225</v>
    </nc>
  </rcc>
  <rcc rId="185" ua="false" sId="3">
    <oc r="C6" t="n">
      <v>0.245</v>
    </oc>
    <nc r="C6" t="n">
      <v>0.25</v>
    </nc>
  </rcc>
  <rcc rId="186" ua="false" sId="3">
    <oc r="D6" t="n">
      <v>-0.53</v>
    </oc>
    <nc r="D6" t="n">
      <v>-0.5325</v>
    </nc>
  </rcc>
  <rcc rId="187" ua="false" sId="3">
    <oc r="C7" t="n">
      <v>0.29</v>
    </oc>
    <nc r="C7" t="n">
      <v>0.295</v>
    </nc>
  </rcc>
  <rcc rId="188" ua="false" sId="3">
    <oc r="D7" t="n">
      <v>-0.665</v>
    </oc>
    <nc r="D7" t="n">
      <v>-0.67</v>
    </nc>
  </rcc>
  <rcc rId="189" ua="false" sId="3">
    <oc r="C8" t="n">
      <v>0.355</v>
    </oc>
    <nc r="C8" t="n">
      <v>0.36</v>
    </nc>
  </rcc>
  <rcc rId="190" ua="false" sId="3">
    <oc r="C10" t="n">
      <v>0.415</v>
    </oc>
    <nc r="C10" t="n">
      <v>0.42</v>
    </nc>
  </rcc>
  <rcc rId="191" ua="false" sId="3">
    <oc r="D10" t="n">
      <v>-0.965</v>
    </oc>
    <nc r="D10" t="n">
      <v>-0.96</v>
    </nc>
  </rcc>
  <rcc rId="192" ua="false" sId="3">
    <oc r="C11" t="n">
      <v>0.43</v>
    </oc>
    <nc r="C11" t="n">
      <v>0.435</v>
    </nc>
  </rcc>
  <rcc rId="193" ua="false" sId="3">
    <oc r="D11" t="n">
      <v>-1.065</v>
    </oc>
    <nc r="D11" t="n">
      <v>-1.06</v>
    </nc>
  </rcc>
  <rcc rId="194" ua="false" sId="4">
    <oc r="C2" t="n">
      <v>0.1975</v>
    </oc>
    <nc r="C2" t="n">
      <v>0.185</v>
    </nc>
  </rcc>
  <rcc rId="195" ua="false" sId="4">
    <oc r="D2" t="n">
      <v>0.2125</v>
    </oc>
    <nc r="D2" t="n">
      <v>0.245</v>
    </nc>
  </rcc>
  <rcc rId="196" ua="false" sId="4">
    <oc r="C3" t="n">
      <v>0.2</v>
    </oc>
    <nc r="C3" t="n">
      <v>0.185</v>
    </nc>
  </rcc>
  <rcc rId="197" ua="false" sId="4">
    <oc r="D3" t="n">
      <v>0.2575</v>
    </oc>
    <nc r="D3" t="n">
      <v>0.2975</v>
    </nc>
  </rcc>
  <rcc rId="198" ua="false" sId="4">
    <oc r="C4" t="n">
      <v>0.205</v>
    </oc>
    <nc r="C4" t="n">
      <v>0.19</v>
    </nc>
  </rcc>
  <rcc rId="199" ua="false" sId="4">
    <oc r="D4" t="n">
      <v>0.28</v>
    </oc>
    <nc r="D4" t="n">
      <v>0.305</v>
    </nc>
  </rcc>
  <rcc rId="200" ua="false" sId="4">
    <oc r="C5" t="n">
      <v>0.205</v>
    </oc>
    <nc r="C5" t="n">
      <v>0.195</v>
    </nc>
  </rcc>
  <rcc rId="201" ua="false" sId="4">
    <oc r="D5" t="n">
      <v>0.3025</v>
    </oc>
    <nc r="D5" t="n">
      <v>0.325</v>
    </nc>
  </rcc>
  <rcc rId="202" ua="false" sId="4">
    <oc r="C6" t="n">
      <v>0.235</v>
    </oc>
    <nc r="C6" t="n">
      <v>0.2225</v>
    </nc>
  </rcc>
  <rcc rId="203" ua="false" sId="4">
    <oc r="D6" t="n">
      <v>0.32</v>
    </oc>
    <nc r="D6" t="n">
      <v>0.3525</v>
    </nc>
  </rcc>
  <rcc rId="204" ua="false" sId="4">
    <oc r="C7" t="n">
      <v>0.2625</v>
    </oc>
    <nc r="C7" t="n">
      <v>0.255</v>
    </nc>
  </rcc>
  <rcc rId="205" ua="false" sId="4">
    <oc r="D7" t="n">
      <v>0.3625</v>
    </oc>
    <nc r="D7" t="n">
      <v>0.4025</v>
    </nc>
  </rcc>
  <rcc rId="206" ua="false" sId="4">
    <oc r="C8" t="n">
      <v>0.3175</v>
    </oc>
    <nc r="C8" t="n">
      <v>0.2975</v>
    </nc>
  </rcc>
  <rcc rId="207" ua="false" sId="4">
    <oc r="D8" t="n">
      <v>0.395</v>
    </oc>
    <nc r="D8" t="n">
      <v>0.415</v>
    </nc>
  </rcc>
  <rcc rId="208" ua="false" sId="4">
    <oc r="C9" t="n">
      <v>0.3725</v>
    </oc>
    <nc r="C9" t="n">
      <v>0.3525</v>
    </nc>
  </rcc>
  <rcc rId="209" ua="false" sId="4">
    <oc r="D9" t="n">
      <v>0.37</v>
    </oc>
    <nc r="D9" t="n">
      <v>0.405</v>
    </nc>
  </rcc>
  <rcc rId="210" ua="false" sId="4">
    <oc r="C10" t="n">
      <v>0.385</v>
    </oc>
    <nc r="C10" t="n">
      <v>0.3625</v>
    </nc>
  </rcc>
  <rcc rId="211" ua="false" sId="4">
    <oc r="D10" t="n">
      <v>0.4075</v>
    </oc>
    <nc r="D10" t="n">
      <v>0.4425</v>
    </nc>
  </rcc>
  <rcc rId="212" ua="false" sId="4">
    <oc r="C11" t="n">
      <v>0.4</v>
    </oc>
    <nc r="C11" t="n">
      <v>0.39</v>
    </nc>
  </rcc>
  <rcc rId="213" ua="false" sId="4">
    <oc r="D11" t="n">
      <v>0.425</v>
    </oc>
    <nc r="D11" t="n">
      <v>0.44</v>
    </nc>
  </rcc>
  <rcc rId="214" ua="false" sId="5">
    <oc r="C2" t="n">
      <v>0.1275</v>
    </oc>
    <nc r="C2" t="n">
      <v>0.115</v>
    </nc>
  </rcc>
  <rcc rId="215" ua="false" sId="5">
    <oc r="D2" t="n">
      <v>0.2525</v>
    </oc>
    <nc r="D2" t="n">
      <v>0.2775</v>
    </nc>
  </rcc>
  <rcc rId="216" ua="false" sId="5">
    <oc r="C3" t="n">
      <v>0.13</v>
    </oc>
    <nc r="C3" t="n">
      <v>0.1175</v>
    </nc>
  </rcc>
  <rcc rId="217" ua="false" sId="5">
    <oc r="D3" t="n">
      <v>0.3175</v>
    </oc>
    <nc r="D3" t="n">
      <v>0.325</v>
    </nc>
  </rcc>
  <rcc rId="218" ua="false" sId="5">
    <oc r="C4" t="n">
      <v>0.1475</v>
    </oc>
    <nc r="C4" t="n">
      <v>0.145</v>
    </nc>
  </rcc>
  <rcc rId="219" ua="false" sId="5">
    <oc r="D4" t="n">
      <v>0.3625</v>
    </oc>
    <nc r="D4" t="n">
      <v>0.38</v>
    </nc>
  </rcc>
  <rcc rId="220" ua="false" sId="5">
    <oc r="C5" t="n">
      <v>0.14</v>
    </oc>
    <nc r="C5" t="n">
      <v>0.1225</v>
    </nc>
  </rcc>
  <rcc rId="221" ua="false" sId="5">
    <oc r="D5" t="n">
      <v>0.385</v>
    </oc>
    <nc r="D5" t="n">
      <v>0.4125</v>
    </nc>
  </rcc>
  <rcc rId="222" ua="false" sId="5">
    <oc r="C6" t="n">
      <v>0.1575</v>
    </oc>
    <nc r="C6" t="n">
      <v>0.155</v>
    </nc>
  </rcc>
  <rcc rId="223" ua="false" sId="5">
    <oc r="D6" t="n">
      <v>0.5225</v>
    </oc>
    <nc r="D6" t="n">
      <v>0.515</v>
    </nc>
  </rcc>
  <rcc rId="224" ua="false" sId="5">
    <oc r="C7" t="n">
      <v>0.185</v>
    </oc>
    <nc r="C7" t="n">
      <v>0.1675</v>
    </nc>
  </rcc>
  <rcc rId="225" ua="false" sId="5">
    <oc r="D7" t="n">
      <v>0.5875</v>
    </oc>
    <nc r="D7" t="n">
      <v>0.5975</v>
    </nc>
  </rcc>
  <rcc rId="226" ua="false" sId="5">
    <oc r="C8" t="n">
      <v>0.2425</v>
    </oc>
    <nc r="C8" t="n">
      <v>0.2225</v>
    </nc>
  </rcc>
  <rcc rId="227" ua="false" sId="5">
    <oc r="C9" t="n">
      <v>0.2775</v>
    </oc>
    <nc r="C9" t="n">
      <v>0.2525</v>
    </nc>
  </rcc>
  <rcc rId="228" ua="false" sId="5">
    <oc r="D9" t="n">
      <v>0.7775</v>
    </oc>
    <nc r="D9" t="n">
      <v>0.7925</v>
    </nc>
  </rcc>
  <rcc rId="229" ua="false" sId="5">
    <oc r="C10" t="n">
      <v>0.25</v>
    </oc>
    <nc r="C10" t="n">
      <v>0.2425</v>
    </nc>
  </rcc>
  <rcc rId="230" ua="false" sId="5">
    <oc r="D10" t="n">
      <v>0.84</v>
    </oc>
    <nc r="D10" t="n">
      <v>0.8375</v>
    </nc>
  </rcc>
  <rcc rId="231" ua="false" sId="5">
    <oc r="D11" t="n">
      <v>0.8425</v>
    </oc>
    <nc r="D11" t="n">
      <v>0.8325</v>
    </nc>
  </rcc>
  <rcc rId="232" ua="false" sId="11">
    <oc r="C2" t="n">
      <v>0.1925</v>
    </oc>
    <nc r="C2" t="n">
      <v>0.175</v>
    </nc>
  </rcc>
  <rcc rId="233" ua="false" sId="11">
    <oc r="D2" t="n">
      <v>-0.9575</v>
    </oc>
    <nc r="D2" t="n">
      <v>-1.0625</v>
    </nc>
  </rcc>
  <rcc rId="234" ua="false" sId="11">
    <oc r="C3" t="n">
      <v>0.2225</v>
    </oc>
    <nc r="C3" t="n">
      <v>0.1925</v>
    </nc>
  </rcc>
  <rcc rId="235" ua="false" sId="11">
    <oc r="D3" t="n">
      <v>-1.14</v>
    </oc>
    <nc r="D3" t="n">
      <v>-1.2075</v>
    </nc>
  </rcc>
  <rcc rId="236" ua="false" sId="11">
    <oc r="C4" t="n">
      <v>0.27</v>
    </oc>
    <nc r="C4" t="n">
      <v>0.265</v>
    </nc>
  </rcc>
  <rcc rId="237" ua="false" sId="11">
    <oc r="D4" t="n">
      <v>-1.125</v>
    </oc>
    <nc r="D4" t="n">
      <v>-1.215</v>
    </nc>
  </rcc>
  <rcc rId="238" ua="false" sId="11">
    <oc r="C5" t="n">
      <v>0.25</v>
    </oc>
    <nc r="C5" t="n">
      <v>0.235</v>
    </nc>
  </rcc>
  <rcc rId="239" ua="false" sId="11">
    <oc r="D5" t="n">
      <v>-1.35</v>
    </oc>
    <nc r="D5" t="n">
      <v>-1.48</v>
    </nc>
  </rcc>
  <rcc rId="240" ua="false" sId="11">
    <oc r="C6" t="n">
      <v>0.3075</v>
    </oc>
    <nc r="C6" t="n">
      <v>0.2875</v>
    </nc>
  </rcc>
  <rcc rId="241" ua="false" sId="11">
    <oc r="D6" t="n">
      <v>-1.7625</v>
    </oc>
    <nc r="D6" t="n">
      <v>-1.8625</v>
    </nc>
  </rcc>
  <rcc rId="242" ua="false" sId="11">
    <oc r="C7" t="n">
      <v>0.3425</v>
    </oc>
    <nc r="C7" t="n">
      <v>0.32</v>
    </nc>
  </rcc>
  <rcc rId="243" ua="false" sId="11">
    <oc r="D7" t="n">
      <v>-2.0725</v>
    </oc>
    <nc r="D7" t="n">
      <v>-2.115</v>
    </nc>
  </rcc>
  <rcc rId="244" ua="false" sId="11">
    <oc r="C8" t="n">
      <v>0.405</v>
    </oc>
    <nc r="C8" t="n">
      <v>0.38</v>
    </nc>
  </rcc>
  <rcc rId="245" ua="false" sId="11">
    <oc r="D8" t="n">
      <v>-2.445</v>
    </oc>
    <nc r="D8" t="n">
      <v>-2.5175</v>
    </nc>
  </rcc>
  <rcc rId="246" ua="false" sId="11">
    <oc r="C9" t="n">
      <v>0.4375</v>
    </oc>
    <nc r="C9" t="n">
      <v>0.405</v>
    </nc>
  </rcc>
  <rcc rId="247" ua="false" sId="11">
    <oc r="D9" t="n">
      <v>-2.6275</v>
    </oc>
    <nc r="D9" t="n">
      <v>-2.6775</v>
    </nc>
  </rcc>
  <rcc rId="248" ua="false" sId="11">
    <oc r="C10" t="n">
      <v>0.4525</v>
    </oc>
    <nc r="C10" t="n">
      <v>0.42</v>
    </nc>
  </rcc>
  <rcc rId="249" ua="false" sId="11">
    <oc r="D10" t="n">
      <v>-2.755</v>
    </oc>
    <nc r="D10" t="n">
      <v>-2.8025</v>
    </nc>
  </rcc>
  <rcc rId="250" ua="false" sId="11">
    <oc r="C11" t="n">
      <v>0.44</v>
    </oc>
    <nc r="C11" t="n">
      <v>0.41</v>
    </nc>
  </rcc>
  <rcc rId="251" ua="false" sId="11">
    <oc r="D11" t="n">
      <v>-3.14</v>
    </oc>
    <nc r="D11" t="n">
      <v>-3.19</v>
    </nc>
  </rcc>
  <rcc rId="252" ua="false" sId="12">
    <oc r="C2" t="n">
      <v>0.19</v>
    </oc>
    <nc r="C2" t="n">
      <v>0.18</v>
    </nc>
  </rcc>
  <rcc rId="253" ua="false" sId="12">
    <oc r="D2" t="n">
      <v>-0.49</v>
    </oc>
    <nc r="D2" t="n">
      <v>-0.55</v>
    </nc>
  </rcc>
  <rcc rId="254" ua="false" sId="12">
    <oc r="C3" t="n">
      <v>0.1975</v>
    </oc>
    <nc r="C3" t="n">
      <v>0.1875</v>
    </nc>
  </rcc>
  <rcc rId="255" ua="false" sId="12">
    <oc r="D3" t="n">
      <v>-0.5325</v>
    </oc>
    <nc r="D3" t="n">
      <v>-0.5925</v>
    </nc>
  </rcc>
  <rcc rId="256" ua="false" sId="12">
    <oc r="C4" t="n">
      <v>0.18</v>
    </oc>
    <nc r="C4" t="n">
      <v>0.185</v>
    </nc>
  </rcc>
  <rcc rId="257" ua="false" sId="12">
    <oc r="D4" t="n">
      <v>-0.535</v>
    </oc>
    <nc r="D4" t="n">
      <v>-0.785</v>
    </nc>
  </rcc>
  <rcc rId="258" ua="false" sId="12">
    <oc r="C5" t="n">
      <v>0.2225</v>
    </oc>
    <nc r="C5" t="n">
      <v>0.2175</v>
    </nc>
  </rcc>
  <rcc rId="259" ua="false" sId="12">
    <oc r="D5" t="n">
      <v>-0.5325</v>
    </oc>
    <nc r="D5" t="n">
      <v>-0.6125</v>
    </nc>
  </rcc>
  <rcc rId="260" ua="false" sId="12">
    <oc r="D6" t="n">
      <v>-0.7175</v>
    </oc>
    <nc r="D6" t="n">
      <v>-0.7925</v>
    </nc>
  </rcc>
  <rcc rId="261" ua="false" sId="12">
    <oc r="C7" t="n">
      <v>0.285</v>
    </oc>
    <nc r="C7" t="n">
      <v>0.28</v>
    </nc>
  </rcc>
  <rcc rId="262" ua="false" sId="12">
    <oc r="D7" t="n">
      <v>-0.87</v>
    </oc>
    <nc r="D7" t="n">
      <v>-0.9325</v>
    </nc>
  </rcc>
  <rcc rId="263" ua="false" sId="12">
    <oc r="C8" t="n">
      <v>0.345</v>
    </oc>
    <nc r="C8" t="n">
      <v>0.34</v>
    </nc>
  </rcc>
  <rcc rId="264" ua="false" sId="12">
    <oc r="D8" t="n">
      <v>-1.105</v>
    </oc>
    <nc r="D8" t="n">
      <v>-1.1675</v>
    </nc>
  </rcc>
  <rcc rId="265" ua="false" sId="12">
    <oc r="C9" t="n">
      <v>0.39</v>
    </oc>
    <nc r="C9" t="n">
      <v>0.38</v>
    </nc>
  </rcc>
  <rcc rId="266" ua="false" sId="12">
    <oc r="D9" t="n">
      <v>-1.2425</v>
    </oc>
    <nc r="D9" t="n">
      <v>-1.275</v>
    </nc>
  </rcc>
  <rcc rId="267" ua="false" sId="12">
    <oc r="C10" t="n">
      <v>0.3975</v>
    </oc>
    <nc r="C10" t="n">
      <v>0.3875</v>
    </nc>
  </rcc>
  <rcc rId="268" ua="false" sId="12">
    <oc r="D10" t="n">
      <v>-1.2925</v>
    </oc>
    <nc r="D10" t="n">
      <v>-1.3475</v>
    </nc>
  </rcc>
  <rcc rId="269" ua="false" sId="12">
    <oc r="C11" t="n">
      <v>0.425</v>
    </oc>
    <nc r="C11" t="n">
      <v>0.41</v>
    </nc>
  </rcc>
  <rcc rId="270" ua="false" sId="12">
    <oc r="D11" t="n">
      <v>-1.47</v>
    </oc>
    <nc r="D11" t="n">
      <v>-1.565</v>
    </nc>
  </rcc>
  <rcc rId="271" ua="false" sId="13">
    <oc r="C2" t="n">
      <v>0.13</v>
    </oc>
    <nc r="C2" t="n">
      <v>0.135</v>
    </nc>
  </rcc>
  <rcc rId="272" ua="false" sId="13">
    <oc r="D2" t="n">
      <v>-0.045</v>
    </oc>
    <nc r="D2" t="n">
      <v>-0.005</v>
    </nc>
  </rcc>
  <rcc rId="273" ua="false" sId="13">
    <oc r="C3" t="n">
      <v>0.1325</v>
    </oc>
    <nc r="C3" t="n">
      <v>0.1375</v>
    </nc>
  </rcc>
  <rcc rId="274" ua="false" sId="13">
    <oc r="D3" t="n">
      <v>-0.05</v>
    </oc>
    <nc r="D3" t="n">
      <v>-0.0025</v>
    </nc>
  </rcc>
  <rcc rId="275" ua="false" sId="13">
    <oc r="C4" t="n">
      <v>0.145</v>
    </oc>
    <nc r="C4" t="n">
      <v>0.155</v>
    </nc>
  </rcc>
  <rcc rId="276" ua="false" sId="13">
    <oc r="D4" t="n">
      <v>-0.0375</v>
    </oc>
    <nc r="D4" t="n">
      <v>0.015</v>
    </nc>
  </rcc>
  <rcc rId="277" ua="false" sId="13">
    <oc r="D5" t="n">
      <v>-0.035</v>
    </oc>
    <nc r="D5" t="n">
      <v>0.015</v>
    </nc>
  </rcc>
  <rcc rId="278" ua="false" sId="13">
    <oc r="C6" t="n">
      <v>0.1775</v>
    </oc>
    <nc r="C6" t="n">
      <v>0.18</v>
    </nc>
  </rcc>
  <rcc rId="279" ua="false" sId="13">
    <oc r="D6" t="n">
      <v>0.025</v>
    </oc>
    <nc r="D6" t="n">
      <v>0.055</v>
    </nc>
  </rcc>
  <rcc rId="280" ua="false" sId="13">
    <oc r="C7" t="n">
      <v>0.2</v>
    </oc>
    <nc r="C7" t="n">
      <v>0.1975</v>
    </nc>
  </rcc>
  <rcc rId="281" ua="false" sId="13">
    <oc r="D7" t="n">
      <v>0.0625</v>
    </oc>
    <nc r="D7" t="n">
      <v>0.0825</v>
    </nc>
  </rcc>
  <rcc rId="282" ua="false" sId="13">
    <oc r="C8" t="n">
      <v>0.2525</v>
    </oc>
    <nc r="C8" t="n">
      <v>0.2575</v>
    </nc>
  </rcc>
  <rcc rId="283" ua="false" sId="13">
    <oc r="D8" t="n">
      <v>0.1475</v>
    </oc>
    <nc r="D8" t="n">
      <v>0.15</v>
    </nc>
  </rcc>
  <rcc rId="284" ua="false" sId="13">
    <oc r="C10" t="n">
      <v>0.32</v>
    </oc>
    <nc r="C10" t="n">
      <v>0.3175</v>
    </nc>
  </rcc>
  <rcc rId="285" ua="false" sId="13">
    <oc r="C11" t="n">
      <v>0.33</v>
    </oc>
    <nc r="C11" t="n">
      <v>0.335</v>
    </nc>
  </rcc>
  <rcc rId="286" ua="false" sId="13">
    <oc r="D11" t="n">
      <v>0.0975</v>
    </oc>
    <nc r="D11" t="n">
      <v>0.1125</v>
    </nc>
  </rcc>
  <rcc rId="287" ua="false" sId="14">
    <oc r="C2" t="n">
      <v>0.215</v>
    </oc>
    <nc r="C2" t="n">
      <v>0.225</v>
    </nc>
  </rcc>
  <rcc rId="288" ua="false" sId="14">
    <oc r="D2" t="n">
      <v>-0.635</v>
    </oc>
    <nc r="D2" t="n">
      <v>-0.72</v>
    </nc>
  </rcc>
  <rcc rId="289" ua="false" sId="14">
    <oc r="C3" t="n">
      <v>0.235</v>
    </oc>
    <nc r="C3" t="n">
      <v>0.24</v>
    </nc>
  </rcc>
  <rcc rId="290" ua="false" sId="14">
    <oc r="D3" t="n">
      <v>-0.76</v>
    </oc>
    <nc r="D3" t="n">
      <v>-0.875</v>
    </nc>
  </rcc>
  <rcc rId="291" ua="false" sId="14">
    <oc r="D4" t="n">
      <v>-0.875</v>
    </oc>
    <nc r="D4" t="n">
      <v>-0.98</v>
    </nc>
  </rcc>
  <rcc rId="292" ua="false" sId="14">
    <oc r="C5" t="n">
      <v>0.2725</v>
    </oc>
    <nc r="C5" t="n">
      <v>0.28</v>
    </nc>
  </rcc>
  <rcc rId="293" ua="false" sId="14">
    <oc r="D5" t="n">
      <v>-0.9425</v>
    </oc>
    <nc r="D5" t="n">
      <v>-1.05</v>
    </nc>
  </rcc>
  <rcc rId="294" ua="false" sId="14">
    <oc r="C6" t="n">
      <v>0.315</v>
    </oc>
    <nc r="C6" t="n">
      <v>0.32</v>
    </nc>
  </rcc>
  <rcc rId="295" ua="false" sId="14">
    <oc r="D6" t="n">
      <v>-1.115</v>
    </oc>
    <nc r="D6" t="n">
      <v>-1.215</v>
    </nc>
  </rcc>
  <rcc rId="296" ua="false" sId="14">
    <oc r="C7" t="n">
      <v>0.34</v>
    </oc>
    <nc r="C7" t="n">
      <v>0.345</v>
    </nc>
  </rcc>
  <rcc rId="297" ua="false" sId="14">
    <oc r="D7" t="n">
      <v>-1.245</v>
    </oc>
    <nc r="D7" t="n">
      <v>-1.305</v>
    </nc>
  </rcc>
  <rcc rId="298" ua="false" sId="14">
    <oc r="C8" t="n">
      <v>0.39</v>
    </oc>
    <nc r="C8" t="n">
      <v>0.3925</v>
    </nc>
  </rcc>
  <rcc rId="299" ua="false" sId="14">
    <oc r="D8" t="n">
      <v>-1.44</v>
    </oc>
    <nc r="D8" t="n">
      <v>-1.495</v>
    </nc>
  </rcc>
  <rcc rId="300" ua="false" sId="14">
    <oc r="C9" t="n">
      <v>0.42</v>
    </oc>
    <nc r="C9" t="n">
      <v>0.425</v>
    </nc>
  </rcc>
  <rcc rId="301" ua="false" sId="14">
    <oc r="D9" t="n">
      <v>-1.53</v>
    </oc>
    <nc r="D9" t="n">
      <v>-1.585</v>
    </nc>
  </rcc>
  <rcc rId="302" ua="false" sId="14">
    <oc r="C10" t="n">
      <v>0.4375</v>
    </oc>
    <nc r="C10" t="n">
      <v>0.445</v>
    </nc>
  </rcc>
  <rcc rId="303" ua="false" sId="14">
    <oc r="D10" t="n">
      <v>-1.5975</v>
    </oc>
    <nc r="D10" t="n">
      <v>-1.645</v>
    </nc>
  </rcc>
  <rcc rId="304" ua="false" sId="14">
    <oc r="C11" t="n">
      <v>0.47</v>
    </oc>
    <nc r="C11" t="n">
      <v>0.475</v>
    </nc>
  </rcc>
  <rcc rId="305" ua="false" sId="14">
    <oc r="D11" t="n">
      <v>-1.745</v>
    </oc>
    <nc r="D11" t="n">
      <v>-1.795</v>
    </nc>
  </rcc>
  <rcc rId="306" ua="false" sId="15">
    <oc r="C2" t="n">
      <v>0.2025</v>
    </oc>
    <nc r="C2" t="n">
      <v>0.185</v>
    </nc>
  </rcc>
  <rcc rId="307" ua="false" sId="15">
    <oc r="D2" t="n">
      <v>-0.4225</v>
    </oc>
    <nc r="D2" t="n">
      <v>-0.3125</v>
    </nc>
  </rcc>
  <rcc rId="308" ua="false" sId="15">
    <oc r="C3" t="n">
      <v>0.2</v>
    </oc>
    <nc r="C3" t="n">
      <v>0.1925</v>
    </nc>
  </rcc>
  <rcc rId="309" ua="false" sId="15">
    <oc r="D3" t="n">
      <v>-0.425</v>
    </oc>
    <nc r="D3" t="n">
      <v>-0.3425</v>
    </nc>
  </rcc>
  <rcc rId="310" ua="false" sId="15">
    <oc r="C4" t="n">
      <v>0.225</v>
    </oc>
    <nc r="C4" t="n">
      <v>0.2175</v>
    </nc>
  </rcc>
  <rcc rId="311" ua="false" sId="15">
    <oc r="D4" t="n">
      <v>-0.4725</v>
    </oc>
    <nc r="D4" t="n">
      <v>-0.4075</v>
    </nc>
  </rcc>
  <rcc rId="312" ua="false" sId="15">
    <oc r="C5" t="n">
      <v>0.215</v>
    </oc>
    <nc r="C5" t="n">
      <v>0.205</v>
    </nc>
  </rcc>
  <rcc rId="313" ua="false" sId="15">
    <oc r="D5" t="n">
      <v>-0.45</v>
    </oc>
    <nc r="D5" t="n">
      <v>-0.4175</v>
    </nc>
  </rcc>
  <rcc rId="314" ua="false" sId="15">
    <oc r="D6" t="n">
      <v>-0.6475</v>
    </oc>
    <nc r="D6" t="n">
      <v>-0.6275</v>
    </nc>
  </rcc>
  <rcc rId="315" ua="false" sId="15">
    <oc r="C7" t="n">
      <v>0.2725</v>
    </oc>
    <nc r="C7" t="n">
      <v>0.265</v>
    </nc>
  </rcc>
  <rcc rId="316" ua="false" sId="15">
    <oc r="D8" t="n">
      <v>-1.1125</v>
    </oc>
    <nc r="D8" t="n">
      <v>-1.13</v>
    </nc>
  </rcc>
  <rcc rId="317" ua="false" sId="15">
    <oc r="D9" t="n">
      <v>-1.24</v>
    </oc>
    <nc r="D9" t="n">
      <v>-1.2575</v>
    </nc>
  </rcc>
  <rcc rId="318" ua="false" sId="15">
    <oc r="D10" t="n">
      <v>-1.325</v>
    </oc>
    <nc r="D10" t="n">
      <v>-1.345</v>
    </nc>
  </rcc>
  <rcc rId="319" ua="false" sId="15">
    <oc r="D11" t="n">
      <v>-1.57</v>
    </oc>
    <nc r="D11" t="n">
      <v>-1.585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320" ua="false" sId="18">
    <oc r="I2" t="n">
      <v>8.95</v>
    </oc>
    <nc r="I2" t="n">
      <v>9.05</v>
    </nc>
  </rcc>
  <rcc rId="321" ua="false" sId="18">
    <oc r="I5" t="n">
      <v>2.5</v>
    </oc>
    <nc r="I5" t="n">
      <v>1.9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322" ua="false" sId="18">
    <oc r="H2" t="n">
      <v>9.55</v>
    </oc>
    <nc r="H2" t="n">
      <v>9.52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323" ua="false" sId="18">
    <oc r="F5" t="n">
      <v>0.9</v>
    </oc>
    <nc r="F5" t="n">
      <v>0.4</v>
    </nc>
  </rcc>
  <rcc rId="324" ua="false" sId="18">
    <oc r="F3" t="n">
      <v>7.62</v>
    </oc>
    <nc r="F3" t="n">
      <v>7.65</v>
    </nc>
  </rcc>
  <rcc rId="325" ua="false" sId="18">
    <oc r="F2" t="n">
      <v>6.22</v>
    </oc>
    <nc r="F2" t="n">
      <v>6.2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326" ua="false" sId="18">
    <oc r="F5" t="n">
      <v>0</v>
    </oc>
    <nc r="F5" t="n">
      <v>0.2</v>
    </nc>
  </rcc>
  <rcc rId="327" ua="false" sId="18">
    <oc r="F2" t="n">
      <v>5.52</v>
    </oc>
    <nc r="F2" t="n">
      <v>5.8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328" ua="false" sId="18">
    <oc r="H5" t="n">
      <v>4.6</v>
    </oc>
    <nc r="H5" t="n">
      <v>4.8</v>
    </nc>
  </rcc>
  <rcc rId="329" ua="false" sId="18">
    <oc r="H2" t="n">
      <v>11.4</v>
    </oc>
    <nc r="H2" t="n">
      <v>11.5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330" ua="false" sId="18">
    <oc r="G5" t="n">
      <v>2.4</v>
    </oc>
    <nc r="G5" t="n">
      <v>2.7</v>
    </nc>
  </rcc>
  <rcc rId="331" ua="false" sId="18">
    <oc r="G2" t="n">
      <v>7.2</v>
    </oc>
    <nc r="G2" t="n">
      <v>7.1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332" ua="false" sId="18">
    <oc r="H6" t="n">
      <v>9.5</v>
    </oc>
    <nc r="H6" t="n">
      <v>6.5</v>
    </nc>
  </rcc>
  <rcc rId="333" ua="false" sId="18">
    <oc r="H2" t="n">
      <v>9.52</v>
    </oc>
    <nc r="H2" t="n">
      <v>9.3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334" ua="false" sId="18">
    <oc r="H2" t="n">
      <v>9.3</v>
    </oc>
    <nc r="H2" t="n">
      <v>9.55</v>
    </nc>
  </rcc>
  <rcc rId="335" ua="false" sId="18">
    <oc r="H2" t="n">
      <v>9.55</v>
    </oc>
    <nc r="H2" t="n">
      <v>9.75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336" ua="false" sId="19">
    <oc r="B9" t="n">
      <v>10</v>
    </oc>
    <nc r="B9" t="n">
      <v>0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337" ua="false" sId="19">
    <nc r="A25" t="n">
      <v>44247</v>
    </nc>
  </rcc>
  <rcc rId="338" ua="false" sId="19">
    <nc r="B25" t="n">
      <v>142388</v>
    </nc>
  </rcc>
  <rcc rId="339" ua="false" sId="19">
    <nc r="C25" t="n">
      <f>C24+B25</f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340" ua="false" sId="18">
    <oc r="G11" t="n">
      <v>0</v>
    </oc>
    <nc r="G11" t="n">
      <v>3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341" ua="false" sId="19">
    <nc r="N9" t="n">
      <v>0</v>
    </nc>
  </rcc>
  <rcc rId="342" ua="false" sId="19">
    <nc r="M9" t="n">
      <v>0</v>
    </nc>
  </rcc>
  <rcc rId="343" ua="false" sId="19">
    <nc r="L9" t="n">
      <v>0</v>
    </nc>
  </rcc>
  <rcc rId="344" ua="false" sId="19">
    <nc r="K9" t="n">
      <v>0</v>
    </nc>
  </rcc>
  <rcc rId="345" ua="false" sId="19">
    <nc r="J9" t="n">
      <v>6.5</v>
    </nc>
  </rcc>
  <rcc rId="346" ua="false" sId="19">
    <nc r="I9" t="n">
      <v>6</v>
    </nc>
  </rcc>
  <rcc rId="347" ua="false" sId="19">
    <nc r="H9" t="n">
      <v>6.5</v>
    </nc>
  </rcc>
  <rcc rId="348" ua="false" sId="19">
    <nc r="G9" t="n">
      <v>5.5</v>
    </nc>
  </rcc>
  <rcc rId="349" ua="false" sId="19">
    <nc r="F9" t="n">
      <v>5.5</v>
    </nc>
  </rcc>
  <rcc rId="350" ua="false" sId="19">
    <nc r="E9" t="n">
      <v>0</v>
    </nc>
  </rcc>
  <rcc rId="351" ua="false" sId="19">
    <nc r="D9" t="n">
      <v>0</v>
    </nc>
  </rcc>
  <rcc rId="352" ua="false" sId="19">
    <nc r="C9" t="n">
      <v>0</v>
    </nc>
  </rcc>
  <rcc rId="353" ua="false" sId="19">
    <nc r="B9" t="n">
      <v>0</v>
    </nc>
  </rcc>
  <rcc rId="354" ua="false" sId="19">
    <nc r="A9" t="inlineStr">
      <is>
        <r>
          <rPr>
            <sz val="11"/>
            <rFont val="Calibri"/>
            <family val="0"/>
            <charset val="1"/>
          </rPr>
          <t xml:space="preserve">03/18/2021 00:00</t>
        </r>
      </is>
    </nc>
  </rcc>
  <rcc rId="355" ua="false" sId="19">
    <nc r="A9" t="inlineStr">
      <is>
        <r>
          <rPr>
            <sz val="11"/>
            <rFont val="Calibri"/>
            <family val="0"/>
            <charset val="1"/>
          </rPr>
          <t xml:space="preserve">03/18/2021 00:00</t>
        </r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356" ua="false" sId="18">
    <oc r="H2" t="n">
      <v>9.75</v>
    </oc>
    <nc r="H2" t="n">
      <v>10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357" ua="false" sId="18">
    <oc r="B2" t="n">
      <v>4.65</v>
    </oc>
    <nc r="B2" t="n">
      <v>4.5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358" ua="false" sId="18">
    <oc r="H3" t="n">
      <v>10.25</v>
    </oc>
    <nc r="H3" t="n">
      <v>10.2</v>
    </nc>
  </rcc>
  <rcc rId="359" ua="false" sId="18">
    <oc r="H2" t="n">
      <v>10</v>
    </oc>
    <nc r="H2" t="n">
      <v>10.1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360" ua="false" sId="18">
    <oc r="H5" t="n">
      <v>0</v>
    </oc>
    <nc r="H5" t="n">
      <v>-0.3</v>
    </nc>
  </rcc>
  <rcc rId="361" ua="false" sId="18">
    <oc r="H5" t="n">
      <v>-0.3</v>
    </oc>
    <nc r="H5" t="n">
      <v>-0.6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362" ua="false" sId="18">
    <oc r="G5" t="n">
      <v>1.3</v>
    </oc>
    <nc r="G5" t="n">
      <v>1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363" ua="false" sId="19">
    <oc r="A9" t="inlineStr">
      <is>
        <r>
          <rPr>
            <sz val="11"/>
            <rFont val="Calibri"/>
            <family val="0"/>
            <charset val="1"/>
          </rPr>
          <t xml:space="preserve">06/14/2023 14:00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06/20/2023 14:00</t>
        </r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364" ua="false" sId="18">
    <oc r="B5" t="n">
      <v>-0.1</v>
    </oc>
    <nc r="B5" t="n">
      <v>-0.2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365" ua="false" sId="18">
    <oc r="F3" t="n">
      <v>7.83</v>
    </oc>
    <nc r="F3" t="n">
      <v>8</v>
    </nc>
  </rcc>
  <rcc rId="366" ua="false" sId="18">
    <oc r="F2" t="n">
      <v>6.3</v>
    </oc>
    <nc r="F2" t="n">
      <v>7</v>
    </nc>
  </rcc>
  <rcc rId="367" ua="false" sId="18">
    <oc r="F5" t="n">
      <v>0.75</v>
    </oc>
    <nc r="F5" t="n">
      <v>2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368" ua="false" sId="18">
    <oc r="G2" t="n">
      <v>6.4</v>
    </oc>
    <nc r="G2" t="n">
      <v>6.25</v>
    </nc>
  </rcc>
  <rcc rId="369" ua="false" sId="18">
    <oc r="G5" t="n">
      <v>0.55</v>
    </oc>
    <nc r="G5" t="n">
      <v>0.65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370" ua="false" sId="18">
    <oc r="H5" t="n">
      <v>-0.6</v>
    </oc>
    <nc r="H5" t="n">
      <v>-0.9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371" ua="false" sId="18">
    <oc r="H5" t="n">
      <v>-0.9</v>
    </oc>
    <nc r="H5" t="n">
      <v>-1.2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372" ua="false" sId="18">
    <oc r="H5" t="n">
      <v>-1.2</v>
    </oc>
    <nc r="H5" t="n">
      <v>-1</v>
    </nc>
  </rcc>
  <rcc rId="373" ua="false" sId="18">
    <oc r="H2" t="n">
      <v>10.1</v>
    </oc>
    <nc r="H2" t="n">
      <v>10.05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374" ua="false" sId="18">
    <oc r="J2" t="n">
      <v>10.72</v>
    </oc>
    <nc r="J2" t="n">
      <v>10.73</v>
    </nc>
  </rcc>
  <rcc rId="375" ua="false" sId="18">
    <oc r="J3" t="n">
      <v>10.97</v>
    </oc>
    <nc r="J3" t="n">
      <v>10.96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376" ua="false" sId="18">
    <oc r="G3" t="n">
      <v>6.95</v>
    </oc>
    <nc r="G3" t="n">
      <v>7.05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377" ua="false" sId="18">
    <oc r="F2" t="n">
      <v>6.6</v>
    </oc>
    <nc r="F2" t="n">
      <v>6.85</v>
    </nc>
  </rcc>
  <rcc rId="378" ua="false" sId="18">
    <oc r="F3" t="n">
      <v>7.85</v>
    </oc>
    <nc r="F3" t="n">
      <v>7.8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379" ua="false" sId="18">
    <oc r="J5" t="n">
      <v>3.2</v>
    </oc>
    <nc r="J5" t="n">
      <v>4.1</v>
    </nc>
  </rcc>
  <rcc rId="380" ua="false" sId="18">
    <oc r="J3" t="n">
      <v>11.1</v>
    </oc>
    <nc r="J3" t="n">
      <v>11.15</v>
    </nc>
  </rcc>
  <rcc rId="381" ua="false" sId="18">
    <oc r="J2" t="n">
      <v>11.5</v>
    </oc>
    <nc r="J2" t="n">
      <v>11.6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382" ua="false" sId="2">
    <oc r="D2" t="n">
      <v>-0.5025</v>
    </oc>
    <nc r="D2" t="n">
      <v>-0.5475</v>
    </nc>
  </rcc>
  <rcc rId="383" ua="false" sId="2">
    <oc r="C3" t="n">
      <v>0.25</v>
    </oc>
    <nc r="C3" t="n">
      <v>0.245</v>
    </nc>
  </rcc>
  <rcc rId="384" ua="false" sId="2">
    <oc r="D3" t="n">
      <v>-0.6775</v>
    </oc>
    <nc r="D3" t="n">
      <v>-0.73</v>
    </nc>
  </rcc>
  <rcc rId="385" ua="false" sId="2">
    <oc r="C4" t="n">
      <v>0.2625</v>
    </oc>
    <nc r="C4" t="n">
      <v>0.2875</v>
    </nc>
  </rcc>
  <rcc rId="386" ua="false" sId="2">
    <oc r="D4" t="n">
      <v>-0.7975</v>
    </oc>
    <nc r="D4" t="n">
      <v>-0.7525</v>
    </nc>
  </rcc>
  <rcc rId="387" ua="false" sId="2">
    <oc r="C5" t="n">
      <v>0.2825</v>
    </oc>
    <nc r="C5" t="n">
      <v>0.275</v>
    </nc>
  </rcc>
  <rcc rId="388" ua="false" sId="2">
    <oc r="D5" t="n">
      <v>-0.8125</v>
    </oc>
    <nc r="D5" t="n">
      <v>-0.83</v>
    </nc>
  </rcc>
  <rcc rId="389" ua="false" sId="2">
    <oc r="C6" t="n">
      <v>0.3175</v>
    </oc>
    <nc r="C6" t="n">
      <v>0.3125</v>
    </nc>
  </rcc>
  <rcc rId="390" ua="false" sId="2">
    <oc r="D6" t="n">
      <v>-0.95</v>
    </oc>
    <nc r="D6" t="n">
      <v>-0.9775</v>
    </nc>
  </rcc>
  <rcc rId="391" ua="false" sId="2">
    <oc r="C7" t="n">
      <v>0.345</v>
    </oc>
    <nc r="C7" t="n">
      <v>0.34</v>
    </nc>
  </rcc>
  <rcc rId="392" ua="false" sId="2">
    <oc r="D7" t="n">
      <v>-1.0725</v>
    </oc>
    <nc r="D7" t="n">
      <v>-1.09</v>
    </nc>
  </rcc>
  <rcc rId="393" ua="false" sId="2">
    <oc r="C8" t="n">
      <v>0.3825</v>
    </oc>
    <nc r="C8" t="n">
      <v>0.375</v>
    </nc>
  </rcc>
  <rcc rId="394" ua="false" sId="2">
    <oc r="D8" t="n">
      <v>-1.27</v>
    </oc>
    <nc r="D8" t="n">
      <v>-1.28</v>
    </nc>
  </rcc>
  <rcc rId="395" ua="false" sId="2">
    <oc r="C9" t="n">
      <v>0.4125</v>
    </oc>
    <nc r="C9" t="n">
      <v>0.4</v>
    </nc>
  </rcc>
  <rcc rId="396" ua="false" sId="2">
    <oc r="D9" t="n">
      <v>-1.3425</v>
    </oc>
    <nc r="D9" t="n">
      <v>-1.3525</v>
    </nc>
  </rcc>
  <rcc rId="397" ua="false" sId="2">
    <oc r="C10" t="n">
      <v>0.43</v>
    </oc>
    <nc r="C10" t="n">
      <v>0.4275</v>
    </nc>
  </rcc>
  <rcc rId="398" ua="false" sId="2">
    <oc r="D10" t="n">
      <v>-1.4025</v>
    </oc>
    <nc r="D10" t="n">
      <v>-1.4075</v>
    </nc>
  </rcc>
  <rcc rId="399" ua="false" sId="2">
    <oc r="C11" t="n">
      <v>0.4525</v>
    </oc>
    <nc r="C11" t="n">
      <v>0.455</v>
    </nc>
  </rcc>
  <rcc rId="400" ua="false" sId="2">
    <oc r="D11" t="n">
      <v>-1.5225</v>
    </oc>
    <nc r="D11" t="n">
      <v>-1.545</v>
    </nc>
  </rcc>
  <rcc rId="401" ua="false" sId="3">
    <oc r="D2" t="n">
      <v>-0.2675</v>
    </oc>
    <nc r="D2" t="n">
      <v>-0.255</v>
    </nc>
  </rcc>
  <rcc rId="402" ua="false" sId="3">
    <oc r="C3" t="n">
      <v>0.1825</v>
    </oc>
    <nc r="C3" t="n">
      <v>0.185</v>
    </nc>
  </rcc>
  <rcc rId="403" ua="false" sId="3">
    <oc r="D3" t="n">
      <v>-0.3375</v>
    </oc>
    <nc r="D3" t="n">
      <v>-0.3275</v>
    </nc>
  </rcc>
  <rcc rId="404" ua="false" sId="3">
    <oc r="C4" t="n">
      <v>0.175</v>
    </oc>
    <nc r="C4" t="n">
      <v>0.19</v>
    </nc>
  </rcc>
  <rcc rId="405" ua="false" sId="3">
    <oc r="D4" t="n">
      <v>-0.465</v>
    </oc>
    <nc r="D4" t="n">
      <v>-0.41</v>
    </nc>
  </rcc>
  <rcc rId="406" ua="false" sId="3">
    <oc r="C5" t="n">
      <v>0.2025</v>
    </oc>
    <nc r="C5" t="n">
      <v>0.2</v>
    </nc>
  </rcc>
  <rcc rId="407" ua="false" sId="3">
    <oc r="D5" t="n">
      <v>-0.455</v>
    </oc>
    <nc r="D5" t="n">
      <v>-0.46</v>
    </nc>
  </rcc>
  <rcc rId="408" ua="false" sId="3">
    <oc r="C6" t="n">
      <v>0.24</v>
    </oc>
    <nc r="C6" t="n">
      <v>0.2425</v>
    </nc>
  </rcc>
  <rcc rId="409" ua="false" sId="3">
    <oc r="D6" t="n">
      <v>-0.5525</v>
    </oc>
    <nc r="D6" t="n">
      <v>-0.56</v>
    </nc>
  </rcc>
  <rcc rId="410" ua="false" sId="3">
    <oc r="C7" t="n">
      <v>0.28</v>
    </oc>
    <nc r="C7" t="n">
      <v>0.285</v>
    </nc>
  </rcc>
  <rcc rId="411" ua="false" sId="3">
    <oc r="D7" t="n">
      <v>-0.655</v>
    </oc>
    <nc r="D7" t="n">
      <v>-0.66</v>
    </nc>
  </rcc>
  <rcc rId="412" ua="false" sId="3">
    <oc r="C8" t="n">
      <v>0.3425</v>
    </oc>
    <nc r="C8" t="n">
      <v>0.3525</v>
    </nc>
  </rcc>
  <rcc rId="413" ua="false" sId="3">
    <oc r="D8" t="n">
      <v>-0.7625</v>
    </oc>
    <nc r="D8" t="n">
      <v>-0.7825</v>
    </nc>
  </rcc>
  <rcc rId="414" ua="false" sId="3">
    <oc r="C9" t="n">
      <v>0.3825</v>
    </oc>
    <nc r="C9" t="n">
      <v>0.395</v>
    </nc>
  </rcc>
  <rcc rId="415" ua="false" sId="3">
    <oc r="D9" t="n">
      <v>-0.85</v>
    </oc>
    <nc r="D9" t="n">
      <v>-0.8625</v>
    </nc>
  </rcc>
  <rcc rId="416" ua="false" sId="3">
    <oc r="C10" t="n">
      <v>0.4</v>
    </oc>
    <nc r="C10" t="n">
      <v>0.4175</v>
    </nc>
  </rcc>
  <rcc rId="417" ua="false" sId="3">
    <oc r="D10" t="n">
      <v>-0.9375</v>
    </oc>
    <nc r="D10" t="n">
      <v>-0.9325</v>
    </nc>
  </rcc>
  <rcc rId="418" ua="false" sId="3">
    <oc r="C11" t="n">
      <v>0.42</v>
    </oc>
    <nc r="C11" t="n">
      <v>0.4375</v>
    </nc>
  </rcc>
  <rcc rId="419" ua="false" sId="3">
    <oc r="D11" t="n">
      <v>-1.1</v>
    </oc>
    <nc r="D11" t="n">
      <v>-1.1075</v>
    </nc>
  </rcc>
  <rcc rId="420" ua="false" sId="4">
    <oc r="C2" t="n">
      <v>0.19</v>
    </oc>
    <nc r="C2" t="n">
      <v>0.1825</v>
    </nc>
  </rcc>
  <rcc rId="421" ua="false" sId="4">
    <oc r="D2" t="n">
      <v>0.1575</v>
    </oc>
    <nc r="D2" t="n">
      <v>0.2025</v>
    </nc>
  </rcc>
  <rcc rId="422" ua="false" sId="4">
    <oc r="D3" t="n">
      <v>0.2575</v>
    </oc>
    <nc r="D3" t="n">
      <v>0.28</v>
    </nc>
  </rcc>
  <rcc rId="423" ua="false" sId="4">
    <oc r="C4" t="n">
      <v>0.2025</v>
    </oc>
    <nc r="C4" t="n">
      <v>0.2</v>
    </nc>
  </rcc>
  <rcc rId="424" ua="false" sId="4">
    <oc r="D4" t="n">
      <v>0.2675</v>
    </oc>
    <nc r="D4" t="n">
      <v>0.29</v>
    </nc>
  </rcc>
  <rcc rId="425" ua="false" sId="4">
    <oc r="C5" t="n">
      <v>0.21</v>
    </oc>
    <nc r="C5" t="n">
      <v>0.2025</v>
    </nc>
  </rcc>
  <rcc rId="426" ua="false" sId="4">
    <oc r="D5" t="n">
      <v>0.2825</v>
    </oc>
    <nc r="D5" t="n">
      <v>0.3</v>
    </nc>
  </rcc>
  <rcc rId="427" ua="false" sId="4">
    <oc r="C6" t="n">
      <v>0.2375</v>
    </oc>
    <nc r="C6" t="n">
      <v>0.2325</v>
    </nc>
  </rcc>
  <rcc rId="428" ua="false" sId="4">
    <oc r="D6" t="n">
      <v>0.2975</v>
    </oc>
    <nc r="D6" t="n">
      <v>0.335</v>
    </nc>
  </rcc>
  <rcc rId="429" ua="false" sId="4">
    <oc r="C7" t="n">
      <v>0.275</v>
    </oc>
    <nc r="C7" t="n">
      <v>0.27</v>
    </nc>
  </rcc>
  <rcc rId="430" ua="false" sId="4">
    <oc r="D7" t="n">
      <v>0.3225</v>
    </oc>
    <nc r="D7" t="n">
      <v>0.36</v>
    </nc>
  </rcc>
  <rcc rId="431" ua="false" sId="4">
    <oc r="D8" t="n">
      <v>0.3875</v>
    </oc>
    <nc r="D8" t="n">
      <v>0.42</v>
    </nc>
  </rcc>
  <rcc rId="432" ua="false" sId="4">
    <oc r="D9" t="n">
      <v>0.3375</v>
    </oc>
    <nc r="D9" t="n">
      <v>0.3775</v>
    </nc>
  </rcc>
  <rcc rId="433" ua="false" sId="4">
    <oc r="D10" t="n">
      <v>0.3825</v>
    </oc>
    <nc r="D10" t="n">
      <v>0.4275</v>
    </nc>
  </rcc>
  <rcc rId="434" ua="false" sId="4">
    <oc r="C11" t="n">
      <v>0.395</v>
    </oc>
    <nc r="C11" t="n">
      <v>0.39</v>
    </nc>
  </rcc>
  <rcc rId="435" ua="false" sId="4">
    <oc r="D11" t="n">
      <v>0.43</v>
    </oc>
    <nc r="D11" t="n">
      <v>0.47</v>
    </nc>
  </rcc>
  <rcc rId="436" ua="false" sId="5">
    <oc r="C2" t="n">
      <v>0.11</v>
    </oc>
    <nc r="C2" t="n">
      <v>0.125</v>
    </nc>
  </rcc>
  <rcc rId="437" ua="false" sId="5">
    <oc r="D2" t="n">
      <v>0.255</v>
    </oc>
    <nc r="D2" t="n">
      <v>0.24</v>
    </nc>
  </rcc>
  <rcc rId="438" ua="false" sId="5">
    <oc r="C3" t="n">
      <v>0.1175</v>
    </oc>
    <nc r="C3" t="n">
      <v>0.125</v>
    </nc>
  </rcc>
  <rcc rId="439" ua="false" sId="5">
    <oc r="D3" t="n">
      <v>0.335</v>
    </oc>
    <nc r="D3" t="n">
      <v>0.33</v>
    </nc>
  </rcc>
  <rcc rId="440" ua="false" sId="5">
    <oc r="D4" t="n">
      <v>0.3625</v>
    </oc>
    <nc r="D4" t="n">
      <v>0.395</v>
    </nc>
  </rcc>
  <rcc rId="441" ua="false" sId="5">
    <oc r="C5" t="n">
      <v>0.1225</v>
    </oc>
    <nc r="C5" t="n">
      <v>0.14</v>
    </nc>
  </rcc>
  <rcc rId="442" ua="false" sId="5">
    <oc r="D5" t="n">
      <v>0.4125</v>
    </oc>
    <nc r="D5" t="n">
      <v>0.405</v>
    </nc>
  </rcc>
  <rcc rId="443" ua="false" sId="5">
    <oc r="C6" t="n">
      <v>0.1475</v>
    </oc>
    <nc r="C6" t="n">
      <v>0.165</v>
    </nc>
  </rcc>
  <rcc rId="444" ua="false" sId="5">
    <oc r="D6" t="n">
      <v>0.4725</v>
    </oc>
    <nc r="D6" t="n">
      <v>0.5</v>
    </nc>
  </rcc>
  <rcc rId="445" ua="false" sId="5">
    <oc r="C7" t="n">
      <v>0.1725</v>
    </oc>
    <nc r="C7" t="n">
      <v>0.19</v>
    </nc>
  </rcc>
  <rcc rId="446" ua="false" sId="5">
    <oc r="D7" t="n">
      <v>0.5825</v>
    </oc>
    <nc r="D7" t="n">
      <v>0.585</v>
    </nc>
  </rcc>
  <rcc rId="447" ua="false" sId="5">
    <oc r="C8" t="n">
      <v>0.2075</v>
    </oc>
    <nc r="C8" t="n">
      <v>0.2375</v>
    </nc>
  </rcc>
  <rcc rId="448" ua="false" sId="5">
    <oc r="D8" t="n">
      <v>0.7025</v>
    </oc>
    <nc r="D8" t="n">
      <v>0.6975</v>
    </nc>
  </rcc>
  <rcc rId="449" ua="false" sId="5">
    <oc r="C9" t="n">
      <v>0.2475</v>
    </oc>
    <nc r="C9" t="n">
      <v>0.2725</v>
    </nc>
  </rcc>
  <rcc rId="450" ua="false" sId="5">
    <oc r="C10" t="n">
      <v>0.2375</v>
    </oc>
    <nc r="C10" t="n">
      <v>0.2575</v>
    </nc>
  </rcc>
  <rcc rId="451" ua="false" sId="5">
    <oc r="D10" t="n">
      <v>0.8025</v>
    </oc>
    <nc r="D10" t="n">
      <v>0.7975</v>
    </nc>
  </rcc>
  <rcc rId="452" ua="false" sId="5">
    <oc r="C11" t="n">
      <v>0.3125</v>
    </oc>
    <nc r="C11" t="n">
      <v>0.325</v>
    </nc>
  </rcc>
  <rcc rId="453" ua="false" sId="11">
    <oc r="C2" t="n">
      <v>0.155</v>
    </oc>
    <nc r="C2" t="n">
      <v>0.19</v>
    </nc>
  </rcc>
  <rcc rId="454" ua="false" sId="11">
    <oc r="D2" t="n">
      <v>-0.8875</v>
    </oc>
    <nc r="D2" t="n">
      <v>-0.6225</v>
    </nc>
  </rcc>
  <rcc rId="455" ua="false" sId="11">
    <oc r="C3" t="n">
      <v>0.1625</v>
    </oc>
    <nc r="C3" t="n">
      <v>0.205</v>
    </nc>
  </rcc>
  <rcc rId="456" ua="false" sId="11">
    <oc r="D3" t="n">
      <v>-1.015</v>
    </oc>
    <nc r="D3" t="n">
      <v>-0.8425</v>
    </nc>
  </rcc>
  <rcc rId="457" ua="false" sId="11">
    <oc r="C4" t="n">
      <v>0.25</v>
    </oc>
    <nc r="C4" t="n">
      <v>0.2575</v>
    </nc>
  </rcc>
  <rcc rId="458" ua="false" sId="11">
    <oc r="D4" t="n">
      <v>-1.23</v>
    </oc>
    <nc r="D4" t="n">
      <v>-1.0525</v>
    </nc>
  </rcc>
  <rcc rId="459" ua="false" sId="11">
    <oc r="C5" t="n">
      <v>0.2025</v>
    </oc>
    <nc r="C5" t="n">
      <v>0.2375</v>
    </nc>
  </rcc>
  <rcc rId="460" ua="false" sId="11">
    <oc r="D5" t="n">
      <v>-1.25</v>
    </oc>
    <nc r="D5" t="n">
      <v>-1.0925</v>
    </nc>
  </rcc>
  <rcc rId="461" ua="false" sId="11">
    <oc r="C6" t="n">
      <v>0.2625</v>
    </oc>
    <nc r="C6" t="n">
      <v>0.2875</v>
    </nc>
  </rcc>
  <rcc rId="462" ua="false" sId="11">
    <oc r="D6" t="n">
      <v>-1.6375</v>
    </oc>
    <nc r="D6" t="n">
      <v>-1.5025</v>
    </nc>
  </rcc>
  <rcc rId="463" ua="false" sId="11">
    <oc r="C7" t="n">
      <v>0.2925</v>
    </oc>
    <nc r="C7" t="n">
      <v>0.3175</v>
    </nc>
  </rcc>
  <rcc rId="464" ua="false" sId="11">
    <oc r="D7" t="n">
      <v>-1.9525</v>
    </oc>
    <nc r="D7" t="n">
      <v>-1.8225</v>
    </nc>
  </rcc>
  <rcc rId="465" ua="false" sId="11">
    <oc r="C8" t="n">
      <v>0.3525</v>
    </oc>
    <nc r="C8" t="n">
      <v>0.365</v>
    </nc>
  </rcc>
  <rcc rId="466" ua="false" sId="11">
    <oc r="D8" t="n">
      <v>-2.305</v>
    </oc>
    <nc r="D8" t="n">
      <v>-2.2325</v>
    </nc>
  </rcc>
  <rcc rId="467" ua="false" sId="11">
    <oc r="C9" t="n">
      <v>0.3875</v>
    </oc>
    <nc r="C9" t="n">
      <v>0.3975</v>
    </nc>
  </rcc>
  <rcc rId="468" ua="false" sId="11">
    <oc r="D9" t="n">
      <v>-2.485</v>
    </oc>
    <nc r="D9" t="n">
      <v>-2.4575</v>
    </nc>
  </rcc>
  <rcc rId="469" ua="false" sId="11">
    <oc r="C10" t="n">
      <v>0.41</v>
    </oc>
    <nc r="C10" t="n">
      <v>0.4175</v>
    </nc>
  </rcc>
  <rcc rId="470" ua="false" sId="11">
    <oc r="D10" t="n">
      <v>-2.62</v>
    </oc>
    <nc r="D10" t="n">
      <v>-2.65</v>
    </nc>
  </rcc>
  <rcc rId="471" ua="false" sId="11">
    <oc r="C11" t="n">
      <v>0.41</v>
    </oc>
    <nc r="C11" t="n">
      <v>0.4</v>
    </nc>
  </rcc>
  <rcc rId="472" ua="false" sId="11">
    <oc r="D11" t="n">
      <v>-3.045</v>
    </oc>
    <nc r="D11" t="n">
      <v>-3.065</v>
    </nc>
  </rcc>
  <rcc rId="473" ua="false" sId="12">
    <oc r="C2" t="n">
      <v>0.1575</v>
    </oc>
    <nc r="C2" t="n">
      <v>0.16</v>
    </nc>
  </rcc>
  <rcc rId="474" ua="false" sId="12">
    <oc r="D2" t="n">
      <v>-0.3275</v>
    </oc>
    <nc r="D2" t="n">
      <v>-0.255</v>
    </nc>
  </rcc>
  <rcc rId="475" ua="false" sId="12">
    <oc r="C3" t="n">
      <v>0.1625</v>
    </oc>
    <nc r="C3" t="n">
      <v>0.165</v>
    </nc>
  </rcc>
  <rcc rId="476" ua="false" sId="12">
    <oc r="D3" t="n">
      <v>-0.4025</v>
    </oc>
    <nc r="D3" t="n">
      <v>-0.34</v>
    </nc>
  </rcc>
  <rcc rId="477" ua="false" sId="12">
    <oc r="C4" t="n">
      <v>0.155</v>
    </oc>
    <nc r="C4" t="n">
      <v>0.16</v>
    </nc>
  </rcc>
  <rcc rId="478" ua="false" sId="12">
    <oc r="D4" t="n">
      <v>-0.595</v>
    </oc>
    <nc r="D4" t="n">
      <v>-0.525</v>
    </nc>
  </rcc>
  <rcc rId="479" ua="false" sId="12">
    <oc r="D5" t="n">
      <v>-0.5325</v>
    </oc>
    <nc r="D5" t="n">
      <v>-0.4525</v>
    </nc>
  </rcc>
  <rcc rId="480" ua="false" sId="12">
    <oc r="C6" t="n">
      <v>0.2325</v>
    </oc>
    <nc r="C6" t="n">
      <v>0.23</v>
    </nc>
  </rcc>
  <rcc rId="481" ua="false" sId="12">
    <oc r="D6" t="n">
      <v>-0.7075</v>
    </oc>
    <nc r="D6" t="n">
      <v>-0.6125</v>
    </nc>
  </rcc>
  <rcc rId="482" ua="false" sId="12">
    <oc r="C7" t="n">
      <v>0.2525</v>
    </oc>
    <nc r="C7" t="n">
      <v>0.255</v>
    </nc>
  </rcc>
  <rcc rId="483" ua="false" sId="12">
    <oc r="D7" t="n">
      <v>-0.8425</v>
    </oc>
    <nc r="D7" t="n">
      <v>-0.8025</v>
    </nc>
  </rcc>
  <rcc rId="484" ua="false" sId="12">
    <oc r="C8" t="n">
      <v>0.3175</v>
    </oc>
    <nc r="C8" t="n">
      <v>0.32</v>
    </nc>
  </rcc>
  <rcc rId="485" ua="false" sId="12">
    <oc r="D8" t="n">
      <v>-1.005</v>
    </oc>
    <nc r="D8" t="n">
      <v>-1.01</v>
    </nc>
  </rcc>
  <rcc rId="486" ua="false" sId="12">
    <oc r="C9" t="n">
      <v>0.3625</v>
    </oc>
    <nc r="C9" t="n">
      <v>0.365</v>
    </nc>
  </rcc>
  <rcc rId="487" ua="false" sId="12">
    <oc r="D9" t="n">
      <v>-1.1275</v>
    </oc>
    <nc r="D9" t="n">
      <v>-1.14</v>
    </nc>
  </rcc>
  <rcc rId="488" ua="false" sId="12">
    <oc r="C10" t="n">
      <v>0.365</v>
    </oc>
    <nc r="C10" t="n">
      <v>0.3675</v>
    </nc>
  </rcc>
  <rcc rId="489" ua="false" sId="12">
    <oc r="D10" t="n">
      <v>-1.195</v>
    </oc>
    <nc r="D10" t="n">
      <v>-1.2125</v>
    </nc>
  </rcc>
  <rcc rId="490" ua="false" sId="12">
    <oc r="C11" t="n">
      <v>0.41</v>
    </oc>
    <nc r="C11" t="n">
      <v>0.4</v>
    </nc>
  </rcc>
  <rcc rId="491" ua="false" sId="12">
    <oc r="D11" t="n">
      <v>-1.39</v>
    </oc>
    <nc r="D11" t="n">
      <v>-1.355</v>
    </nc>
  </rcc>
  <rcc rId="492" ua="false" sId="13">
    <oc r="C2" t="n">
      <v>0.13</v>
    </oc>
    <nc r="C2" t="n">
      <v>0.135</v>
    </nc>
  </rcc>
  <rcc rId="493" ua="false" sId="13">
    <oc r="D2" t="n">
      <v>0.1425</v>
    </oc>
    <nc r="D2" t="n">
      <v>0.065</v>
    </nc>
  </rcc>
  <rcc rId="494" ua="false" sId="13">
    <oc r="C3" t="n">
      <v>0.1375</v>
    </oc>
    <nc r="C3" t="n">
      <v>0.135</v>
    </nc>
  </rcc>
  <rcc rId="495" ua="false" sId="13">
    <oc r="D3" t="n">
      <v>0.17</v>
    </oc>
    <nc r="D3" t="n">
      <v>0.065</v>
    </nc>
  </rcc>
  <rcc rId="496" ua="false" sId="13">
    <oc r="C4" t="n">
      <v>0.1375</v>
    </oc>
    <nc r="C4" t="n">
      <v>0.14</v>
    </nc>
  </rcc>
  <rcc rId="497" ua="false" sId="13">
    <oc r="D4" t="n">
      <v>0.125</v>
    </oc>
    <nc r="D4" t="n">
      <v>0.095</v>
    </nc>
  </rcc>
  <rcc rId="498" ua="false" sId="13">
    <oc r="C5" t="n">
      <v>0.145</v>
    </oc>
    <nc r="C5" t="n">
      <v>0.1475</v>
    </nc>
  </rcc>
  <rcc rId="499" ua="false" sId="13">
    <oc r="D5" t="n">
      <v>0.165</v>
    </oc>
    <nc r="D5" t="n">
      <v>0.075</v>
    </nc>
  </rcc>
  <rcc rId="500" ua="false" sId="13">
    <oc r="C6" t="n">
      <v>0.17</v>
    </oc>
    <nc r="C6" t="n">
      <v>0.175</v>
    </nc>
  </rcc>
  <rcc rId="501" ua="false" sId="13">
    <oc r="D6" t="n">
      <v>0.17</v>
    </oc>
    <nc r="D6" t="n">
      <v>0.1175</v>
    </nc>
  </rcc>
  <rcc rId="502" ua="false" sId="13">
    <oc r="C7" t="n">
      <v>0.205</v>
    </oc>
    <nc r="C7" t="n">
      <v>0.2025</v>
    </nc>
  </rcc>
  <rcc rId="503" ua="false" sId="13">
    <oc r="D7" t="n">
      <v>0.19</v>
    </oc>
    <nc r="D7" t="n">
      <v>0.1575</v>
    </nc>
  </rcc>
  <rcc rId="504" ua="false" sId="13">
    <oc r="C8" t="n">
      <v>0.26</v>
    </oc>
    <nc r="C8" t="n">
      <v>0.2575</v>
    </nc>
  </rcc>
  <rcc rId="505" ua="false" sId="13">
    <oc r="D8" t="n">
      <v>0.255</v>
    </oc>
    <nc r="D8" t="n">
      <v>0.2175</v>
    </nc>
  </rcc>
  <rcc rId="506" ua="false" sId="13">
    <oc r="D9" t="n">
      <v>0.305</v>
    </oc>
    <nc r="D9" t="n">
      <v>0.255</v>
    </nc>
  </rcc>
  <rcc rId="507" ua="false" sId="13">
    <oc r="C10" t="n">
      <v>0.31</v>
    </oc>
    <nc r="C10" t="n">
      <v>0.32</v>
    </nc>
  </rcc>
  <rcc rId="508" ua="false" sId="13">
    <oc r="D10" t="n">
      <v>0.315</v>
    </oc>
    <nc r="D10" t="n">
      <v>0.285</v>
    </nc>
  </rcc>
  <rcc rId="509" ua="false" sId="13">
    <oc r="C11" t="n">
      <v>0.325</v>
    </oc>
    <nc r="C11" t="n">
      <v>0.33</v>
    </nc>
  </rcc>
  <rcc rId="510" ua="false" sId="13">
    <oc r="D11" t="n">
      <v>0.225</v>
    </oc>
    <nc r="D11" t="n">
      <v>0.2125</v>
    </nc>
  </rcc>
  <rcc rId="511" ua="false" sId="14">
    <oc r="D2" t="n">
      <v>-0.59</v>
    </oc>
    <nc r="D2" t="n">
      <v>-0.62</v>
    </nc>
  </rcc>
  <rcc rId="512" ua="false" sId="14">
    <oc r="C3" t="n">
      <v>0.2375</v>
    </oc>
    <nc r="C3" t="n">
      <v>0.23</v>
    </nc>
  </rcc>
  <rcc rId="513" ua="false" sId="14">
    <oc r="D3" t="n">
      <v>-0.685</v>
    </oc>
    <nc r="D3" t="n">
      <v>-0.72</v>
    </nc>
  </rcc>
  <rcc rId="514" ua="false" sId="14">
    <oc r="D4" t="n">
      <v>-0.875</v>
    </oc>
    <nc r="D4" t="n">
      <v>-0.815</v>
    </nc>
  </rcc>
  <rcc rId="515" ua="false" sId="14">
    <oc r="C5" t="n">
      <v>0.275</v>
    </oc>
    <nc r="C5" t="n">
      <v>0.2675</v>
    </nc>
  </rcc>
  <rcc rId="516" ua="false" sId="14">
    <oc r="D5" t="n">
      <v>-0.9</v>
    </oc>
    <nc r="D5" t="n">
      <v>-0.8875</v>
    </nc>
  </rcc>
  <rcc rId="517" ua="false" sId="14">
    <oc r="C6" t="n">
      <v>0.32</v>
    </oc>
    <nc r="C6" t="n">
      <v>0.31</v>
    </nc>
  </rcc>
  <rcc rId="518" ua="false" sId="14">
    <oc r="D6" t="n">
      <v>-1.025</v>
    </oc>
    <nc r="D6" t="n">
      <v>-1.05</v>
    </nc>
  </rcc>
  <rcc rId="519" ua="false" sId="14">
    <oc r="C7" t="n">
      <v>0.345</v>
    </oc>
    <nc r="C7" t="n">
      <v>0.34</v>
    </nc>
  </rcc>
  <rcc rId="520" ua="false" sId="14">
    <oc r="D7" t="n">
      <v>-1.18</v>
    </oc>
    <nc r="D7" t="n">
      <v>-1.15</v>
    </nc>
  </rcc>
  <rcc rId="521" ua="false" sId="14">
    <oc r="C8" t="n">
      <v>0.395</v>
    </oc>
    <nc r="C8" t="n">
      <v>0.385</v>
    </nc>
  </rcc>
  <rcc rId="522" ua="false" sId="14">
    <oc r="D8" t="n">
      <v>-1.3575</v>
    </oc>
    <nc r="D8" t="n">
      <v>-1.34</v>
    </nc>
  </rcc>
  <rcc rId="523" ua="false" sId="14">
    <oc r="C9" t="n">
      <v>0.42</v>
    </oc>
    <nc r="C9" t="n">
      <v>0.415</v>
    </nc>
  </rcc>
  <rcc rId="524" ua="false" sId="14">
    <oc r="D9" t="n">
      <v>-1.455</v>
    </oc>
    <nc r="D9" t="n">
      <v>-1.44</v>
    </nc>
  </rcc>
  <rcc rId="525" ua="false" sId="14">
    <oc r="C10" t="n">
      <v>0.445</v>
    </oc>
    <nc r="C10" t="n">
      <v>0.4325</v>
    </nc>
  </rcc>
  <rcc rId="526" ua="false" sId="14">
    <oc r="D10" t="n">
      <v>-1.5</v>
    </oc>
    <nc r="D10" t="n">
      <v>-1.4975</v>
    </nc>
  </rcc>
  <rcc rId="527" ua="false" sId="14">
    <oc r="C11" t="n">
      <v>0.4725</v>
    </oc>
    <nc r="C11" t="n">
      <v>0.475</v>
    </nc>
  </rcc>
  <rcc rId="528" ua="false" sId="14">
    <oc r="D11" t="n">
      <v>-1.68</v>
    </oc>
    <nc r="D11" t="n">
      <v>-1.665</v>
    </nc>
  </rcc>
  <rcc rId="529" ua="false" sId="15">
    <oc r="D2" t="n">
      <v>-0.1125</v>
    </oc>
    <nc r="D2" t="n">
      <v>0.1775</v>
    </nc>
  </rcc>
  <rcc rId="530" ua="false" sId="15">
    <oc r="C3" t="n">
      <v>0.18</v>
    </oc>
    <nc r="C3" t="n">
      <v>0.1825</v>
    </nc>
  </rcc>
  <rcc rId="531" ua="false" sId="15">
    <oc r="D3" t="n">
      <v>-0.195</v>
    </oc>
    <nc r="D3" t="n">
      <v>0.0425</v>
    </nc>
  </rcc>
  <rcc rId="532" ua="false" sId="15">
    <oc r="C4" t="n">
      <v>0.1875</v>
    </oc>
    <nc r="C4" t="n">
      <v>0.2075</v>
    </nc>
  </rcc>
  <rcc rId="533" ua="false" sId="15">
    <oc r="D4" t="n">
      <v>-0.2575</v>
    </oc>
    <nc r="D4" t="n">
      <v>-0.0875</v>
    </nc>
  </rcc>
  <rcc rId="534" ua="false" sId="15">
    <oc r="D5" t="n">
      <v>-0.325</v>
    </oc>
    <nc r="D5" t="n">
      <v>-0.145</v>
    </nc>
  </rcc>
  <rcc rId="535" ua="false" sId="15">
    <oc r="C6" t="n">
      <v>0.2125</v>
    </oc>
    <nc r="C6" t="n">
      <v>0.2075</v>
    </nc>
  </rcc>
  <rcc rId="536" ua="false" sId="15">
    <oc r="D6" t="n">
      <v>-0.56</v>
    </oc>
    <nc r="D6" t="n">
      <v>-0.4025</v>
    </nc>
  </rcc>
  <rcc rId="537" ua="false" sId="15">
    <oc r="C7" t="n">
      <v>0.235</v>
    </oc>
    <nc r="C7" t="n">
      <v>0.23</v>
    </nc>
  </rcc>
  <rcc rId="538" ua="false" sId="15">
    <oc r="D7" t="n">
      <v>-0.745</v>
    </oc>
    <nc r="D7" t="n">
      <v>-0.6</v>
    </nc>
  </rcc>
  <rcc rId="539" ua="false" sId="15">
    <oc r="C8" t="n">
      <v>0.2775</v>
    </oc>
    <nc r="C8" t="n">
      <v>0.27</v>
    </nc>
  </rcc>
  <rcc rId="540" ua="false" sId="15">
    <oc r="D8" t="n">
      <v>-1.0375</v>
    </oc>
    <nc r="D8" t="n">
      <v>-0.925</v>
    </nc>
  </rcc>
  <rcc rId="541" ua="false" sId="15">
    <oc r="C9" t="n">
      <v>0.305</v>
    </oc>
    <nc r="C9" t="n">
      <v>0.3075</v>
    </nc>
  </rcc>
  <rcc rId="542" ua="false" sId="15">
    <oc r="D9" t="n">
      <v>-1.1575</v>
    </oc>
    <nc r="D9" t="n">
      <v>-1.0875</v>
    </nc>
  </rcc>
  <rcc rId="543" ua="false" sId="15">
    <oc r="D10" t="n">
      <v>-1.23</v>
    </oc>
    <nc r="D10" t="n">
      <v>-1.1725</v>
    </nc>
  </rcc>
  <rcc rId="544" ua="false" sId="15">
    <oc r="C11" t="n">
      <v>0.37</v>
    </oc>
    <nc r="C11" t="n">
      <v>0.375</v>
    </nc>
  </rcc>
  <rcc rId="545" ua="false" sId="15">
    <oc r="D11" t="n">
      <v>-1.48</v>
    </oc>
    <nc r="D11" t="n">
      <v>-1.42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546" ua="false" sId="18">
    <oc r="H5" t="n">
      <v>1.6</v>
    </oc>
    <nc r="H5" t="n">
      <v>2.2</v>
    </nc>
  </rcc>
  <rcc rId="547" ua="false" sId="18">
    <oc r="H3" t="n">
      <v>10.83</v>
    </oc>
    <nc r="H3" t="n">
      <v>10.84</v>
    </nc>
  </rcc>
  <rcc rId="548" ua="false" sId="18">
    <oc r="H2" t="n">
      <v>10.83</v>
    </oc>
    <nc r="H2" t="n">
      <v>10.84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549" ua="false" sId="18">
    <oc r="B21" t="n">
      <v>0</v>
    </oc>
    <nc r="B21" t="n">
      <v>2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cc rId="550" ua="false" sId="18">
    <oc r="B5" t="n">
      <v>0.4</v>
    </oc>
    <nc r="B5" t="n">
      <v>0.6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cc rId="551" ua="false" sId="18">
    <oc r="H2" t="n">
      <v>10.05</v>
    </oc>
    <nc r="H2" t="n">
      <v>10</v>
    </nc>
  </rcc>
  <rcc rId="552" ua="false" sId="18">
    <oc r="H5" t="n">
      <v>-1</v>
    </oc>
    <nc r="H5" t="n">
      <v>-0.8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553" ua="false" sId="2">
    <oc r="C2" t="n">
      <v>0.2925</v>
    </oc>
    <nc r="C2" t="n">
      <v>0.3125</v>
    </nc>
  </rcc>
  <rcc rId="554" ua="false" sId="2">
    <oc r="D2" t="n">
      <v>-1.0775</v>
    </oc>
    <nc r="D2" t="n">
      <v>-1.6675</v>
    </nc>
  </rcc>
  <rcc rId="555" ua="false" sId="2">
    <oc r="C3" t="n">
      <v>0.295</v>
    </oc>
    <nc r="C3" t="n">
      <v>0.32</v>
    </nc>
  </rcc>
  <rcc rId="556" ua="false" sId="2">
    <oc r="D3" t="n">
      <v>-1.19</v>
    </oc>
    <nc r="D3" t="n">
      <v>-1.74</v>
    </nc>
  </rcc>
  <rcc rId="557" ua="false" sId="2">
    <oc r="C4" t="n">
      <v>0.3025</v>
    </oc>
    <nc r="C4" t="n">
      <v>0.3625</v>
    </nc>
  </rcc>
  <rcc rId="558" ua="false" sId="2">
    <oc r="D4" t="n">
      <v>-1.2975</v>
    </oc>
    <nc r="D4" t="n">
      <v>-1.9475</v>
    </nc>
  </rcc>
  <rcc rId="559" ua="false" sId="2">
    <oc r="C5" t="n">
      <v>0.3275</v>
    </oc>
    <nc r="C5" t="n">
      <v>0.335</v>
    </nc>
  </rcc>
  <rcc rId="560" ua="false" sId="2">
    <oc r="D5" t="n">
      <v>-1.3025</v>
    </oc>
    <nc r="D5" t="n">
      <v>-1.845</v>
    </nc>
  </rcc>
  <rcc rId="561" ua="false" sId="2">
    <oc r="C6" t="n">
      <v>0.355</v>
    </oc>
    <nc r="C6" t="n">
      <v>0.37</v>
    </nc>
  </rcc>
  <rcc rId="562" ua="false" sId="2">
    <oc r="D6" t="n">
      <v>-1.4175</v>
    </oc>
    <nc r="D6" t="n">
      <v>-1.965</v>
    </nc>
  </rcc>
  <rcc rId="563" ua="false" sId="2">
    <oc r="C7" t="n">
      <v>0.38</v>
    </oc>
    <nc r="C7" t="n">
      <v>0.39</v>
    </nc>
  </rcc>
  <rcc rId="564" ua="false" sId="2">
    <oc r="D7" t="n">
      <v>-1.535</v>
    </oc>
    <nc r="D7" t="n">
      <v>-2.015</v>
    </nc>
  </rcc>
  <rcc rId="565" ua="false" sId="2">
    <oc r="C8" t="n">
      <v>0.4075</v>
    </oc>
    <nc r="C8" t="n">
      <v>0.415</v>
    </nc>
  </rcc>
  <rcc rId="566" ua="false" sId="2">
    <oc r="D8" t="n">
      <v>-1.6625</v>
    </oc>
    <nc r="D8" t="n">
      <v>-2.01</v>
    </nc>
  </rcc>
  <rcc rId="567" ua="false" sId="2">
    <oc r="C9" t="n">
      <v>0.44</v>
    </oc>
    <nc r="C9" t="n">
      <v>0.43</v>
    </nc>
  </rcc>
  <rcc rId="568" ua="false" sId="2">
    <oc r="D9" t="n">
      <v>-1.72</v>
    </oc>
    <nc r="D9" t="n">
      <v>-2.025</v>
    </nc>
  </rcc>
  <rcc rId="569" ua="false" sId="2">
    <oc r="C10" t="n">
      <v>0.4475</v>
    </oc>
    <nc r="C10" t="n">
      <v>0.445</v>
    </nc>
  </rcc>
  <rcc rId="570" ua="false" sId="2">
    <oc r="D10" t="n">
      <v>-1.8225</v>
    </oc>
    <nc r="D10" t="n">
      <v>-2.06</v>
    </nc>
  </rcc>
  <rcc rId="571" ua="false" sId="2">
    <oc r="C11" t="n">
      <v>0.47</v>
    </oc>
    <nc r="C11" t="n">
      <v>0.455</v>
    </nc>
  </rcc>
  <rcc rId="572" ua="false" sId="2">
    <oc r="D11" t="n">
      <v>-1.88</v>
    </oc>
    <nc r="D11" t="n">
      <v>-2.0775</v>
    </nc>
  </rcc>
  <rcc rId="573" ua="false" sId="3">
    <oc r="C2" t="n">
      <v>0.205</v>
    </oc>
    <nc r="C2" t="n">
      <v>0.22</v>
    </nc>
  </rcc>
  <rcc rId="574" ua="false" sId="3">
    <oc r="D2" t="n">
      <v>-0.37</v>
    </oc>
    <nc r="D2" t="n">
      <v>-0.7825</v>
    </nc>
  </rcc>
  <rcc rId="575" ua="false" sId="3">
    <oc r="C3" t="n">
      <v>0.2025</v>
    </oc>
    <nc r="C3" t="n">
      <v>0.235</v>
    </nc>
  </rcc>
  <rcc rId="576" ua="false" sId="3">
    <oc r="D3" t="n">
      <v>-0.3475</v>
    </oc>
    <nc r="D3" t="n">
      <v>-0.77</v>
    </nc>
  </rcc>
  <rcc rId="577" ua="false" sId="3">
    <oc r="C4" t="n">
      <v>0.255</v>
    </oc>
    <nc r="C4" t="n">
      <v>0.235</v>
    </nc>
  </rcc>
  <rcc rId="578" ua="false" sId="3">
    <oc r="D4" t="n">
      <v>-0.48</v>
    </oc>
    <nc r="D4" t="n">
      <v>-0.81</v>
    </nc>
  </rcc>
  <rcc rId="579" ua="false" sId="3">
    <oc r="C5" t="n">
      <v>0.22</v>
    </oc>
    <nc r="C5" t="n">
      <v>0.2575</v>
    </nc>
  </rcc>
  <rcc rId="580" ua="false" sId="3">
    <oc r="D5" t="n">
      <v>-0.475</v>
    </oc>
    <nc r="D5" t="n">
      <v>-0.82</v>
    </nc>
  </rcc>
  <rcc rId="581" ua="false" sId="3">
    <oc r="C6" t="n">
      <v>0.2625</v>
    </oc>
    <nc r="C6" t="n">
      <v>0.295</v>
    </nc>
  </rcc>
  <rcc rId="582" ua="false" sId="3">
    <oc r="D6" t="n">
      <v>-0.5975</v>
    </oc>
    <nc r="D6" t="n">
      <v>-0.865</v>
    </nc>
  </rcc>
  <rcc rId="583" ua="false" sId="3">
    <oc r="C7" t="n">
      <v>0.305</v>
    </oc>
    <nc r="C7" t="n">
      <v>0.34</v>
    </nc>
  </rcc>
  <rcc rId="584" ua="false" sId="3">
    <oc r="D7" t="n">
      <v>-0.73</v>
    </oc>
    <nc r="D7" t="n">
      <v>-0.9375</v>
    </nc>
  </rcc>
  <rcc rId="585" ua="false" sId="3">
    <oc r="C8" t="n">
      <v>0.375</v>
    </oc>
    <nc r="C8" t="n">
      <v>0.405</v>
    </nc>
  </rcc>
  <rcc rId="586" ua="false" sId="3">
    <oc r="D8" t="n">
      <v>-0.91</v>
    </oc>
    <nc r="D8" t="n">
      <v>-1.045</v>
    </nc>
  </rcc>
  <rcc rId="587" ua="false" sId="3">
    <oc r="C9" t="n">
      <v>0.415</v>
    </oc>
    <nc r="C9" t="n">
      <v>0.4425</v>
    </nc>
  </rcc>
  <rcc rId="588" ua="false" sId="3">
    <oc r="D9" t="n">
      <v>-1.0025</v>
    </oc>
    <nc r="D9" t="n">
      <v>-1.12</v>
    </nc>
  </rcc>
  <rcc rId="589" ua="false" sId="3">
    <oc r="C10" t="n">
      <v>0.4425</v>
    </oc>
    <nc r="C10" t="n">
      <v>0.465</v>
    </nc>
  </rcc>
  <rcc rId="590" ua="false" sId="3">
    <oc r="D10" t="n">
      <v>-1.0775</v>
    </oc>
    <nc r="D10" t="n">
      <v>-1.18</v>
    </nc>
  </rcc>
  <rcc rId="591" ua="false" sId="3">
    <oc r="C11" t="n">
      <v>0.45</v>
    </oc>
    <nc r="C11" t="n">
      <v>0.4775</v>
    </nc>
  </rcc>
  <rcc rId="592" ua="false" sId="3">
    <oc r="D11" t="n">
      <v>-1.2025</v>
    </oc>
    <nc r="D11" t="n">
      <v>-1.2675</v>
    </nc>
  </rcc>
  <rcc rId="593" ua="false" sId="4">
    <oc r="C2" t="n">
      <v>0.225</v>
    </oc>
    <nc r="C2" t="n">
      <v>0.2575</v>
    </nc>
  </rcc>
  <rcc rId="594" ua="false" sId="4">
    <oc r="D2" t="n">
      <v>0.4025</v>
    </oc>
    <nc r="D2" t="n">
      <v>0.6775</v>
    </nc>
  </rcc>
  <rcc rId="595" ua="false" sId="4">
    <oc r="C3" t="n">
      <v>0.2275</v>
    </oc>
    <nc r="C3" t="n">
      <v>0.2525</v>
    </nc>
  </rcc>
  <rcc rId="596" ua="false" sId="4">
    <oc r="D3" t="n">
      <v>0.485</v>
    </oc>
    <nc r="D3" t="n">
      <v>0.7</v>
    </nc>
  </rcc>
  <rcc rId="597" ua="false" sId="4">
    <oc r="C4" t="n">
      <v>0.235</v>
    </oc>
    <nc r="C4" t="n">
      <v>0.2525</v>
    </nc>
  </rcc>
  <rcc rId="598" ua="false" sId="4">
    <oc r="D4" t="n">
      <v>0.525</v>
    </oc>
    <nc r="D4" t="n">
      <v>0.705</v>
    </nc>
  </rcc>
  <rcc rId="599" ua="false" sId="4">
    <oc r="C5" t="n">
      <v>0.245</v>
    </oc>
    <nc r="C5" t="n">
      <v>0.26</v>
    </nc>
  </rcc>
  <rcc rId="600" ua="false" sId="4">
    <oc r="D5" t="n">
      <v>0.5875</v>
    </oc>
    <nc r="D5" t="n">
      <v>0.75</v>
    </nc>
  </rcc>
  <rcc rId="601" ua="false" sId="4">
    <oc r="C6" t="n">
      <v>0.2675</v>
    </oc>
    <nc r="C6" t="n">
      <v>0.285</v>
    </nc>
  </rcc>
  <rcc rId="602" ua="false" sId="4">
    <oc r="D6" t="n">
      <v>0.62</v>
    </oc>
    <nc r="D6" t="n">
      <v>0.76</v>
    </nc>
  </rcc>
  <rcc rId="603" ua="false" sId="4">
    <oc r="C7" t="n">
      <v>0.2925</v>
    </oc>
    <nc r="C7" t="n">
      <v>0.3175</v>
    </nc>
  </rcc>
  <rcc rId="604" ua="false" sId="4">
    <oc r="D7" t="n">
      <v>0.6125</v>
    </oc>
    <nc r="D7" t="n">
      <v>0.7925</v>
    </nc>
  </rcc>
  <rcc rId="605" ua="false" sId="4">
    <oc r="C8" t="n">
      <v>0.3325</v>
    </oc>
    <nc r="C8" t="n">
      <v>0.36</v>
    </nc>
  </rcc>
  <rcc rId="606" ua="false" sId="4">
    <oc r="D8" t="n">
      <v>0.61</v>
    </oc>
    <nc r="D8" t="n">
      <v>0.8025</v>
    </nc>
  </rcc>
  <rcc rId="607" ua="false" sId="4">
    <oc r="C9" t="n">
      <v>0.3825</v>
    </oc>
    <nc r="C9" t="n">
      <v>0.4275</v>
    </nc>
  </rcc>
  <rcc rId="608" ua="false" sId="4">
    <oc r="D9" t="n">
      <v>0.5525</v>
    </oc>
    <nc r="D9" t="n">
      <v>0.78</v>
    </nc>
  </rcc>
  <rcc rId="609" ua="false" sId="4">
    <oc r="C10" t="n">
      <v>0.3925</v>
    </oc>
    <nc r="C10" t="n">
      <v>0.425</v>
    </nc>
  </rcc>
  <rcc rId="610" ua="false" sId="4">
    <oc r="D10" t="n">
      <v>0.5625</v>
    </oc>
    <nc r="D10" t="n">
      <v>0.775</v>
    </nc>
  </rcc>
  <rcc rId="611" ua="false" sId="4">
    <oc r="C11" t="n">
      <v>0.4</v>
    </oc>
    <nc r="C11" t="n">
      <v>0.43</v>
    </nc>
  </rcc>
  <rcc rId="612" ua="false" sId="4">
    <oc r="D11" t="n">
      <v>0.6</v>
    </oc>
    <nc r="D11" t="n">
      <v>0.795</v>
    </nc>
  </rcc>
  <rcc rId="613" ua="false" sId="5">
    <oc r="C2" t="n">
      <v>0.14</v>
    </oc>
    <nc r="C2" t="n">
      <v>0.1375</v>
    </nc>
  </rcc>
  <rcc rId="614" ua="false" sId="5">
    <oc r="D2" t="n">
      <v>0.425</v>
    </oc>
    <nc r="D2" t="n">
      <v>0.61</v>
    </nc>
  </rcc>
  <rcc rId="615" ua="false" sId="5">
    <oc r="D3" t="n">
      <v>0.455</v>
    </oc>
    <nc r="D3" t="n">
      <v>0.6575</v>
    </nc>
  </rcc>
  <rcc rId="616" ua="false" sId="5">
    <oc r="C4" t="n">
      <v>0.1725</v>
    </oc>
    <nc r="C4" t="n">
      <v>0.1875</v>
    </nc>
  </rcc>
  <rcc rId="617" ua="false" sId="5">
    <oc r="D4" t="n">
      <v>0.5275</v>
    </oc>
    <nc r="D4" t="n">
      <v>0.575</v>
    </nc>
  </rcc>
  <rcc rId="618" ua="false" sId="5">
    <oc r="C5" t="n">
      <v>0.1575</v>
    </oc>
    <nc r="C5" t="n">
      <v>0.15</v>
    </nc>
  </rcc>
  <rcc rId="619" ua="false" sId="5">
    <oc r="D5" t="n">
      <v>0.5325</v>
    </oc>
    <nc r="D5" t="n">
      <v>0.7525</v>
    </nc>
  </rcc>
  <rcc rId="620" ua="false" sId="5">
    <oc r="C6" t="n">
      <v>0.185</v>
    </oc>
    <nc r="C6" t="n">
      <v>0.175</v>
    </nc>
  </rcc>
  <rcc rId="621" ua="false" sId="5">
    <oc r="D6" t="n">
      <v>0.6025</v>
    </oc>
    <nc r="D6" t="n">
      <v>0.8025</v>
    </nc>
  </rcc>
  <rcc rId="622" ua="false" sId="5">
    <oc r="C7" t="n">
      <v>0.2</v>
    </oc>
    <nc r="C7" t="n">
      <v>0.195</v>
    </nc>
  </rcc>
  <rcc rId="623" ua="false" sId="5">
    <oc r="D7" t="n">
      <v>0.67</v>
    </oc>
    <nc r="D7" t="n">
      <v>0.86</v>
    </nc>
  </rcc>
  <rcc rId="624" ua="false" sId="5">
    <oc r="C8" t="n">
      <v>0.255</v>
    </oc>
    <nc r="C8" t="n">
      <v>0.245</v>
    </nc>
  </rcc>
  <rcc rId="625" ua="false" sId="5">
    <oc r="D8" t="n">
      <v>0.795</v>
    </oc>
    <nc r="D8" t="n">
      <v>0.955</v>
    </nc>
  </rcc>
  <rcc rId="626" ua="false" sId="5">
    <oc r="C9" t="n">
      <v>0.28</v>
    </oc>
    <nc r="C9" t="n">
      <v>0.2675</v>
    </nc>
  </rcc>
  <rcc rId="627" ua="false" sId="5">
    <oc r="D9" t="n">
      <v>0.825</v>
    </oc>
    <nc r="D9" t="n">
      <v>0.9675</v>
    </nc>
  </rcc>
  <rcc rId="628" ua="false" sId="5">
    <oc r="C10" t="n">
      <v>0.2775</v>
    </oc>
    <nc r="C10" t="n">
      <v>0.26</v>
    </nc>
  </rcc>
  <rcc rId="629" ua="false" sId="5">
    <oc r="D10" t="n">
      <v>0.895</v>
    </oc>
    <nc r="D10" t="n">
      <v>1.0675</v>
    </nc>
  </rcc>
  <rcc rId="630" ua="false" sId="5">
    <oc r="C11" t="n">
      <v>0.3275</v>
    </oc>
    <nc r="C11" t="n">
      <v>0.36</v>
    </nc>
  </rcc>
  <rcc rId="631" ua="false" sId="5">
    <oc r="D11" t="n">
      <v>0.8925</v>
    </oc>
    <nc r="D11" t="n">
      <v>1.005</v>
    </nc>
  </rcc>
  <rcc rId="632" ua="false" sId="11">
    <oc r="C2" t="n">
      <v>0.21</v>
    </oc>
    <nc r="C2" t="n">
      <v>0.3275</v>
    </nc>
  </rcc>
  <rcc rId="633" ua="false" sId="11">
    <oc r="D2" t="n">
      <v>-0.9</v>
    </oc>
    <nc r="D2" t="n">
      <v>-1.995</v>
    </nc>
  </rcc>
  <rcc rId="634" ua="false" sId="11">
    <oc r="C3" t="n">
      <v>0.2275</v>
    </oc>
    <nc r="C3" t="n">
      <v>0.3075</v>
    </nc>
  </rcc>
  <rcc rId="635" ua="false" sId="11">
    <oc r="D3" t="n">
      <v>-1.1125</v>
    </oc>
    <nc r="D3" t="n">
      <v>-2.0025</v>
    </nc>
  </rcc>
  <rcc rId="636" ua="false" sId="11">
    <oc r="C4" t="n">
      <v>0.365</v>
    </oc>
    <nc r="C4" t="n">
      <v>0.4125</v>
    </nc>
  </rcc>
  <rcc rId="637" ua="false" sId="11">
    <oc r="D4" t="n">
      <v>-1.01</v>
    </oc>
    <nc r="D4" t="n">
      <v>-2.005</v>
    </nc>
  </rcc>
  <rcc rId="638" ua="false" sId="11">
    <oc r="C5" t="n">
      <v>0.2525</v>
    </oc>
    <nc r="C5" t="n">
      <v>0.32</v>
    </nc>
  </rcc>
  <rcc rId="639" ua="false" sId="11">
    <oc r="D5" t="n">
      <v>-1.43</v>
    </oc>
    <nc r="D5" t="n">
      <v>-2.1775</v>
    </nc>
  </rcc>
  <rcc rId="640" ua="false" sId="11">
    <oc r="C6" t="n">
      <v>0.29</v>
    </oc>
    <nc r="C6" t="n">
      <v>0.355</v>
    </nc>
  </rcc>
  <rcc rId="641" ua="false" sId="11">
    <oc r="D6" t="n">
      <v>-1.8625</v>
    </oc>
    <nc r="D6" t="n">
      <v>-2.45</v>
    </nc>
  </rcc>
  <rcc rId="642" ua="false" sId="11">
    <oc r="C7" t="n">
      <v>0.31</v>
    </oc>
    <nc r="C7" t="n">
      <v>0.385</v>
    </nc>
  </rcc>
  <rcc rId="643" ua="false" sId="11">
    <oc r="D7" t="n">
      <v>-2.1275</v>
    </oc>
    <nc r="D7" t="n">
      <v>-2.7075</v>
    </nc>
  </rcc>
  <rcc rId="644" ua="false" sId="11">
    <oc r="C8" t="n">
      <v>0.3625</v>
    </oc>
    <nc r="C8" t="n">
      <v>0.4625</v>
    </nc>
  </rcc>
  <rcc rId="645" ua="false" sId="11">
    <oc r="D8" t="n">
      <v>-2.52</v>
    </oc>
    <nc r="D8" t="n">
      <v>-3.04</v>
    </nc>
  </rcc>
  <rcc rId="646" ua="false" sId="11">
    <oc r="C9" t="n">
      <v>0.395</v>
    </oc>
    <nc r="C9" t="n">
      <v>0.5025</v>
    </nc>
  </rcc>
  <rcc rId="647" ua="false" sId="11">
    <oc r="D9" t="n">
      <v>-2.705</v>
    </oc>
    <nc r="D9" t="n">
      <v>-3.19</v>
    </nc>
  </rcc>
  <rcc rId="648" ua="false" sId="11">
    <oc r="C10" t="n">
      <v>0.4175</v>
    </oc>
    <nc r="C10" t="n">
      <v>0.5425</v>
    </nc>
  </rcc>
  <rcc rId="649" ua="false" sId="11">
    <oc r="D10" t="n">
      <v>-2.9025</v>
    </oc>
    <nc r="D10" t="n">
      <v>-3.375</v>
    </nc>
  </rcc>
  <rcc rId="650" ua="false" sId="11">
    <oc r="C11" t="n">
      <v>0.405</v>
    </oc>
    <nc r="C11" t="n">
      <v>0.5175</v>
    </nc>
  </rcc>
  <rcc rId="651" ua="false" sId="11">
    <oc r="D11" t="n">
      <v>-3.29</v>
    </oc>
    <nc r="D11" t="n">
      <v>-3.7375</v>
    </nc>
  </rcc>
  <rcc rId="652" ua="false" sId="12">
    <oc r="C2" t="n">
      <v>0.2225</v>
    </oc>
    <nc r="C2" t="n">
      <v>0.24</v>
    </nc>
  </rcc>
  <rcc rId="653" ua="false" sId="12">
    <oc r="D2" t="n">
      <v>-0.4325</v>
    </oc>
    <nc r="D2" t="n">
      <v>-0.835</v>
    </nc>
  </rcc>
  <rcc rId="654" ua="false" sId="12">
    <oc r="C3" t="n">
      <v>0.2325</v>
    </oc>
    <nc r="C3" t="n">
      <v>0.2475</v>
    </nc>
  </rcc>
  <rcc rId="655" ua="false" sId="12">
    <oc r="D3" t="n">
      <v>-0.4475</v>
    </oc>
    <nc r="D3" t="n">
      <v>-0.7825</v>
    </nc>
  </rcc>
  <rcc rId="656" ua="false" sId="12">
    <oc r="C4" t="n">
      <v>0.22</v>
    </oc>
    <nc r="C4" t="n">
      <v>0.25</v>
    </nc>
  </rcc>
  <rcc rId="657" ua="false" sId="12">
    <oc r="D4" t="n">
      <v>-0.535</v>
    </oc>
    <nc r="D4" t="n">
      <v>-0.51</v>
    </nc>
  </rcc>
  <rcc rId="658" ua="false" sId="12">
    <oc r="C5" t="n">
      <v>0.2575</v>
    </oc>
    <nc r="C5" t="n">
      <v>0.27</v>
    </nc>
  </rcc>
  <rcc rId="659" ua="false" sId="12">
    <oc r="D5" t="n">
      <v>-0.49</v>
    </oc>
    <nc r="D5" t="n">
      <v>-0.74</v>
    </nc>
  </rcc>
  <rcc rId="660" ua="false" sId="12">
    <oc r="C6" t="n">
      <v>0.28</v>
    </oc>
    <nc r="C6" t="n">
      <v>0.295</v>
    </nc>
  </rcc>
  <rcc rId="661" ua="false" sId="12">
    <oc r="D6" t="n">
      <v>-0.67</v>
    </oc>
    <nc r="D6" t="n">
      <v>-0.875</v>
    </nc>
  </rcc>
  <rcc rId="662" ua="false" sId="12">
    <oc r="C7" t="n">
      <v>0.3075</v>
    </oc>
    <nc r="C7" t="n">
      <v>0.3325</v>
    </nc>
  </rcc>
  <rcc rId="663" ua="false" sId="12">
    <oc r="D7" t="n">
      <v>-0.835</v>
    </oc>
    <nc r="D7" t="n">
      <v>-1.0275</v>
    </nc>
  </rcc>
  <rcc rId="664" ua="false" sId="12">
    <oc r="C8" t="n">
      <v>0.3575</v>
    </oc>
    <nc r="C8" t="n">
      <v>0.3825</v>
    </nc>
  </rcc>
  <rcc rId="665" ua="false" sId="12">
    <oc r="D8" t="n">
      <v>-0.9925</v>
    </oc>
    <nc r="D8" t="n">
      <v>-1.1225</v>
    </nc>
  </rcc>
  <rcc rId="666" ua="false" sId="12">
    <oc r="C9" t="n">
      <v>0.395</v>
    </oc>
    <nc r="C9" t="n">
      <v>0.4225</v>
    </nc>
  </rcc>
  <rcc rId="667" ua="false" sId="12">
    <oc r="D9" t="n">
      <v>-1.2125</v>
    </oc>
    <nc r="D9" t="n">
      <v>-1.3375</v>
    </nc>
  </rcc>
  <rcc rId="668" ua="false" sId="12">
    <oc r="C10" t="n">
      <v>0.4025</v>
    </oc>
    <nc r="C10" t="n">
      <v>0.4325</v>
    </nc>
  </rcc>
  <rcc rId="669" ua="false" sId="12">
    <oc r="D10" t="n">
      <v>-1.29</v>
    </oc>
    <nc r="D10" t="n">
      <v>-1.4425</v>
    </nc>
  </rcc>
  <rcc rId="670" ua="false" sId="12">
    <oc r="C11" t="n">
      <v>0.435</v>
    </oc>
    <nc r="C11" t="n">
      <v>0.47</v>
    </nc>
  </rcc>
  <rcc rId="671" ua="false" sId="12">
    <oc r="D11" t="n">
      <v>-1.59</v>
    </oc>
    <nc r="D11" t="n">
      <v>-1.68</v>
    </nc>
  </rcc>
  <rcc rId="672" ua="false" sId="13">
    <oc r="C2" t="n">
      <v>0.15</v>
    </oc>
    <nc r="C2" t="n">
      <v>0.1675</v>
    </nc>
  </rcc>
  <rcc rId="673" ua="false" sId="13">
    <oc r="D2" t="n">
      <v>-0.015</v>
    </oc>
    <nc r="D2" t="n">
      <v>-0.3375</v>
    </nc>
  </rcc>
  <rcc rId="674" ua="false" sId="13">
    <oc r="C3" t="n">
      <v>0.15</v>
    </oc>
    <nc r="C3" t="n">
      <v>0.175</v>
    </nc>
  </rcc>
  <rcc rId="675" ua="false" sId="13">
    <oc r="D3" t="n">
      <v>0.005</v>
    </oc>
    <nc r="D3" t="n">
      <v>-0.275</v>
    </nc>
  </rcc>
  <rcc rId="676" ua="false" sId="13">
    <oc r="C4" t="n">
      <v>0.19</v>
    </oc>
    <nc r="C4" t="n">
      <v>0.1775</v>
    </nc>
  </rcc>
  <rcc rId="677" ua="false" sId="13">
    <oc r="D4" t="n">
      <v>-0.065</v>
    </oc>
    <nc r="D4" t="n">
      <v>-0.2575</v>
    </nc>
  </rcc>
  <rcc rId="678" ua="false" sId="13">
    <oc r="C5" t="n">
      <v>0.155</v>
    </oc>
    <nc r="C5" t="n">
      <v>0.19</v>
    </nc>
  </rcc>
  <rcc rId="679" ua="false" sId="13">
    <oc r="D5" t="n">
      <v>0.06</v>
    </oc>
    <nc r="D5" t="n">
      <v>-0.255</v>
    </nc>
  </rcc>
  <rcc rId="680" ua="false" sId="13">
    <oc r="C6" t="n">
      <v>0.185</v>
    </oc>
    <nc r="C6" t="n">
      <v>0.2125</v>
    </nc>
  </rcc>
  <rcc rId="681" ua="false" sId="13">
    <oc r="D6" t="n">
      <v>0.1</v>
    </oc>
    <nc r="D6" t="n">
      <v>-0.1925</v>
    </nc>
  </rcc>
  <rcc rId="682" ua="false" sId="13">
    <oc r="C7" t="n">
      <v>0.205</v>
    </oc>
    <nc r="C7" t="n">
      <v>0.24</v>
    </nc>
  </rcc>
  <rcc rId="683" ua="false" sId="13">
    <oc r="D7" t="n">
      <v>0.13</v>
    </oc>
    <nc r="D7" t="n">
      <v>-0.0825</v>
    </nc>
  </rcc>
  <rcc rId="684" ua="false" sId="13">
    <oc r="C8" t="n">
      <v>0.265</v>
    </oc>
    <nc r="C8" t="n">
      <v>0.3075</v>
    </nc>
  </rcc>
  <rcc rId="685" ua="false" sId="13">
    <oc r="D8" t="n">
      <v>0.1775</v>
    </oc>
    <nc r="D8" t="n">
      <v>0.015</v>
    </nc>
  </rcc>
  <rcc rId="686" ua="false" sId="13">
    <oc r="C9" t="n">
      <v>0.3025</v>
    </oc>
    <nc r="C9" t="n">
      <v>0.33</v>
    </nc>
  </rcc>
  <rcc rId="687" ua="false" sId="13">
    <oc r="D9" t="n">
      <v>0.2125</v>
    </oc>
    <nc r="D9" t="n">
      <v>0.055</v>
    </nc>
  </rcc>
  <rcc rId="688" ua="false" sId="13">
    <oc r="C10" t="n">
      <v>0.3225</v>
    </oc>
    <nc r="C10" t="n">
      <v>0.3575</v>
    </nc>
  </rcc>
  <rcc rId="689" ua="false" sId="13">
    <oc r="D10" t="n">
      <v>0.23</v>
    </oc>
    <nc r="D10" t="n">
      <v>0.0825</v>
    </nc>
  </rcc>
  <rcc rId="690" ua="false" sId="13">
    <oc r="C11" t="n">
      <v>0.3425</v>
    </oc>
    <nc r="C11" t="n">
      <v>0.36</v>
    </nc>
  </rcc>
  <rcc rId="691" ua="false" sId="13">
    <oc r="D11" t="n">
      <v>0.125</v>
    </oc>
    <nc r="D11" t="n">
      <v>0.0125</v>
    </nc>
  </rcc>
  <rcc rId="692" ua="false" sId="14">
    <oc r="C2" t="n">
      <v>0.3025</v>
    </oc>
    <nc r="C2" t="n">
      <v>0.365</v>
    </nc>
  </rcc>
  <rcc rId="693" ua="false" sId="14">
    <oc r="D2" t="n">
      <v>-1.3475</v>
    </oc>
    <nc r="D2" t="n">
      <v>-2</v>
    </nc>
  </rcc>
  <rcc rId="694" ua="false" sId="14">
    <oc r="C3" t="n">
      <v>0.3025</v>
    </oc>
    <nc r="C3" t="n">
      <v>0.3825</v>
    </nc>
  </rcc>
  <rcc rId="695" ua="false" sId="14">
    <oc r="D3" t="n">
      <v>-1.3225</v>
    </oc>
    <nc r="D3" t="n">
      <v>-2.0375</v>
    </nc>
  </rcc>
  <rcc rId="696" ua="false" sId="14">
    <oc r="C4" t="n">
      <v>0.31</v>
    </oc>
    <nc r="C4" t="n">
      <v>0.365</v>
    </nc>
  </rcc>
  <rcc rId="697" ua="false" sId="14">
    <oc r="D4" t="n">
      <v>-1.47</v>
    </oc>
    <nc r="D4" t="n">
      <v>-2.035</v>
    </nc>
  </rcc>
  <rcc rId="698" ua="false" sId="14">
    <oc r="C5" t="n">
      <v>0.3425</v>
    </oc>
    <nc r="C5" t="n">
      <v>0.4425</v>
    </nc>
  </rcc>
  <rcc rId="699" ua="false" sId="14">
    <oc r="D5" t="n">
      <v>-1.4525</v>
    </oc>
    <nc r="D5" t="n">
      <v>-2.1975</v>
    </nc>
  </rcc>
  <rcc rId="700" ua="false" sId="14">
    <oc r="C6" t="n">
      <v>0.3775</v>
    </oc>
    <nc r="C6" t="n">
      <v>0.4625</v>
    </nc>
  </rcc>
  <rcc rId="701" ua="false" sId="14">
    <oc r="D6" t="n">
      <v>-1.5725</v>
    </oc>
    <nc r="D6" t="n">
      <v>-2.1975</v>
    </nc>
  </rcc>
  <rcc rId="702" ua="false" sId="14">
    <oc r="C7" t="n">
      <v>0.4025</v>
    </oc>
    <nc r="C7" t="n">
      <v>0.485</v>
    </nc>
  </rcc>
  <rcc rId="703" ua="false" sId="14">
    <oc r="D7" t="n">
      <v>-1.65</v>
    </oc>
    <nc r="D7" t="n">
      <v>-2.235</v>
    </nc>
  </rcc>
  <rcc rId="704" ua="false" sId="14">
    <oc r="C8" t="n">
      <v>0.4375</v>
    </oc>
    <nc r="C8" t="n">
      <v>0.4875</v>
    </nc>
  </rcc>
  <rcc rId="705" ua="false" sId="14">
    <oc r="D8" t="n">
      <v>-1.78</v>
    </oc>
    <nc r="D8" t="n">
      <v>-2.2075</v>
    </nc>
  </rcc>
  <rcc rId="706" ua="false" sId="14">
    <oc r="C9" t="n">
      <v>0.46</v>
    </oc>
    <nc r="C9" t="n">
      <v>0.515</v>
    </nc>
  </rcc>
  <rcc rId="707" ua="false" sId="14">
    <oc r="D9" t="n">
      <v>-1.815</v>
    </oc>
    <nc r="D9" t="n">
      <v>-2.1975</v>
    </nc>
  </rcc>
  <rcc rId="708" ua="false" sId="14">
    <oc r="C10" t="n">
      <v>0.4725</v>
    </oc>
    <nc r="C10" t="n">
      <v>0.51</v>
    </nc>
  </rcc>
  <rcc rId="709" ua="false" sId="14">
    <oc r="D10" t="n">
      <v>-1.9075</v>
    </oc>
    <nc r="D10" t="n">
      <v>-2.2</v>
    </nc>
  </rcc>
  <rcc rId="710" ua="false" sId="14">
    <oc r="C11" t="n">
      <v>0.4875</v>
    </oc>
    <nc r="C11" t="n">
      <v>0.51</v>
    </nc>
  </rcc>
  <rcc rId="711" ua="false" sId="14">
    <oc r="D11" t="n">
      <v>-2.0175</v>
    </oc>
    <nc r="D11" t="n">
      <v>-2.25</v>
    </nc>
  </rcc>
  <rcc rId="712" ua="false" sId="15">
    <oc r="C2" t="n">
      <v>0.22</v>
    </oc>
    <nc r="C2" t="n">
      <v>0.2575</v>
    </nc>
  </rcc>
  <rcc rId="713" ua="false" sId="15">
    <oc r="D2" t="n">
      <v>0.035</v>
    </oc>
    <nc r="D2" t="n">
      <v>-0.0375</v>
    </nc>
  </rcc>
  <rcc rId="714" ua="false" sId="15">
    <oc r="C3" t="n">
      <v>0.225</v>
    </oc>
    <nc r="C3" t="n">
      <v>0.255</v>
    </nc>
  </rcc>
  <rcc rId="715" ua="false" sId="15">
    <oc r="D3" t="n">
      <v>-0.045</v>
    </oc>
    <nc r="D3" t="n">
      <v>-0.125</v>
    </nc>
  </rcc>
  <rcc rId="716" ua="false" sId="15">
    <oc r="C4" t="n">
      <v>0.2775</v>
    </oc>
    <nc r="C4" t="n">
      <v>0.2875</v>
    </nc>
  </rcc>
  <rcc rId="717" ua="false" sId="15">
    <oc r="D4" t="n">
      <v>-0.1125</v>
    </oc>
    <nc r="D4" t="n">
      <v>-0.085</v>
    </nc>
  </rcc>
  <rcc rId="718" ua="false" sId="15">
    <oc r="C5" t="n">
      <v>0.23</v>
    </oc>
    <nc r="C5" t="n">
      <v>0.2675</v>
    </nc>
  </rcc>
  <rcc rId="719" ua="false" sId="15">
    <oc r="D5" t="n">
      <v>-0.22</v>
    </oc>
    <nc r="D5" t="n">
      <v>-0.2225</v>
    </nc>
  </rcc>
  <rcc rId="720" ua="false" sId="15">
    <oc r="C6" t="n">
      <v>0.2525</v>
    </oc>
    <nc r="C6" t="n">
      <v>0.29</v>
    </nc>
  </rcc>
  <rcc rId="721" ua="false" sId="15">
    <oc r="D6" t="n">
      <v>-0.4675</v>
    </oc>
    <nc r="D6" t="n">
      <v>-0.4825</v>
    </nc>
  </rcc>
  <rcc rId="722" ua="false" sId="15">
    <oc r="C7" t="n">
      <v>0.2825</v>
    </oc>
    <nc r="C7" t="n">
      <v>0.315</v>
    </nc>
  </rcc>
  <rcc rId="723" ua="false" sId="15">
    <oc r="D7" t="n">
      <v>-0.685</v>
    </oc>
    <nc r="D7" t="n">
      <v>-0.7125</v>
    </nc>
  </rcc>
  <rcc rId="724" ua="false" sId="15">
    <oc r="C8" t="n">
      <v>0.33</v>
    </oc>
    <nc r="C8" t="n">
      <v>0.3575</v>
    </nc>
  </rcc>
  <rcc rId="725" ua="false" sId="15">
    <oc r="D8" t="n">
      <v>-1.025</v>
    </oc>
    <nc r="D8" t="n">
      <v>-1.0725</v>
    </nc>
  </rcc>
  <rcc rId="726" ua="false" sId="15">
    <oc r="C9" t="n">
      <v>0.3625</v>
    </oc>
    <nc r="C9" t="n">
      <v>0.375</v>
    </nc>
  </rcc>
  <rcc rId="727" ua="false" sId="15">
    <oc r="D9" t="n">
      <v>-1.1825</v>
    </oc>
    <nc r="D9" t="n">
      <v>-1.2275</v>
    </nc>
  </rcc>
  <rcc rId="728" ua="false" sId="15">
    <oc r="C10" t="n">
      <v>0.365</v>
    </oc>
    <nc r="C10" t="n">
      <v>0.3775</v>
    </nc>
  </rcc>
  <rcc rId="729" ua="false" sId="15">
    <oc r="D10" t="n">
      <v>-1.2875</v>
    </oc>
    <nc r="D10" t="n">
      <v>-1.345</v>
    </nc>
  </rcc>
  <rcc rId="730" ua="false" sId="15">
    <oc r="C11" t="n">
      <v>0.3925</v>
    </oc>
    <nc r="C11" t="n">
      <v>0.38</v>
    </nc>
  </rcc>
  <rcc rId="731" ua="false" sId="15">
    <oc r="D11" t="n">
      <v>-1.5375</v>
    </oc>
    <nc r="D11" t="n">
      <v>-1.595</v>
    </nc>
  </rcc>
  <rcc rId="732" ua="false" sId="16">
    <oc r="C2" t="n">
      <v>0.1775</v>
    </oc>
    <nc r="C2" t="n">
      <v>0.18</v>
    </nc>
  </rcc>
  <rcc rId="733" ua="false" sId="16">
    <oc r="D2" t="n">
      <v>0.4475</v>
    </oc>
    <nc r="D2" t="n">
      <v>0.47</v>
    </nc>
  </rcc>
  <rcc rId="734" ua="false" sId="16">
    <oc r="C3" t="n">
      <v>0.19</v>
    </oc>
    <nc r="C3" t="n">
      <v>0.1825</v>
    </nc>
  </rcc>
  <rcc rId="735" ua="false" sId="16">
    <oc r="D3" t="n">
      <v>0.48</v>
    </oc>
    <nc r="D3" t="n">
      <v>0.5225</v>
    </nc>
  </rcc>
  <rcc rId="736" ua="false" sId="16">
    <oc r="C4" t="n">
      <v>0.195</v>
    </oc>
    <nc r="C4" t="n">
      <v>0.2</v>
    </nc>
  </rcc>
  <rcc rId="737" ua="false" sId="16">
    <oc r="D4" t="n">
      <v>0.54</v>
    </oc>
    <nc r="D4" t="n">
      <v>0.55</v>
    </nc>
  </rcc>
  <rcc rId="738" ua="false" sId="16">
    <oc r="D5" t="n">
      <v>0.6675</v>
    </oc>
    <nc r="D5" t="n">
      <v>0.67</v>
    </nc>
  </rcc>
  <rcc rId="739" ua="false" sId="16">
    <oc r="C6" t="n">
      <v>0.2325</v>
    </oc>
    <nc r="C6" t="n">
      <v>0.235</v>
    </nc>
  </rcc>
  <rcc rId="740" ua="false" sId="16">
    <oc r="D6" t="n">
      <v>0.7725</v>
    </oc>
    <nc r="D6" t="n">
      <v>0.785</v>
    </nc>
  </rcc>
  <rcc rId="741" ua="false" sId="16">
    <oc r="D7" t="n">
      <v>1.0025</v>
    </oc>
    <nc r="D7" t="n">
      <v>1.025</v>
    </nc>
  </rcc>
  <rcc rId="742" ua="false" sId="16">
    <oc r="C8" t="n">
      <v>0.3125</v>
    </oc>
    <nc r="C8" t="n">
      <v>0.3175</v>
    </nc>
  </rcc>
  <rcc rId="743" ua="false" sId="16">
    <oc r="D8" t="n">
      <v>1.1175</v>
    </oc>
    <nc r="D8" t="n">
      <v>1.1325</v>
    </nc>
  </rcc>
  <rcc rId="744" ua="false" sId="16">
    <oc r="C9" t="n">
      <v>0.3325</v>
    </oc>
    <nc r="C9" t="n">
      <v>0.34</v>
    </nc>
  </rcc>
  <rcc rId="745" ua="false" sId="16">
    <oc r="D9" t="n">
      <v>1.2025</v>
    </oc>
    <nc r="D9" t="n">
      <v>1.2225</v>
    </nc>
  </rcc>
  <rcc rId="746" ua="false" sId="16">
    <oc r="C10" t="n">
      <v>0.3625</v>
    </oc>
    <nc r="C10" t="n">
      <v>0.38</v>
    </nc>
  </rcc>
  <rcc rId="747" ua="false" sId="16">
    <oc r="D10" t="n">
      <v>1.2875</v>
    </oc>
    <nc r="D10" t="n">
      <v>1.33</v>
    </nc>
  </rcc>
  <rcc rId="748" ua="false" sId="10">
    <oc r="C2" t="n">
      <v>0.14</v>
    </oc>
    <nc r="C2" t="n">
      <v>0.1425</v>
    </nc>
  </rcc>
  <rcc rId="749" ua="false" sId="10">
    <oc r="D2" t="n">
      <v>0.345</v>
    </oc>
    <nc r="D2" t="n">
      <v>-0.09</v>
    </nc>
  </rcc>
  <rcc rId="750" ua="false" sId="10">
    <oc r="D3" t="n">
      <v>0.42</v>
    </oc>
    <nc r="D3" t="n">
      <v>0.0975</v>
    </nc>
  </rcc>
  <rcc rId="751" ua="false" sId="10">
    <oc r="C4" t="n">
      <v>0.155</v>
    </oc>
    <nc r="C4" t="n">
      <v>0.1675</v>
    </nc>
  </rcc>
  <rcc rId="752" ua="false" sId="10">
    <oc r="D4" t="n">
      <v>0.385</v>
    </oc>
    <nc r="D4" t="n">
      <v>0.23</v>
    </nc>
  </rcc>
  <rcc rId="753" ua="false" sId="10">
    <oc r="C5" t="n">
      <v>0.175</v>
    </oc>
    <nc r="C5" t="n">
      <v>0.19</v>
    </nc>
  </rcc>
  <rcc rId="754" ua="false" sId="10">
    <oc r="D5" t="n">
      <v>0.46</v>
    </oc>
    <nc r="D5" t="n">
      <v>0.33</v>
    </nc>
  </rcc>
  <rcc rId="755" ua="false" sId="10">
    <oc r="C6" t="n">
      <v>0.2175</v>
    </oc>
    <nc r="C6" t="n">
      <v>0.23</v>
    </nc>
  </rcc>
  <rcc rId="756" ua="false" sId="10">
    <oc r="D6" t="n">
      <v>0.5275</v>
    </oc>
    <nc r="D6" t="n">
      <v>0.47</v>
    </nc>
  </rcc>
  <rcc rId="757" ua="false" sId="10">
    <oc r="C7" t="n">
      <v>0.255</v>
    </oc>
    <nc r="C7" t="n">
      <v>0.2625</v>
    </nc>
  </rcc>
  <rcc rId="758" ua="false" sId="10">
    <oc r="C8" t="n">
      <v>0.31</v>
    </oc>
    <nc r="C8" t="n">
      <v>0.3175</v>
    </nc>
  </rcc>
  <rcc rId="759" ua="false" sId="10">
    <oc r="D8" t="n">
      <v>0.8775</v>
    </oc>
    <nc r="D8" t="n">
      <v>0.8675</v>
    </nc>
  </rcc>
  <rcc rId="760" ua="false" sId="10">
    <oc r="C9" t="n">
      <v>0.325</v>
    </oc>
    <nc r="C9" t="n">
      <v>0.335</v>
    </nc>
  </rcc>
  <rcc rId="761" ua="false" sId="10">
    <oc r="D9" t="n">
      <v>1.0375</v>
    </oc>
    <nc r="D9" t="n">
      <v>0.965</v>
    </nc>
  </rcc>
  <rcc rId="762" ua="false" sId="10">
    <oc r="D10" t="n">
      <v>1.125</v>
    </oc>
    <nc r="D10" t="n">
      <v>1.115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763" ua="false" sId="18">
    <oc r="B5" t="n">
      <v>-0.2</v>
    </oc>
    <nc r="B5" t="n">
      <v>-0.3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764" ua="false" sId="18">
    <oc r="H5" t="n">
      <v>-0.8</v>
    </oc>
    <nc r="H5" t="n">
      <v>-1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765" ua="false" sId="18">
    <oc r="G2" t="n">
      <v>5.7</v>
    </oc>
    <nc r="G2" t="n">
      <v>5.6</v>
    </nc>
  </rcc>
  <rcc rId="766" ua="false" sId="18">
    <oc r="G3" t="n">
      <v>6.85</v>
    </oc>
    <nc r="G3" t="n">
      <v>6.925</v>
    </nc>
  </rcc>
  <rcc rId="767" ua="false" sId="18">
    <oc r="G5" t="n">
      <v>0.1</v>
    </oc>
    <nc r="G5" t="n">
      <v>0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cc rId="768" ua="false" sId="18">
    <oc r="H5" t="n">
      <v>-1</v>
    </oc>
    <nc r="H5" t="n">
      <v>-1.2</v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cc rId="769" ua="false" sId="18">
    <oc r="J5" t="n">
      <v>0.45</v>
    </oc>
    <nc r="J5" t="n">
      <v>0</v>
    </nc>
  </rcc>
  <rcc rId="770" ua="false" sId="18">
    <oc r="J6" t="n">
      <v>5</v>
    </oc>
    <nc r="J6" t="n">
      <v>6</v>
    </nc>
  </rcc>
  <rcc rId="771" ua="false" sId="18">
    <oc r="J2" t="n">
      <v>9.8</v>
    </oc>
    <nc r="J2" t="n">
      <v>10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cc rId="772" ua="false" sId="18">
    <oc r="I2" t="n">
      <v>9.05</v>
    </oc>
    <nc r="I2" t="n">
      <v>9.2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>
  <rcc rId="773" ua="false" sId="18">
    <oc r="G5" t="n">
      <v>2</v>
    </oc>
    <nc r="G5" t="n">
      <v>1.5</v>
    </nc>
  </rcc>
  <rcc rId="774" ua="false" sId="18">
    <oc r="G11" t="n">
      <v>3</v>
    </oc>
    <nc r="G11" t="n">
      <v>5</v>
    </nc>
  </rcc>
  <rcc rId="775" ua="false" sId="18">
    <oc r="G5" t="n">
      <v>1.5</v>
    </oc>
    <nc r="G5" t="n">
      <v>1.3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776" ua="false" sId="18">
    <oc r="I2" t="n">
      <v>8.4</v>
    </oc>
    <nc r="I2" t="n">
      <v>8.6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>
  <rcc rId="777" ua="false" sId="18">
    <oc r="J19" t="n">
      <v>0</v>
    </oc>
    <nc r="J19" t="n">
      <v>6</v>
    </nc>
  </rcc>
  <rcc rId="778" ua="false" sId="18">
    <oc r="H2" t="n">
      <v>10.8</v>
    </oc>
    <nc r="H2" t="n">
      <v>10.9</v>
    </nc>
  </rcc>
  <rcc rId="779" ua="false" sId="18">
    <oc r="H19" t="n">
      <v>6</v>
    </oc>
    <nc r="H19" t="n">
      <v>6.5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>
  <rcc rId="780" ua="false" sId="18">
    <oc r="G3" t="n">
      <v>7.3</v>
    </oc>
    <nc r="G3" t="n">
      <v>7.35</v>
    </nc>
  </rcc>
  <rcc rId="781" ua="false" sId="18">
    <oc r="G5" t="n">
      <v>1.2</v>
    </oc>
    <nc r="G5" t="n">
      <v>1.6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cc rId="782" ua="false" sId="18">
    <oc r="J3" t="n">
      <v>10.35</v>
    </oc>
    <nc r="J3" t="n">
      <v>10.3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>
  <rcc rId="783" ua="false" sId="18">
    <oc r="J5" t="n">
      <v>0</v>
    </oc>
    <nc r="J5" t="n">
      <v>-0.3</v>
    </nc>
  </rcc>
  <rcc rId="784" ua="false" sId="18">
    <oc r="J6" t="n">
      <v>6</v>
    </oc>
    <nc r="J6" t="n">
      <v>6.5</v>
    </nc>
  </rcc>
  <rcc rId="785" ua="false" sId="18">
    <oc r="J5" t="n">
      <v>-0.3</v>
    </oc>
    <nc r="J5" t="n">
      <v>-0.4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>
  <rrc rId="786" ua="false" sId="19" eol="1" ref="34:34" action="insertRow"/>
  <rcc rId="787" ua="false" sId="19">
    <nc r="B34" t="n">
      <v>223373</v>
    </nc>
  </rcc>
  <rcc rId="788" ua="false" sId="19">
    <nc r="A34" t="n">
      <v>44258</v>
    </nc>
  </rcc>
  <rcc rId="789" ua="false" sId="19">
    <nc r="C34" t="n">
      <f>C33+B34</f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790" ua="false" sId="18">
    <oc r="G2" t="n">
      <v>6.0825</v>
    </oc>
    <nc r="G2" t="n">
      <v>5.8</v>
    </nc>
  </rcc>
  <rcc rId="791" ua="false" sId="18">
    <oc r="G3" t="n">
      <v>6.71</v>
    </oc>
    <nc r="G3" t="n">
      <v>6.75</v>
    </nc>
  </rcc>
  <rcc rId="792" ua="false" sId="18">
    <oc r="G5" t="n">
      <v>0.3</v>
    </oc>
    <nc r="G5" t="n">
      <v>0.1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793" ua="false" sId="18">
    <oc r="F2" t="n">
      <v>5.075</v>
    </oc>
    <nc r="F2" t="n">
      <v>4.7</v>
    </nc>
  </rcc>
  <rcc rId="794" ua="false" sId="18">
    <oc r="F3" t="n">
      <v>7.35</v>
    </oc>
    <nc r="F3" t="n">
      <v>7.5</v>
    </nc>
  </rcc>
  <rcc rId="795" ua="false" sId="18">
    <oc r="F5" t="n">
      <v>0.25</v>
    </oc>
    <nc r="F5" t="n">
      <v>0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cc rId="796" ua="false" sId="18">
    <oc r="G16" t="n">
      <v>8</v>
    </oc>
    <nc r="G16" t="n">
      <v>6.5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c rId="797" ua="false" sId="18">
    <oc r="J3" t="n">
      <v>10.3</v>
    </oc>
    <nc r="J3" t="n">
      <v>10.32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>
  <rcc rId="798" ua="false" sId="18">
    <oc r="G2" t="n">
      <v>6.15</v>
    </oc>
    <nc r="G2" t="n">
      <v>6.05</v>
    </nc>
  </rcc>
  <rcc rId="799" ua="false" sId="18">
    <oc r="G5" t="n">
      <v>1.4</v>
    </oc>
    <nc r="G5" t="n">
      <v>2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>
  <rcc rId="800" ua="false" sId="18">
    <oc r="J5" t="n">
      <v>2.2</v>
    </oc>
    <nc r="J5" t="n">
      <v>2</v>
    </nc>
  </rcc>
  <rcc rId="801" ua="false" sId="18">
    <oc r="J2" t="n">
      <v>10.95</v>
    </oc>
    <nc r="J2" t="n">
      <v>10.8</v>
    </nc>
  </rcc>
</revisions>
</file>

<file path=xl/revisions/revisionLog113.xml><?xml version="1.0" encoding="utf-8"?>
<revisions xmlns="http://schemas.openxmlformats.org/spreadsheetml/2006/main" xmlns:r="http://schemas.openxmlformats.org/officeDocument/2006/relationships">
  <rcc rId="802" ua="false" sId="18">
    <oc r="F5" t="n">
      <v>0.7</v>
    </oc>
    <nc r="F5" t="n">
      <v>1.1</v>
    </nc>
  </rcc>
  <rcc rId="803" ua="false" sId="18">
    <oc r="F2" t="n">
      <v>6.1</v>
    </oc>
    <nc r="F2" t="n">
      <v>6.15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>
  <rcc rId="804" ua="false" sId="18">
    <oc r="G16" t="n">
      <v>6.5</v>
    </oc>
    <nc r="G16" t="n">
      <v>2</v>
    </nc>
  </rcc>
  <rcc rId="805" ua="false" sId="18">
    <oc r="G5" t="n">
      <v>0.8</v>
    </oc>
    <nc r="G5" t="n">
      <v>1.1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>
  <rcc rId="806" ua="false" sId="18">
    <oc r="I3" t="n">
      <v>9.4</v>
    </oc>
    <nc r="I3" t="n">
      <v>9.33</v>
    </nc>
  </rcc>
  <rcc rId="807" ua="false" sId="18">
    <oc r="I3" t="n">
      <v>9.33</v>
    </oc>
    <nc r="I3" t="n">
      <v>9.3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>
  <rcc rId="808" ua="false" sId="18">
    <oc r="K2" t="n">
      <v>0.355</v>
    </oc>
    <nc r="K2" t="n">
      <v>0.37</v>
    </nc>
  </rcc>
</revisions>
</file>

<file path=xl/revisions/revisionLog117.xml><?xml version="1.0" encoding="utf-8"?>
<revisions xmlns="http://schemas.openxmlformats.org/spreadsheetml/2006/main" xmlns:r="http://schemas.openxmlformats.org/officeDocument/2006/relationships">
  <rcc rId="809" ua="false" sId="2">
    <oc r="C2" t="n">
      <v>0.285</v>
    </oc>
    <nc r="C2" t="n">
      <v>0.27</v>
    </nc>
  </rcc>
  <rcc rId="810" ua="false" sId="2">
    <oc r="D2" t="n">
      <v>-1.15</v>
    </oc>
    <nc r="D2" t="n">
      <v>-0.955</v>
    </nc>
  </rcc>
  <rcc rId="811" ua="false" sId="2">
    <oc r="C3" t="n">
      <v>0.2925</v>
    </oc>
    <nc r="C3" t="n">
      <v>0.2825</v>
    </nc>
  </rcc>
  <rcc rId="812" ua="false" sId="2">
    <oc r="D3" t="n">
      <v>-1.3225</v>
    </oc>
    <nc r="D3" t="n">
      <v>-1.0825</v>
    </nc>
  </rcc>
  <rcc rId="813" ua="false" sId="2">
    <oc r="C4" t="n">
      <v>0.3275</v>
    </oc>
    <nc r="C4" t="n">
      <v>0.3025</v>
    </nc>
  </rcc>
  <rcc rId="814" ua="false" sId="2">
    <oc r="D4" t="n">
      <v>-1.4025</v>
    </oc>
    <nc r="D4" t="n">
      <v>-1.24</v>
    </nc>
  </rcc>
  <rcc rId="815" ua="false" sId="2">
    <oc r="C5" t="n">
      <v>0.325</v>
    </oc>
    <nc r="C5" t="n">
      <v>0.3125</v>
    </nc>
  </rcc>
  <rcc rId="816" ua="false" sId="2">
    <oc r="D5" t="n">
      <v>-1.365</v>
    </oc>
    <nc r="D5" t="n">
      <v>-1.21</v>
    </nc>
  </rcc>
  <rcc rId="817" ua="false" sId="2">
    <oc r="C6" t="n">
      <v>0.36</v>
    </oc>
    <nc r="C6" t="n">
      <v>0.35</v>
    </nc>
  </rcc>
  <rcc rId="818" ua="false" sId="2">
    <oc r="D6" t="n">
      <v>-1.475</v>
    </oc>
    <nc r="D6" t="n">
      <v>-1.34</v>
    </nc>
  </rcc>
  <rcc rId="819" ua="false" sId="2">
    <oc r="C7" t="n">
      <v>0.39</v>
    </oc>
    <nc r="C7" t="n">
      <v>0.375</v>
    </nc>
  </rcc>
  <rcc rId="820" ua="false" sId="2">
    <oc r="D7" t="n">
      <v>-1.595</v>
    </oc>
    <nc r="D7" t="n">
      <v>-1.455</v>
    </nc>
  </rcc>
  <rcc rId="821" ua="false" sId="2">
    <oc r="C8" t="n">
      <v>0.42</v>
    </oc>
    <nc r="C8" t="n">
      <v>0.4075</v>
    </nc>
  </rcc>
  <rcc rId="822" ua="false" sId="2">
    <oc r="D8" t="n">
      <v>-1.6925</v>
    </oc>
    <nc r="D8" t="n">
      <v>-1.59</v>
    </nc>
  </rcc>
  <rcc rId="823" ua="false" sId="2">
    <oc r="C9" t="n">
      <v>0.4425</v>
    </oc>
    <nc r="C9" t="n">
      <v>0.43</v>
    </nc>
  </rcc>
  <rcc rId="824" ua="false" sId="2">
    <oc r="D9" t="n">
      <v>-1.735</v>
    </oc>
    <nc r="D9" t="n">
      <v>-1.65</v>
    </nc>
  </rcc>
  <rcc rId="825" ua="false" sId="2">
    <oc r="C10" t="n">
      <v>0.45</v>
    </oc>
    <nc r="C10" t="n">
      <v>0.4425</v>
    </nc>
  </rcc>
  <rcc rId="826" ua="false" sId="2">
    <oc r="D10" t="n">
      <v>-1.7875</v>
    </oc>
    <nc r="D10" t="n">
      <v>-1.71</v>
    </nc>
  </rcc>
  <rcc rId="827" ua="false" sId="2">
    <oc r="C11" t="n">
      <v>0.4325</v>
    </oc>
    <nc r="C11" t="n">
      <v>0.4175</v>
    </nc>
  </rcc>
  <rcc rId="828" ua="false" sId="2">
    <oc r="D11" t="n">
      <v>-1.91</v>
    </oc>
    <nc r="D11" t="n">
      <v>-1.8525</v>
    </nc>
  </rcc>
  <rcc rId="829" ua="false" sId="3">
    <oc r="C2" t="n">
      <v>0.19</v>
    </oc>
    <nc r="C2" t="n">
      <v>0.1925</v>
    </nc>
  </rcc>
  <rcc rId="830" ua="false" sId="3">
    <oc r="D2" t="n">
      <v>-0.51</v>
    </oc>
    <nc r="D2" t="n">
      <v>-0.445</v>
    </nc>
  </rcc>
  <rcc rId="831" ua="false" sId="3">
    <oc r="C3" t="n">
      <v>0.2025</v>
    </oc>
    <nc r="C3" t="n">
      <v>0.2</v>
    </nc>
  </rcc>
  <rcc rId="832" ua="false" sId="3">
    <oc r="D3" t="n">
      <v>-0.5625</v>
    </oc>
    <nc r="D3" t="n">
      <v>-0.5</v>
    </nc>
  </rcc>
  <rcc rId="833" ua="false" sId="3">
    <oc r="C4" t="n">
      <v>0.205</v>
    </oc>
    <nc r="C4" t="n">
      <v>0.195</v>
    </nc>
  </rcc>
  <rcc rId="834" ua="false" sId="3">
    <oc r="D4" t="n">
      <v>-0.685</v>
    </oc>
    <nc r="D4" t="n">
      <v>-0.595</v>
    </nc>
  </rcc>
  <rcc rId="835" ua="false" sId="3">
    <oc r="C5" t="n">
      <v>0.2225</v>
    </oc>
    <nc r="C5" t="n">
      <v>0.22</v>
    </nc>
  </rcc>
  <rcc rId="836" ua="false" sId="3">
    <oc r="D5" t="n">
      <v>-0.66</v>
    </oc>
    <nc r="D5" t="n">
      <v>-0.5825</v>
    </nc>
  </rcc>
  <rcc rId="837" ua="false" sId="3">
    <oc r="C6" t="n">
      <v>0.2575</v>
    </oc>
    <nc r="C6" t="n">
      <v>0.255</v>
    </nc>
  </rcc>
  <rcc rId="838" ua="false" sId="3">
    <oc r="D6" t="n">
      <v>-0.795</v>
    </oc>
    <nc r="D6" t="n">
      <v>-0.7425</v>
    </nc>
  </rcc>
  <rcc rId="839" ua="false" sId="3">
    <oc r="D7" t="n">
      <v>-0.845</v>
    </oc>
    <nc r="D7" t="n">
      <v>-0.8075</v>
    </nc>
  </rcc>
  <rcc rId="840" ua="false" sId="3">
    <oc r="C8" t="n">
      <v>0.36</v>
    </oc>
    <nc r="C8" t="n">
      <v>0.365</v>
    </nc>
  </rcc>
  <rcc rId="841" ua="false" sId="3">
    <oc r="D8" t="n">
      <v>-0.97</v>
    </oc>
    <nc r="D8" t="n">
      <v>-0.94</v>
    </nc>
  </rcc>
  <rcc rId="842" ua="false" sId="3">
    <oc r="D9" t="n">
      <v>-1.105</v>
    </oc>
    <nc r="D9" t="n">
      <v>-1.08</v>
    </nc>
  </rcc>
  <rcc rId="843" ua="false" sId="3">
    <oc r="C10" t="n">
      <v>0.42</v>
    </oc>
    <nc r="C10" t="n">
      <v>0.415</v>
    </nc>
  </rcc>
  <rcc rId="844" ua="false" sId="3">
    <oc r="D10" t="n">
      <v>-1.155</v>
    </oc>
    <nc r="D10" t="n">
      <v>-1.12</v>
    </nc>
  </rcc>
  <rcc rId="845" ua="false" sId="3">
    <oc r="D11" t="n">
      <v>-1.22</v>
    </oc>
    <nc r="D11" t="n">
      <v>-1.2</v>
    </nc>
  </rcc>
  <rcc rId="846" ua="false" sId="4">
    <oc r="C2" t="n">
      <v>0.215</v>
    </oc>
    <nc r="C2" t="n">
      <v>0.22</v>
    </nc>
  </rcc>
  <rcc rId="847" ua="false" sId="4">
    <oc r="C3" t="n">
      <v>0.2275</v>
    </oc>
    <nc r="C3" t="n">
      <v>0.2225</v>
    </nc>
  </rcc>
  <rcc rId="848" ua="false" sId="4">
    <oc r="D3" t="n">
      <v>0.5525</v>
    </oc>
    <nc r="D3" t="n">
      <v>0.505</v>
    </nc>
  </rcc>
  <rcc rId="849" ua="false" sId="4">
    <oc r="C4" t="n">
      <v>0.2325</v>
    </oc>
    <nc r="C4" t="n">
      <v>0.225</v>
    </nc>
  </rcc>
  <rcc rId="850" ua="false" sId="4">
    <oc r="D4" t="n">
      <v>0.555</v>
    </oc>
    <nc r="D4" t="n">
      <v>0.52</v>
    </nc>
  </rcc>
  <rcc rId="851" ua="false" sId="4">
    <oc r="C5" t="n">
      <v>0.24</v>
    </oc>
    <nc r="C5" t="n">
      <v>0.2325</v>
    </nc>
  </rcc>
  <rcc rId="852" ua="false" sId="4">
    <oc r="D5" t="n">
      <v>0.58</v>
    </oc>
    <nc r="D5" t="n">
      <v>0.555</v>
    </nc>
  </rcc>
  <rcc rId="853" ua="false" sId="4">
    <oc r="C6" t="n">
      <v>0.26</v>
    </oc>
    <nc r="C6" t="n">
      <v>0.255</v>
    </nc>
  </rcc>
  <rcc rId="854" ua="false" sId="4">
    <oc r="D6" t="n">
      <v>0.58</v>
    </oc>
    <nc r="D6" t="n">
      <v>0.5625</v>
    </nc>
  </rcc>
  <rcc rId="855" ua="false" sId="4">
    <oc r="C7" t="n">
      <v>0.295</v>
    </oc>
    <nc r="C7" t="n">
      <v>0.2925</v>
    </nc>
  </rcc>
  <rcc rId="856" ua="false" sId="4">
    <oc r="D7" t="n">
      <v>0.615</v>
    </oc>
    <nc r="D7" t="n">
      <v>0.5775</v>
    </nc>
  </rcc>
  <rcc rId="857" ua="false" sId="4">
    <oc r="C8" t="n">
      <v>0.34</v>
    </oc>
    <nc r="C8" t="n">
      <v>0.3425</v>
    </nc>
  </rcc>
  <rcc rId="858" ua="false" sId="4">
    <oc r="D8" t="n">
      <v>0.615</v>
    </oc>
    <nc r="D8" t="n">
      <v>0.5575</v>
    </nc>
  </rcc>
  <rcc rId="859" ua="false" sId="4">
    <oc r="C9" t="n">
      <v>0.4025</v>
    </oc>
    <nc r="C9" t="n">
      <v>0.395</v>
    </nc>
  </rcc>
  <rcc rId="860" ua="false" sId="4">
    <oc r="D9" t="n">
      <v>0.62</v>
    </oc>
    <nc r="D9" t="n">
      <v>0.5875</v>
    </nc>
  </rcc>
  <rcc rId="861" ua="false" sId="4">
    <oc r="C10" t="n">
      <v>0.4025</v>
    </oc>
    <nc r="C10" t="n">
      <v>0.4</v>
    </nc>
  </rcc>
  <rcc rId="862" ua="false" sId="4">
    <oc r="D10" t="n">
      <v>0.59</v>
    </oc>
    <nc r="D10" t="n">
      <v>0.58</v>
    </nc>
  </rcc>
  <rcc rId="863" ua="false" sId="4">
    <oc r="C11" t="n">
      <v>0.42</v>
    </oc>
    <nc r="C11" t="n">
      <v>0.4175</v>
    </nc>
  </rcc>
  <rcc rId="864" ua="false" sId="4">
    <oc r="D11" t="n">
      <v>0.66</v>
    </oc>
    <nc r="D11" t="n">
      <v>0.6625</v>
    </nc>
  </rcc>
  <rcc rId="865" ua="false" sId="5">
    <oc r="C2" t="n">
      <v>0.1125</v>
    </oc>
    <nc r="C2" t="n">
      <v>0.1075</v>
    </nc>
  </rcc>
  <rcc rId="866" ua="false" sId="5">
    <oc r="D2" t="n">
      <v>0.345</v>
    </oc>
    <nc r="D2" t="n">
      <v>0.34</v>
    </nc>
  </rcc>
  <rcc rId="867" ua="false" sId="5">
    <oc r="C3" t="n">
      <v>0.135</v>
    </oc>
    <nc r="C3" t="n">
      <v>0.125</v>
    </nc>
  </rcc>
  <rcc rId="868" ua="false" sId="5">
    <oc r="D3" t="n">
      <v>0.425</v>
    </oc>
    <nc r="D3" t="n">
      <v>0.39</v>
    </nc>
  </rcc>
  <rcc rId="869" ua="false" sId="5">
    <oc r="C4" t="n">
      <v>0.1625</v>
    </oc>
    <nc r="C4" t="n">
      <v>0.15</v>
    </nc>
  </rcc>
  <rcc rId="870" ua="false" sId="5">
    <oc r="D4" t="n">
      <v>0.47</v>
    </oc>
    <nc r="D4" t="n">
      <v>0.425</v>
    </nc>
  </rcc>
  <rcc rId="871" ua="false" sId="5">
    <oc r="C5" t="n">
      <v>0.1375</v>
    </oc>
    <nc r="C5" t="n">
      <v>0.13</v>
    </nc>
  </rcc>
  <rcc rId="872" ua="false" sId="5">
    <oc r="D5" t="n">
      <v>0.505</v>
    </oc>
    <nc r="D5" t="n">
      <v>0.49</v>
    </nc>
  </rcc>
  <rcc rId="873" ua="false" sId="5">
    <oc r="C6" t="n">
      <v>0.1625</v>
    </oc>
    <nc r="C6" t="n">
      <v>0.155</v>
    </nc>
  </rcc>
  <rcc rId="874" ua="false" sId="5">
    <oc r="D6" t="n">
      <v>0.5925</v>
    </oc>
    <nc r="D6" t="n">
      <v>0.575</v>
    </nc>
  </rcc>
  <rcc rId="875" ua="false" sId="5">
    <oc r="C7" t="n">
      <v>0.1925</v>
    </oc>
    <nc r="C7" t="n">
      <v>0.18</v>
    </nc>
  </rcc>
  <rcc rId="876" ua="false" sId="5">
    <oc r="D7" t="n">
      <v>0.67</v>
    </oc>
    <nc r="D7" t="n">
      <v>0.6475</v>
    </nc>
  </rcc>
  <rcc rId="877" ua="false" sId="5">
    <oc r="C8" t="n">
      <v>0.25</v>
    </oc>
    <nc r="C8" t="n">
      <v>0.2325</v>
    </nc>
  </rcc>
  <rcc rId="878" ua="false" sId="5">
    <oc r="D8" t="n">
      <v>0.8125</v>
    </oc>
    <nc r="D8" t="n">
      <v>0.7875</v>
    </nc>
  </rcc>
  <rcc rId="879" ua="false" sId="5">
    <oc r="C9" t="n">
      <v>0.2675</v>
    </oc>
    <nc r="C9" t="n">
      <v>0.2575</v>
    </nc>
  </rcc>
  <rcc rId="880" ua="false" sId="5">
    <oc r="D9" t="n">
      <v>0.8725</v>
    </oc>
    <nc r="D9" t="n">
      <v>0.8625</v>
    </nc>
  </rcc>
  <rcc rId="881" ua="false" sId="5">
    <oc r="C10" t="n">
      <v>0.2725</v>
    </oc>
    <nc r="C10" t="n">
      <v>0.2625</v>
    </nc>
  </rcc>
  <rcc rId="882" ua="false" sId="5">
    <oc r="D10" t="n">
      <v>0.9425</v>
    </oc>
    <nc r="D10" t="n">
      <v>0.9125</v>
    </nc>
  </rcc>
  <rcc rId="883" ua="false" sId="5">
    <oc r="D11" t="n">
      <v>0.895</v>
    </oc>
    <nc r="D11" t="n">
      <v>0.8675</v>
    </nc>
  </rcc>
  <rcc rId="884" ua="false" sId="10">
    <oc r="C2" t="n">
      <v>0.135</v>
    </oc>
    <nc r="C2" t="n">
      <v>0.14</v>
    </nc>
  </rcc>
  <rcc rId="885" ua="false" sId="10">
    <oc r="D2" t="n">
      <v>0.14</v>
    </oc>
    <nc r="D2" t="n">
      <v>0.0475</v>
    </nc>
  </rcc>
  <rcc rId="886" ua="false" sId="10">
    <oc r="C3" t="n">
      <v>0.1325</v>
    </oc>
    <nc r="C3" t="n">
      <v>0.1375</v>
    </nc>
  </rcc>
  <rcc rId="887" ua="false" sId="10">
    <oc r="D3" t="n">
      <v>0.1475</v>
    </oc>
    <nc r="D3" t="n">
      <v>0.1225</v>
    </nc>
  </rcc>
  <rcc rId="888" ua="false" sId="10">
    <oc r="C4" t="n">
      <v>0.1825</v>
    </oc>
    <nc r="C4" t="n">
      <v>0.1675</v>
    </nc>
  </rcc>
  <rcc rId="889" ua="false" sId="10">
    <oc r="D4" t="n">
      <v>0.29</v>
    </oc>
    <nc r="D4" t="n">
      <v>0.26</v>
    </nc>
  </rcc>
  <rcc rId="890" ua="false" sId="10">
    <oc r="D5" t="n">
      <v>0.3775</v>
    </oc>
    <nc r="D5" t="n">
      <v>0.36</v>
    </nc>
  </rcc>
  <rcc rId="891" ua="false" sId="10">
    <oc r="C6" t="n">
      <v>0.2225</v>
    </oc>
    <nc r="C6" t="n">
      <v>0.225</v>
    </nc>
  </rcc>
  <rcc rId="892" ua="false" sId="10">
    <oc r="D6" t="n">
      <v>0.4775</v>
    </oc>
    <nc r="D6" t="n">
      <v>0.4625</v>
    </nc>
  </rcc>
  <rcc rId="893" ua="false" sId="10">
    <oc r="C7" t="n">
      <v>0.26</v>
    </oc>
    <nc r="C7" t="n">
      <v>0.255</v>
    </nc>
  </rcc>
  <rcc rId="894" ua="false" sId="10">
    <oc r="D7" t="n">
      <v>0.655</v>
    </oc>
    <nc r="D7" t="n">
      <v>0.6775</v>
    </nc>
  </rcc>
  <rcc rId="895" ua="false" sId="10">
    <oc r="D8" t="n">
      <v>0.5175</v>
    </oc>
    <nc r="D8" t="n">
      <v>0.57</v>
    </nc>
  </rcc>
  <rcc rId="896" ua="false" sId="10">
    <oc r="C9" t="n">
      <v>0.3275</v>
    </oc>
    <nc r="C9" t="n">
      <v>0.33</v>
    </nc>
  </rcc>
  <rcc rId="897" ua="false" sId="10">
    <oc r="D9" t="n">
      <v>0.9225</v>
    </oc>
    <nc r="D9" t="n">
      <v>0.925</v>
    </nc>
  </rcc>
  <rcc rId="898" ua="false" sId="10">
    <oc r="C10" t="n">
      <v>0.3525</v>
    </oc>
    <nc r="C10" t="n">
      <v>0.355</v>
    </nc>
  </rcc>
  <rcc rId="899" ua="false" sId="10">
    <oc r="D10" t="n">
      <v>1.13</v>
    </oc>
    <nc r="D10" t="n">
      <v>1.1225</v>
    </nc>
  </rcc>
  <rcc rId="900" ua="false" sId="11">
    <oc r="C2" t="n">
      <v>0.205</v>
    </oc>
    <nc r="C2" t="n">
      <v>0.2175</v>
    </nc>
  </rcc>
  <rcc rId="901" ua="false" sId="11">
    <oc r="D2" t="n">
      <v>-1.22</v>
    </oc>
    <nc r="D2" t="n">
      <v>-1.25</v>
    </nc>
  </rcc>
  <rcc rId="902" ua="false" sId="11">
    <oc r="C3" t="n">
      <v>0.215</v>
    </oc>
    <nc r="C3" t="n">
      <v>0.2325</v>
    </nc>
  </rcc>
  <rcc rId="903" ua="false" sId="11">
    <oc r="D3" t="n">
      <v>-1.385</v>
    </oc>
    <nc r="D3" t="n">
      <v>-1.2925</v>
    </nc>
  </rcc>
  <rcc rId="904" ua="false" sId="11">
    <oc r="C4" t="n">
      <v>0.3175</v>
    </oc>
    <nc r="C4" t="n">
      <v>0.34</v>
    </nc>
  </rcc>
  <rcc rId="905" ua="false" sId="11">
    <oc r="D4" t="n">
      <v>-1.3575</v>
    </oc>
    <nc r="D4" t="n">
      <v>-1.2975</v>
    </nc>
  </rcc>
  <rcc rId="906" ua="false" sId="11">
    <oc r="C5" t="n">
      <v>0.245</v>
    </oc>
    <nc r="C5" t="n">
      <v>0.2575</v>
    </nc>
  </rcc>
  <rcc rId="907" ua="false" sId="11">
    <oc r="D5" t="n">
      <v>-1.6525</v>
    </oc>
    <nc r="D5" t="n">
      <v>-1.47</v>
    </nc>
  </rcc>
  <rcc rId="908" ua="false" sId="11">
    <oc r="C6" t="n">
      <v>0.3025</v>
    </oc>
    <nc r="C6" t="n">
      <v>0.315</v>
    </nc>
  </rcc>
  <rcc rId="909" ua="false" sId="11">
    <oc r="D6" t="n">
      <v>-2.0175</v>
    </oc>
    <nc r="D6" t="n">
      <v>-1.84</v>
    </nc>
  </rcc>
  <rcc rId="910" ua="false" sId="11">
    <oc r="C7" t="n">
      <v>0.3375</v>
    </oc>
    <nc r="C7" t="n">
      <v>0.3525</v>
    </nc>
  </rcc>
  <rcc rId="911" ua="false" sId="11">
    <oc r="D7" t="n">
      <v>-2.3025</v>
    </oc>
    <nc r="D7" t="n">
      <v>-2.1575</v>
    </nc>
  </rcc>
  <rcc rId="912" ua="false" sId="11">
    <oc r="C8" t="n">
      <v>0.41</v>
    </oc>
    <nc r="C8" t="n">
      <v>0.42</v>
    </nc>
  </rcc>
  <rcc rId="913" ua="false" sId="11">
    <oc r="D8" t="n">
      <v>-2.66</v>
    </oc>
    <nc r="D8" t="n">
      <v>-2.5675</v>
    </nc>
  </rcc>
  <rcc rId="914" ua="false" sId="11">
    <oc r="C9" t="n">
      <v>0.4525</v>
    </oc>
    <nc r="C9" t="n">
      <v>0.4675</v>
    </nc>
  </rcc>
  <rcc rId="915" ua="false" sId="11">
    <oc r="D9" t="n">
      <v>-2.7975</v>
    </oc>
    <nc r="D9" t="n">
      <v>-2.735</v>
    </nc>
  </rcc>
  <rcc rId="916" ua="false" sId="11">
    <oc r="C10" t="n">
      <v>0.485</v>
    </oc>
    <nc r="C10" t="n">
      <v>0.5025</v>
    </nc>
  </rcc>
  <rcc rId="917" ua="false" sId="11">
    <oc r="D10" t="n">
      <v>-2.93</v>
    </oc>
    <nc r="D10" t="n">
      <v>-2.875</v>
    </nc>
  </rcc>
  <rcc rId="918" ua="false" sId="11">
    <oc r="C11" t="n">
      <v>0.51</v>
    </oc>
    <nc r="C11" t="n">
      <v>0.54</v>
    </nc>
  </rcc>
  <rcc rId="919" ua="false" sId="11">
    <oc r="D11" t="n">
      <v>-3.4</v>
    </oc>
    <nc r="D11" t="n">
      <v>-3.34</v>
    </nc>
  </rcc>
  <rcc rId="920" ua="false" sId="12">
    <oc r="D2" t="n">
      <v>-0.425</v>
    </oc>
    <nc r="D2" t="n">
      <v>-0.43</v>
    </nc>
  </rcc>
  <rcc rId="921" ua="false" sId="12">
    <oc r="C3" t="n">
      <v>0.2025</v>
    </oc>
    <nc r="C3" t="n">
      <v>0.2</v>
    </nc>
  </rcc>
  <rcc rId="922" ua="false" sId="12">
    <oc r="D3" t="n">
      <v>-0.4225</v>
    </oc>
    <nc r="D3" t="n">
      <v>-0.415</v>
    </nc>
  </rcc>
  <rcc rId="923" ua="false" sId="12">
    <oc r="C4" t="n">
      <v>0.2</v>
    </oc>
    <nc r="C4" t="n">
      <v>0.19</v>
    </nc>
  </rcc>
  <rcc rId="924" ua="false" sId="12">
    <oc r="D4" t="n">
      <v>-0.395</v>
    </oc>
    <nc r="D4" t="n">
      <v>-0.37</v>
    </nc>
  </rcc>
  <rcc rId="925" ua="false" sId="12">
    <oc r="C5" t="n">
      <v>0.23</v>
    </oc>
    <nc r="C5" t="n">
      <v>0.235</v>
    </nc>
  </rcc>
  <rcc rId="926" ua="false" sId="12">
    <oc r="D5" t="n">
      <v>-0.4775</v>
    </oc>
    <nc r="D5" t="n">
      <v>-0.475</v>
    </nc>
  </rcc>
  <rcc rId="927" ua="false" sId="12">
    <oc r="C6" t="n">
      <v>0.265</v>
    </oc>
    <nc r="C6" t="n">
      <v>0.2675</v>
    </nc>
  </rcc>
  <rcc rId="928" ua="false" sId="12">
    <oc r="D6" t="n">
      <v>-0.705</v>
    </oc>
    <nc r="D6" t="n">
      <v>-0.6625</v>
    </nc>
  </rcc>
  <rcc rId="929" ua="false" sId="12">
    <oc r="C7" t="n">
      <v>0.29</v>
    </oc>
    <nc r="C7" t="n">
      <v>0.2925</v>
    </nc>
  </rcc>
  <rcc rId="930" ua="false" sId="12">
    <oc r="D7" t="n">
      <v>-0.865</v>
    </oc>
    <nc r="D7" t="n">
      <v>-0.8275</v>
    </nc>
  </rcc>
  <rcc rId="931" ua="false" sId="12">
    <oc r="C8" t="n">
      <v>0.345</v>
    </oc>
    <nc r="C8" t="n">
      <v>0.3475</v>
    </nc>
  </rcc>
  <rcc rId="932" ua="false" sId="12">
    <oc r="D8" t="n">
      <v>-1.13</v>
    </oc>
    <nc r="D8" t="n">
      <v>-1.0925</v>
    </nc>
  </rcc>
  <rcc rId="933" ua="false" sId="12">
    <oc r="C9" t="n">
      <v>0.38</v>
    </oc>
    <nc r="C9" t="n">
      <v>0.3875</v>
    </nc>
  </rcc>
  <rcc rId="934" ua="false" sId="12">
    <oc r="D9" t="n">
      <v>-1.315</v>
    </oc>
    <nc r="D9" t="n">
      <v>-1.2925</v>
    </nc>
  </rcc>
  <rcc rId="935" ua="false" sId="12">
    <oc r="C10" t="n">
      <v>0.395</v>
    </oc>
    <nc r="C10" t="n">
      <v>0.3975</v>
    </nc>
  </rcc>
  <rcc rId="936" ua="false" sId="12">
    <oc r="D10" t="n">
      <v>-1.4</v>
    </oc>
    <nc r="D10" t="n">
      <v>-1.3775</v>
    </nc>
  </rcc>
  <rcc rId="937" ua="false" sId="12">
    <oc r="C11" t="n">
      <v>0.42</v>
    </oc>
    <nc r="C11" t="n">
      <v>0.43</v>
    </nc>
  </rcc>
  <rcc rId="938" ua="false" sId="12">
    <oc r="D11" t="n">
      <v>-1.7</v>
    </oc>
    <nc r="D11" t="n">
      <v>-1.685</v>
    </nc>
  </rcc>
  <rcc rId="939" ua="false" sId="13">
    <oc r="C2" t="n">
      <v>0.145</v>
    </oc>
    <nc r="C2" t="n">
      <v>0.1475</v>
    </nc>
  </rcc>
  <rcc rId="940" ua="false" sId="13">
    <oc r="D2" t="n">
      <v>-0.285</v>
    </oc>
    <nc r="D2" t="n">
      <v>-0.18</v>
    </nc>
  </rcc>
  <rcc rId="941" ua="false" sId="13">
    <oc r="C3" t="n">
      <v>0.155</v>
    </oc>
    <nc r="C3" t="n">
      <v>0.1525</v>
    </nc>
  </rcc>
  <rcc rId="942" ua="false" sId="13">
    <oc r="D3" t="n">
      <v>-0.2675</v>
    </oc>
    <nc r="D3" t="n">
      <v>-0.165</v>
    </nc>
  </rcc>
  <rcc rId="943" ua="false" sId="13">
    <oc r="C4" t="n">
      <v>0.17</v>
    </oc>
    <nc r="C4" t="n">
      <v>0.1625</v>
    </nc>
  </rcc>
  <rcc rId="944" ua="false" sId="13">
    <oc r="D4" t="n">
      <v>-0.2075</v>
    </oc>
    <nc r="D4" t="n">
      <v>-0.1775</v>
    </nc>
  </rcc>
  <rcc rId="945" ua="false" sId="13">
    <oc r="C5" t="n">
      <v>0.1625</v>
    </oc>
    <nc r="C5" t="n">
      <v>0.1725</v>
    </nc>
  </rcc>
  <rcc rId="946" ua="false" sId="13">
    <oc r="D5" t="n">
      <v>-0.22</v>
    </oc>
    <nc r="D5" t="n">
      <v>-0.1225</v>
    </nc>
  </rcc>
  <rcc rId="947" ua="false" sId="13">
    <oc r="C6" t="n">
      <v>0.1875</v>
    </oc>
    <nc r="C6" t="n">
      <v>0.195</v>
    </nc>
  </rcc>
  <rcc rId="948" ua="false" sId="13">
    <oc r="D6" t="n">
      <v>-0.1625</v>
    </oc>
    <nc r="D6" t="n">
      <v>-0.1025</v>
    </nc>
  </rcc>
  <rcc rId="949" ua="false" sId="13">
    <oc r="C7" t="n">
      <v>0.2075</v>
    </oc>
    <nc r="C7" t="n">
      <v>0.2125</v>
    </nc>
  </rcc>
  <rcc rId="950" ua="false" sId="13">
    <oc r="D7" t="n">
      <v>-0.12</v>
    </oc>
    <nc r="D7" t="n">
      <v>-0.0925</v>
    </nc>
  </rcc>
  <rcc rId="951" ua="false" sId="13">
    <oc r="C8" t="n">
      <v>0.2625</v>
    </oc>
    <nc r="C8" t="n">
      <v>0.27</v>
    </nc>
  </rcc>
  <rcc rId="952" ua="false" sId="13">
    <oc r="D8" t="n">
      <v>-0.06</v>
    </oc>
    <nc r="D8" t="n">
      <v>-0.04</v>
    </nc>
  </rcc>
  <rcc rId="953" ua="false" sId="13">
    <oc r="C9" t="n">
      <v>0.295</v>
    </oc>
    <nc r="C9" t="n">
      <v>0.2975</v>
    </nc>
  </rcc>
  <rcc rId="954" ua="false" sId="13">
    <oc r="D9" t="n">
      <v>-0.015</v>
    </oc>
    <nc r="D9" t="n">
      <v>0.0025</v>
    </nc>
  </rcc>
  <rcc rId="955" ua="false" sId="13">
    <oc r="C10" t="n">
      <v>0.31</v>
    </oc>
    <nc r="C10" t="n">
      <v>0.3225</v>
    </nc>
  </rcc>
  <rcc rId="956" ua="false" sId="13">
    <oc r="D10" t="n">
      <v>0.015</v>
    </oc>
    <nc r="D10" t="n">
      <v>0.025</v>
    </nc>
  </rcc>
  <rcc rId="957" ua="false" sId="14">
    <oc r="D2" t="n">
      <v>-1.1325</v>
    </oc>
    <nc r="D2" t="n">
      <v>-0.9175</v>
    </nc>
  </rcc>
  <rcc rId="958" ua="false" sId="14">
    <oc r="C3" t="n">
      <v>0.315</v>
    </oc>
    <nc r="C3" t="n">
      <v>0.2925</v>
    </nc>
  </rcc>
  <rcc rId="959" ua="false" sId="14">
    <oc r="D3" t="n">
      <v>-1.255</v>
    </oc>
    <nc r="D3" t="n">
      <v>-1.0425</v>
    </nc>
  </rcc>
  <rcc rId="960" ua="false" sId="14">
    <oc r="C4" t="n">
      <v>0.335</v>
    </oc>
    <nc r="C4" t="n">
      <v>0.31</v>
    </nc>
  </rcc>
  <rcc rId="961" ua="false" sId="14">
    <oc r="D4" t="n">
      <v>-1.4</v>
    </oc>
    <nc r="D4" t="n">
      <v>-1.205</v>
    </nc>
  </rcc>
  <rcc rId="962" ua="false" sId="14">
    <oc r="C5" t="n">
      <v>0.365</v>
    </oc>
    <nc r="C5" t="n">
      <v>0.34</v>
    </nc>
  </rcc>
  <rcc rId="963" ua="false" sId="14">
    <oc r="D5" t="n">
      <v>-1.425</v>
    </oc>
    <nc r="D5" t="n">
      <v>-1.295</v>
    </nc>
  </rcc>
  <rcc rId="964" ua="false" sId="14">
    <oc r="C6" t="n">
      <v>0.395</v>
    </oc>
    <nc r="C6" t="n">
      <v>0.37</v>
    </nc>
  </rcc>
  <rcc rId="965" ua="false" sId="14">
    <oc r="D6" t="n">
      <v>-1.555</v>
    </oc>
    <nc r="D6" t="n">
      <v>-1.425</v>
    </nc>
  </rcc>
  <rcc rId="966" ua="false" sId="14">
    <oc r="C7" t="n">
      <v>0.42</v>
    </oc>
    <nc r="C7" t="n">
      <v>0.3975</v>
    </nc>
  </rcc>
  <rcc rId="967" ua="false" sId="14">
    <oc r="D7" t="n">
      <v>-1.64</v>
    </oc>
    <nc r="D7" t="n">
      <v>-1.4875</v>
    </nc>
  </rcc>
  <rcc rId="968" ua="false" sId="14">
    <oc r="C8" t="n">
      <v>0.455</v>
    </oc>
    <nc r="C8" t="n">
      <v>0.4375</v>
    </nc>
  </rcc>
  <rcc rId="969" ua="false" sId="14">
    <oc r="D8" t="n">
      <v>-1.73</v>
    </oc>
    <nc r="D8" t="n">
      <v>-1.6475</v>
    </nc>
  </rcc>
  <rcc rId="970" ua="false" sId="14">
    <oc r="C9" t="n">
      <v>0.4725</v>
    </oc>
    <nc r="C9" t="n">
      <v>0.4525</v>
    </nc>
  </rcc>
  <rcc rId="971" ua="false" sId="14">
    <oc r="D9" t="n">
      <v>-1.8075</v>
    </oc>
    <nc r="D9" t="n">
      <v>-1.7175</v>
    </nc>
  </rcc>
  <rcc rId="972" ua="false" sId="14">
    <oc r="C10" t="n">
      <v>0.485</v>
    </oc>
    <nc r="C10" t="n">
      <v>0.4675</v>
    </nc>
  </rcc>
  <rcc rId="973" ua="false" sId="14">
    <oc r="D10" t="n">
      <v>-1.86</v>
    </oc>
    <nc r="D10" t="n">
      <v>-1.7675</v>
    </nc>
  </rcc>
  <rcc rId="974" ua="false" sId="14">
    <oc r="C11" t="n">
      <v>0.495</v>
    </oc>
    <nc r="C11" t="n">
      <v>0.49</v>
    </nc>
  </rcc>
  <rcc rId="975" ua="false" sId="14">
    <oc r="D11" t="n">
      <v>-1.99</v>
    </oc>
    <nc r="D11" t="n">
      <v>-1.75</v>
    </nc>
  </rcc>
  <rcc rId="976" ua="false" sId="15">
    <oc r="C2" t="n">
      <v>0.22</v>
    </oc>
    <nc r="C2" t="n">
      <v>0.2175</v>
    </nc>
  </rcc>
  <rcc rId="977" ua="false" sId="15">
    <oc r="D2" t="n">
      <v>-0.04</v>
    </oc>
    <nc r="D2" t="n">
      <v>-0.0275</v>
    </nc>
  </rcc>
  <rcc rId="978" ua="false" sId="15">
    <oc r="C3" t="n">
      <v>0.235</v>
    </oc>
    <nc r="C3" t="n">
      <v>0.225</v>
    </nc>
  </rcc>
  <rcc rId="979" ua="false" sId="15">
    <oc r="D3" t="n">
      <v>-0.09</v>
    </oc>
    <nc r="D3" t="n">
      <v>-0.11</v>
    </nc>
  </rcc>
  <rcc rId="980" ua="false" sId="15">
    <oc r="C4" t="n">
      <v>0.255</v>
    </oc>
    <nc r="C4" t="n">
      <v>0.245</v>
    </nc>
  </rcc>
  <rcc rId="981" ua="false" sId="15">
    <oc r="D4" t="n">
      <v>-0.1275</v>
    </oc>
    <nc r="D4" t="n">
      <v>-0.1475</v>
    </nc>
  </rcc>
  <rcc rId="982" ua="false" sId="15">
    <oc r="C5" t="n">
      <v>0.255</v>
    </oc>
    <nc r="C5" t="n">
      <v>0.24</v>
    </nc>
  </rcc>
  <rcc rId="983" ua="false" sId="15">
    <oc r="D5" t="n">
      <v>-0.215</v>
    </oc>
    <nc r="D5" t="n">
      <v>-0.24</v>
    </nc>
  </rcc>
  <rcc rId="984" ua="false" sId="15">
    <oc r="C6" t="n">
      <v>0.2825</v>
    </oc>
    <nc r="C6" t="n">
      <v>0.2675</v>
    </nc>
  </rcc>
  <rcc rId="985" ua="false" sId="15">
    <oc r="D6" t="n">
      <v>-0.4625</v>
    </oc>
    <nc r="D6" t="n">
      <v>-0.4575</v>
    </nc>
  </rcc>
  <rcc rId="986" ua="false" sId="15">
    <oc r="C7" t="n">
      <v>0.3025</v>
    </oc>
    <nc r="C7" t="n">
      <v>0.29</v>
    </nc>
  </rcc>
  <rcc rId="987" ua="false" sId="15">
    <oc r="D7" t="n">
      <v>-0.6425</v>
    </oc>
    <nc r="D7" t="n">
      <v>-0.645</v>
    </nc>
  </rcc>
  <rcc rId="988" ua="false" sId="15">
    <oc r="C8" t="n">
      <v>0.3375</v>
    </oc>
    <nc r="C8" t="n">
      <v>0.33</v>
    </nc>
  </rcc>
  <rcc rId="989" ua="false" sId="15">
    <oc r="D8" t="n">
      <v>-0.9775</v>
    </oc>
    <nc r="D8" t="n">
      <v>-0.9575</v>
    </nc>
  </rcc>
  <rcc rId="990" ua="false" sId="15">
    <oc r="C9" t="n">
      <v>0.35</v>
    </oc>
    <nc r="C9" t="n">
      <v>0.355</v>
    </nc>
  </rcc>
  <rcc rId="991" ua="false" sId="15">
    <oc r="D9" t="n">
      <v>-1.105</v>
    </oc>
    <nc r="D9" t="n">
      <v>-1.0925</v>
    </nc>
  </rcc>
  <rcc rId="992" ua="false" sId="15">
    <oc r="C10" t="n">
      <v>0.3625</v>
    </oc>
    <nc r="C10" t="n">
      <v>0.37</v>
    </nc>
  </rcc>
  <rcc rId="993" ua="false" sId="15">
    <oc r="D10" t="n">
      <v>-1.2075</v>
    </oc>
    <nc r="D10" t="n">
      <v>-1.19</v>
    </nc>
  </rcc>
  <rcc rId="994" ua="false" sId="15">
    <oc r="C11" t="n">
      <v>0.405</v>
    </oc>
    <nc r="C11" t="n">
      <v>0.415</v>
    </nc>
  </rcc>
  <rcc rId="995" ua="false" sId="16">
    <oc r="D2" t="n">
      <v>0.4775</v>
    </oc>
    <nc r="D2" t="n">
      <v>0.385</v>
    </nc>
  </rcc>
  <rcc rId="996" ua="false" sId="16">
    <oc r="C3" t="n">
      <v>0.19</v>
    </oc>
    <nc r="C3" t="n">
      <v>0.1875</v>
    </nc>
  </rcc>
  <rcc rId="997" ua="false" sId="16">
    <oc r="D3" t="n">
      <v>0.525</v>
    </oc>
    <nc r="D3" t="n">
      <v>0.45</v>
    </nc>
  </rcc>
  <rcc rId="998" ua="false" sId="16">
    <oc r="C4" t="n">
      <v>0.22</v>
    </oc>
    <nc r="C4" t="n">
      <v>0.215</v>
    </nc>
  </rcc>
  <rcc rId="999" ua="false" sId="16">
    <oc r="D4" t="n">
      <v>0.605</v>
    </oc>
    <nc r="D4" t="n">
      <v>0.525</v>
    </nc>
  </rcc>
  <rcc rId="1000" ua="false" sId="16">
    <oc r="C5" t="n">
      <v>0.245</v>
    </oc>
    <nc r="C5" t="n">
      <v>0.24</v>
    </nc>
  </rcc>
  <rcc rId="1001" ua="false" sId="16">
    <oc r="D5" t="n">
      <v>0.73</v>
    </oc>
    <nc r="D5" t="n">
      <v>0.66</v>
    </nc>
  </rcc>
  <rcc rId="1002" ua="false" sId="16">
    <oc r="C6" t="n">
      <v>0.26</v>
    </oc>
    <nc r="C6" t="n">
      <v>0.255</v>
    </nc>
  </rcc>
  <rcc rId="1003" ua="false" sId="16">
    <oc r="D6" t="n">
      <v>0.8</v>
    </oc>
    <nc r="D6" t="n">
      <v>0.74</v>
    </nc>
  </rcc>
  <rcc rId="1004" ua="false" sId="16">
    <oc r="C7" t="n">
      <v>0.295</v>
    </oc>
    <nc r="C7" t="n">
      <v>0.29</v>
    </nc>
  </rcc>
  <rcc rId="1005" ua="false" sId="16">
    <oc r="D7" t="n">
      <v>0.97</v>
    </oc>
    <nc r="D7" t="n">
      <v>0.95</v>
    </nc>
  </rcc>
  <rcc rId="1006" ua="false" sId="16">
    <oc r="C8" t="n">
      <v>0.3275</v>
    </oc>
    <nc r="C8" t="n">
      <v>0.33</v>
    </nc>
  </rcc>
  <rcc rId="1007" ua="false" sId="16">
    <oc r="D8" t="n">
      <v>1.0825</v>
    </oc>
    <nc r="D8" t="n">
      <v>1.07</v>
    </nc>
  </rcc>
  <rcc rId="1008" ua="false" sId="16">
    <oc r="D9" t="n">
      <v>1.16</v>
    </oc>
    <nc r="D9" t="n">
      <v>1.15</v>
    </nc>
  </rcc>
</revisions>
</file>

<file path=xl/revisions/revisionLog118.xml><?xml version="1.0" encoding="utf-8"?>
<revisions xmlns="http://schemas.openxmlformats.org/spreadsheetml/2006/main" xmlns:r="http://schemas.openxmlformats.org/officeDocument/2006/relationships">
  <rcc rId="1009" ua="false" sId="18">
    <oc r="G2" t="n">
      <v>6.25</v>
    </oc>
    <nc r="G2" t="n">
      <v>6.2</v>
    </nc>
  </rcc>
  <rcc rId="1010" ua="false" sId="18">
    <oc r="G2" t="n">
      <v>6.2</v>
    </oc>
    <nc r="G2" t="n">
      <v>6.15</v>
    </nc>
  </rcc>
  <rcc rId="1011" ua="false" sId="18">
    <oc r="G5" t="n">
      <v>0.2</v>
    </oc>
    <nc r="G5" t="n">
      <v>0.35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>
  <rcc rId="1012" ua="false" sId="18">
    <oc r="K2" t="n">
      <v>0.37</v>
    </oc>
    <nc r="K2" t="n">
      <v>0.39</v>
    </nc>
  </rcc>
</revisions>
</file>

<file path=xl/revisions/revisionLog120.xml><?xml version="1.0" encoding="utf-8"?>
<revisions xmlns="http://schemas.openxmlformats.org/spreadsheetml/2006/main" xmlns:r="http://schemas.openxmlformats.org/officeDocument/2006/relationships">
  <rcc rId="1013" ua="false" sId="18">
    <oc r="F12" t="n">
      <v>0</v>
    </oc>
    <nc r="F12" t="n">
      <v>2</v>
    </nc>
  </rcc>
  <rcc rId="1014" ua="false" sId="18">
    <oc r="F2" t="n">
      <v>6.55</v>
    </oc>
    <nc r="F2" t="n">
      <v>6.5</v>
    </nc>
  </rcc>
  <rcc rId="1015" ua="false" sId="18">
    <oc r="F5" t="n">
      <v>1.1</v>
    </oc>
    <nc r="F5" t="n">
      <v>0.9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>
  <rcc rId="1016" ua="false" sId="18">
    <oc r="K2" t="n">
      <v>0.39</v>
    </oc>
    <nc r="K2" t="n">
      <v>0.4</v>
    </nc>
  </rcc>
  <rcc rId="1017" ua="false" sId="18">
    <oc r="K6" t="n">
      <v>4.5</v>
    </oc>
    <nc r="K6" t="n">
      <v>5.5</v>
    </nc>
  </rcc>
</revisions>
</file>

<file path=xl/revisions/revisionLog122.xml><?xml version="1.0" encoding="utf-8"?>
<revisions xmlns="http://schemas.openxmlformats.org/spreadsheetml/2006/main" xmlns:r="http://schemas.openxmlformats.org/officeDocument/2006/relationships">
  <rcc rId="1018" ua="false" sId="18">
    <oc r="K2" t="n">
      <v>0.4</v>
    </oc>
    <nc r="K2" t="n">
      <v>0.43</v>
    </nc>
  </rcc>
  <rcc rId="1019" ua="false" sId="18">
    <oc r="K3" t="n">
      <v>0.185</v>
    </oc>
    <nc r="K3" t="n">
      <v>0.19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>
  <rcc rId="1020" ua="false" sId="16">
    <oc r="C2" t="n">
      <v>0.17</v>
    </oc>
    <nc r="C2" t="n">
      <v>0.1725</v>
    </nc>
  </rcc>
  <rcc rId="1021" ua="false" sId="16">
    <oc r="D2" t="n">
      <v>0.41</v>
    </oc>
    <nc r="D2" t="n">
      <v>0.4275</v>
    </nc>
  </rcc>
  <rcc rId="1022" ua="false" sId="16">
    <oc r="C3" t="n">
      <v>0.185</v>
    </oc>
    <nc r="C3" t="n">
      <v>0.1875</v>
    </nc>
  </rcc>
  <rcc rId="1023" ua="false" sId="16">
    <oc r="D3" t="n">
      <v>0.465</v>
    </oc>
    <nc r="D3" t="n">
      <v>0.4825</v>
    </nc>
  </rcc>
  <rcc rId="1024" ua="false" sId="16">
    <oc r="C4" t="n">
      <v>0.2</v>
    </oc>
    <nc r="C4" t="n">
      <v>0.1975</v>
    </nc>
  </rcc>
  <rcc rId="1025" ua="false" sId="16">
    <oc r="D4" t="n">
      <v>0.54</v>
    </oc>
    <nc r="D4" t="n">
      <v>0.5425</v>
    </nc>
  </rcc>
  <rcc rId="1026" ua="false" sId="16">
    <oc r="C5" t="n">
      <v>0.2125</v>
    </oc>
    <nc r="C5" t="n">
      <v>0.21</v>
    </nc>
  </rcc>
  <rcc rId="1027" ua="false" sId="16">
    <oc r="C6" t="n">
      <v>0.235</v>
    </oc>
    <nc r="C6" t="n">
      <v>0.24</v>
    </nc>
  </rcc>
  <rcc rId="1028" ua="false" sId="16">
    <oc r="C7" t="n">
      <v>0.275</v>
    </oc>
    <nc r="C7" t="n">
      <v>0.2825</v>
    </nc>
  </rcc>
  <rcc rId="1029" ua="false" sId="16">
    <oc r="D7" t="n">
      <v>0.97</v>
    </oc>
    <nc r="D7" t="n">
      <v>0.9775</v>
    </nc>
  </rcc>
  <rcc rId="1030" ua="false" sId="16">
    <oc r="C8" t="n">
      <v>0.31</v>
    </oc>
    <nc r="C8" t="n">
      <v>0.3075</v>
    </nc>
  </rcc>
  <rcc rId="1031" ua="false" sId="16">
    <oc r="D8" t="n">
      <v>1.125</v>
    </oc>
    <nc r="D8" t="n">
      <v>1.1225</v>
    </nc>
  </rcc>
  <rcc rId="1032" ua="false" sId="16">
    <oc r="C9" t="n">
      <v>0.33</v>
    </oc>
    <nc r="C9" t="n">
      <v>0.3325</v>
    </nc>
  </rcc>
  <rcc rId="1033" ua="false" sId="16">
    <oc r="D9" t="n">
      <v>1.24</v>
    </oc>
    <nc r="D9" t="n">
      <v>1.2475</v>
    </nc>
  </rcc>
  <rcc rId="1034" ua="false" sId="16">
    <oc r="D10" t="n">
      <v>1.31</v>
    </oc>
    <nc r="D10" t="n">
      <v>1.3075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>
  <rcc rId="1035" ua="false" sId="18">
    <oc r="F3" t="n">
      <v>7.83</v>
    </oc>
    <nc r="F3" t="n">
      <v>7.85</v>
    </nc>
  </rcc>
  <rcc rId="1036" ua="false" sId="18">
    <oc r="F2" t="n">
      <v>6.15</v>
    </oc>
    <nc r="F2" t="n">
      <v>6.2</v>
    </nc>
  </rcc>
  <rcc rId="1037" ua="false" sId="18">
    <oc r="F5" t="n">
      <v>1.1</v>
    </oc>
    <nc r="F5" t="n">
      <v>0.8</v>
    </nc>
  </rcc>
</revisions>
</file>

<file path=xl/revisions/revisionLog125.xml><?xml version="1.0" encoding="utf-8"?>
<revisions xmlns="http://schemas.openxmlformats.org/spreadsheetml/2006/main" xmlns:r="http://schemas.openxmlformats.org/officeDocument/2006/relationships">
  <rcc rId="1038" ua="false" sId="18">
    <oc r="G5" t="n">
      <v>1.6</v>
    </oc>
    <nc r="G5" t="n">
      <v>1.8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>
  <rcc rId="1039" ua="false" sId="19">
    <oc r="A9" t="inlineStr">
      <is>
        <r>
          <rPr>
            <sz val="11"/>
            <rFont val="Calibri"/>
            <family val="0"/>
            <charset val="1"/>
          </rPr>
          <t xml:space="preserve">12/16/2023 00:00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12/15/2023 00:00</t>
        </r>
      </is>
    </nc>
  </rcc>
</revisions>
</file>

<file path=xl/revisions/revisionLog127.xml><?xml version="1.0" encoding="utf-8"?>
<revisions xmlns="http://schemas.openxmlformats.org/spreadsheetml/2006/main" xmlns:r="http://schemas.openxmlformats.org/officeDocument/2006/relationships">
  <rcc rId="1040" ua="false" sId="19">
    <oc r="A9" t="inlineStr">
      <is>
        <r>
          <rPr>
            <sz val="11"/>
            <rFont val="Calibri"/>
            <family val="0"/>
            <charset val="1"/>
          </rPr>
          <t xml:space="preserve">06/14/2023 14:00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06/13/2023 14:00</t>
        </r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>
  <rcc rId="1041" ua="false" sId="18">
    <oc r="I5" t="n">
      <v>0.5</v>
    </oc>
    <nc r="I5" t="n">
      <v>0.7</v>
    </nc>
  </rcc>
  <rcc rId="1042" ua="false" sId="18">
    <oc r="I3" t="n">
      <v>8.75</v>
    </oc>
    <nc r="I3" t="n">
      <v>8.7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>
  <rcc rId="1043" ua="false" sId="19">
    <oc r="B9" t="n">
      <v>5</v>
    </oc>
    <nc r="B9" t="n">
      <v>10</v>
    </nc>
  </rcc>
</revisions>
</file>

<file path=xl/revisions/revisionLog130.xml><?xml version="1.0" encoding="utf-8"?>
<revisions xmlns="http://schemas.openxmlformats.org/spreadsheetml/2006/main" xmlns:r="http://schemas.openxmlformats.org/officeDocument/2006/relationships">
  <rcc rId="1044" ua="false" sId="18">
    <oc r="B3" t="n">
      <v>6.7</v>
    </oc>
    <nc r="B3" t="n">
      <v>6.75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>
  <rcc rId="1045" ua="false" sId="18">
    <oc r="B2" t="n">
      <v>5.5</v>
    </oc>
    <nc r="B2" t="n">
      <v>5.4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>
  <rcc rId="1046" ua="false" sId="2">
    <oc r="C2" t="n">
      <v>0.27</v>
    </oc>
    <nc r="C2" t="n">
      <v>0.28</v>
    </nc>
  </rcc>
  <rcc rId="1047" ua="false" sId="2">
    <oc r="D2" t="n">
      <v>-1.16</v>
    </oc>
    <nc r="D2" t="n">
      <v>-1.28</v>
    </nc>
  </rcc>
  <rcc rId="1048" ua="false" sId="2">
    <oc r="C3" t="n">
      <v>0.29</v>
    </oc>
    <nc r="C3" t="n">
      <v>0.2975</v>
    </nc>
  </rcc>
  <rcc rId="1049" ua="false" sId="2">
    <oc r="D3" t="n">
      <v>-1.2575</v>
    </oc>
    <nc r="D3" t="n">
      <v>-1.3675</v>
    </nc>
  </rcc>
  <rcc rId="1050" ua="false" sId="2">
    <oc r="C4" t="n">
      <v>0.3325</v>
    </oc>
    <nc r="C4" t="n">
      <v>0.3125</v>
    </nc>
  </rcc>
  <rcc rId="1051" ua="false" sId="2">
    <oc r="D4" t="n">
      <v>-1.2975</v>
    </oc>
    <nc r="D4" t="n">
      <v>-1.3625</v>
    </nc>
  </rcc>
  <rcc rId="1052" ua="false" sId="2">
    <oc r="D5" t="n">
      <v>-1.3475</v>
    </oc>
    <nc r="D5" t="n">
      <v>-1.405</v>
    </nc>
  </rcc>
  <rcc rId="1053" ua="false" sId="2">
    <oc r="C6" t="n">
      <v>0.355</v>
    </oc>
    <nc r="C6" t="n">
      <v>0.36</v>
    </nc>
  </rcc>
  <rcc rId="1054" ua="false" sId="2">
    <oc r="D6" t="n">
      <v>-1.405</v>
    </oc>
    <nc r="D6" t="n">
      <v>-1.4675</v>
    </nc>
  </rcc>
  <rcc rId="1055" ua="false" sId="2">
    <oc r="C7" t="n">
      <v>0.3875</v>
    </oc>
    <nc r="C7" t="n">
      <v>0.3925</v>
    </nc>
  </rcc>
  <rcc rId="1056" ua="false" sId="2">
    <oc r="D7" t="n">
      <v>-1.585</v>
    </oc>
    <nc r="D7" t="n">
      <v>-1.6025</v>
    </nc>
  </rcc>
  <rcc rId="1057" ua="false" sId="2">
    <oc r="C8" t="n">
      <v>0.4125</v>
    </oc>
    <nc r="C8" t="n">
      <v>0.42</v>
    </nc>
  </rcc>
  <rcc rId="1058" ua="false" sId="2">
    <oc r="D8" t="n">
      <v>-1.6825</v>
    </oc>
    <nc r="D8" t="n">
      <v>-1.695</v>
    </nc>
  </rcc>
  <rcc rId="1059" ua="false" sId="2">
    <oc r="C9" t="n">
      <v>0.4325</v>
    </oc>
    <nc r="C9" t="n">
      <v>0.44</v>
    </nc>
  </rcc>
  <rcc rId="1060" ua="false" sId="2">
    <oc r="C10" t="n">
      <v>0.45</v>
    </oc>
    <nc r="C10" t="n">
      <v>0.455</v>
    </nc>
  </rcc>
  <rcc rId="1061" ua="false" sId="2">
    <oc r="D10" t="n">
      <v>-1.805</v>
    </oc>
    <nc r="D10" t="n">
      <v>-1.775</v>
    </nc>
  </rcc>
  <rcc rId="1062" ua="false" sId="2">
    <oc r="C11" t="n">
      <v>0.465</v>
    </oc>
    <nc r="C11" t="n">
      <v>0.4125</v>
    </nc>
  </rcc>
  <rcc rId="1063" ua="false" sId="2">
    <oc r="D11" t="n">
      <v>-1.9575</v>
    </oc>
    <nc r="D11" t="n">
      <v>-1.865</v>
    </nc>
  </rcc>
  <rcc rId="1064" ua="false" sId="3">
    <oc r="C2" t="n">
      <v>0.2125</v>
    </oc>
    <nc r="C2" t="n">
      <v>0.18</v>
    </nc>
  </rcc>
  <rcc rId="1065" ua="false" sId="3">
    <oc r="D2" t="n">
      <v>-0.5975</v>
    </oc>
    <nc r="D2" t="n">
      <v>-0.4075</v>
    </nc>
  </rcc>
  <rcc rId="1066" ua="false" sId="3">
    <oc r="C3" t="n">
      <v>0.22</v>
    </oc>
    <nc r="C3" t="n">
      <v>0.1925</v>
    </nc>
  </rcc>
  <rcc rId="1067" ua="false" sId="3">
    <oc r="D3" t="n">
      <v>-0.625</v>
    </oc>
    <nc r="D3" t="n">
      <v>-0.465</v>
    </nc>
  </rcc>
  <rcc rId="1068" ua="false" sId="3">
    <oc r="C4" t="n">
      <v>0.26</v>
    </oc>
    <nc r="C4" t="n">
      <v>0.2</v>
    </nc>
  </rcc>
  <rcc rId="1069" ua="false" sId="3">
    <oc r="D4" t="n">
      <v>-0.67</v>
    </oc>
    <nc r="D4" t="n">
      <v>-0.665</v>
    </nc>
  </rcc>
  <rcc rId="1070" ua="false" sId="3">
    <oc r="C5" t="n">
      <v>0.245</v>
    </oc>
    <nc r="C5" t="n">
      <v>0.2225</v>
    </nc>
  </rcc>
  <rcc rId="1071" ua="false" sId="3">
    <oc r="D5" t="n">
      <v>-0.7175</v>
    </oc>
    <nc r="D5" t="n">
      <v>-0.61</v>
    </nc>
  </rcc>
  <rcc rId="1072" ua="false" sId="3">
    <oc r="C6" t="n">
      <v>0.27</v>
    </oc>
    <nc r="C6" t="n">
      <v>0.26</v>
    </nc>
  </rcc>
  <rcc rId="1073" ua="false" sId="3">
    <oc r="D6" t="n">
      <v>-0.8125</v>
    </oc>
    <nc r="D6" t="n">
      <v>-0.7875</v>
    </nc>
  </rcc>
  <rcc rId="1074" ua="false" sId="3">
    <oc r="C7" t="n">
      <v>0.305</v>
    </oc>
    <nc r="C7" t="n">
      <v>0.2975</v>
    </nc>
  </rcc>
  <rcc rId="1075" ua="false" sId="3">
    <oc r="D7" t="n">
      <v>-0.9075</v>
    </oc>
    <nc r="D7" t="n">
      <v>-0.84</v>
    </nc>
  </rcc>
  <rcc rId="1076" ua="false" sId="3">
    <oc r="C8" t="n">
      <v>0.38</v>
    </oc>
    <nc r="C8" t="n">
      <v>0.365</v>
    </nc>
  </rcc>
  <rcc rId="1077" ua="false" sId="3">
    <oc r="D8" t="n">
      <v>-1.05</v>
    </oc>
    <nc r="D8" t="n">
      <v>-0.99</v>
    </nc>
  </rcc>
  <rcc rId="1078" ua="false" sId="3">
    <oc r="C9" t="n">
      <v>0.415</v>
    </oc>
    <nc r="C9" t="n">
      <v>0.4025</v>
    </nc>
  </rcc>
  <rcc rId="1079" ua="false" sId="3">
    <oc r="D9" t="n">
      <v>-1.115</v>
    </oc>
    <nc r="D9" t="n">
      <v>-1.09</v>
    </nc>
  </rcc>
  <rcc rId="1080" ua="false" sId="3">
    <oc r="C10" t="n">
      <v>0.43</v>
    </oc>
    <nc r="C10" t="n">
      <v>0.4175</v>
    </nc>
  </rcc>
  <rcc rId="1081" ua="false" sId="3">
    <oc r="D10" t="n">
      <v>-1.16</v>
    </oc>
    <nc r="D10" t="n">
      <v>-1.085</v>
    </nc>
  </rcc>
  <rcc rId="1082" ua="false" sId="3">
    <oc r="C11" t="n">
      <v>0.44</v>
    </oc>
    <nc r="C11" t="n">
      <v>0.43</v>
    </nc>
  </rcc>
  <rcc rId="1083" ua="false" sId="3">
    <oc r="D11" t="n">
      <v>-1.25</v>
    </oc>
    <nc r="D11" t="n">
      <v>-1.2</v>
    </nc>
  </rcc>
  <rcc rId="1084" ua="false" sId="4">
    <oc r="C2" t="n">
      <v>0.215</v>
    </oc>
    <nc r="C2" t="n">
      <v>0.2125</v>
    </nc>
  </rcc>
  <rcc rId="1085" ua="false" sId="4">
    <oc r="D2" t="n">
      <v>0.5525</v>
    </oc>
    <nc r="D2" t="n">
      <v>0.595</v>
    </nc>
  </rcc>
  <rcc rId="1086" ua="false" sId="4">
    <oc r="D3" t="n">
      <v>0.5625</v>
    </oc>
    <nc r="D3" t="n">
      <v>0.59</v>
    </nc>
  </rcc>
  <rcc rId="1087" ua="false" sId="4">
    <oc r="D4" t="n">
      <v>0.575</v>
    </oc>
    <nc r="D4" t="n">
      <v>0.5875</v>
    </nc>
  </rcc>
  <rcc rId="1088" ua="false" sId="4">
    <oc r="C5" t="n">
      <v>0.23</v>
    </oc>
    <nc r="C5" t="n">
      <v>0.2325</v>
    </nc>
  </rcc>
  <rcc rId="1089" ua="false" sId="4">
    <oc r="D5" t="n">
      <v>0.6025</v>
    </oc>
    <nc r="D5" t="n">
      <v>0.6125</v>
    </nc>
  </rcc>
  <rcc rId="1090" ua="false" sId="4">
    <oc r="D6" t="n">
      <v>0.61</v>
    </oc>
    <nc r="D6" t="n">
      <v>0.635</v>
    </nc>
  </rcc>
  <rcc rId="1091" ua="false" sId="4">
    <oc r="C7" t="n">
      <v>0.3025</v>
    </oc>
    <nc r="C7" t="n">
      <v>0.2925</v>
    </nc>
  </rcc>
  <rcc rId="1092" ua="false" sId="4">
    <oc r="D7" t="n">
      <v>0.6675</v>
    </oc>
    <nc r="D7" t="n">
      <v>0.67</v>
    </nc>
  </rcc>
  <rcc rId="1093" ua="false" sId="4">
    <oc r="C8" t="n">
      <v>0.345</v>
    </oc>
    <nc r="C8" t="n">
      <v>0.3375</v>
    </nc>
  </rcc>
  <rcc rId="1094" ua="false" sId="4">
    <oc r="D8" t="n">
      <v>0.69</v>
    </oc>
    <nc r="D8" t="n">
      <v>0.6975</v>
    </nc>
  </rcc>
  <rcc rId="1095" ua="false" sId="4">
    <oc r="C9" t="n">
      <v>0.3975</v>
    </oc>
    <nc r="C9" t="n">
      <v>0.4</v>
    </nc>
  </rcc>
  <rcc rId="1096" ua="false" sId="4">
    <oc r="D9" t="n">
      <v>0.7225</v>
    </oc>
    <nc r="D9" t="n">
      <v>0.735</v>
    </nc>
  </rcc>
  <rcc rId="1097" ua="false" sId="4">
    <oc r="C10" t="n">
      <v>0.405</v>
    </oc>
    <nc r="C10" t="n">
      <v>0.395</v>
    </nc>
  </rcc>
  <rcc rId="1098" ua="false" sId="4">
    <oc r="D10" t="n">
      <v>0.6725</v>
    </oc>
    <nc r="D10" t="n">
      <v>0.67</v>
    </nc>
  </rcc>
  <rcc rId="1099" ua="false" sId="4">
    <oc r="D11" t="n">
      <v>0.705</v>
    </oc>
    <nc r="D11" t="n">
      <v>0.69</v>
    </nc>
  </rcc>
  <rcc rId="1100" ua="false" sId="5">
    <oc r="C2" t="n">
      <v>0.13</v>
    </oc>
    <nc r="C2" t="n">
      <v>0.135</v>
    </nc>
  </rcc>
  <rcc rId="1101" ua="false" sId="5">
    <oc r="D2" t="n">
      <v>0.48</v>
    </oc>
    <nc r="D2" t="n">
      <v>0.34</v>
    </nc>
  </rcc>
  <rcc rId="1102" ua="false" sId="5">
    <oc r="C3" t="n">
      <v>0.14</v>
    </oc>
    <nc r="C3" t="n">
      <v>0.15</v>
    </nc>
  </rcc>
  <rcc rId="1103" ua="false" sId="5">
    <oc r="D3" t="n">
      <v>0.555</v>
    </oc>
    <nc r="D3" t="n">
      <v>0.41</v>
    </nc>
  </rcc>
  <rcc rId="1104" ua="false" sId="5">
    <oc r="C4" t="n">
      <v>0.17</v>
    </oc>
    <nc r="C4" t="n">
      <v>0.165</v>
    </nc>
  </rcc>
  <rcc rId="1105" ua="false" sId="5">
    <oc r="D4" t="n">
      <v>0.5825</v>
    </oc>
    <nc r="D4" t="n">
      <v>0.5225</v>
    </nc>
  </rcc>
  <rcc rId="1106" ua="false" sId="5">
    <oc r="C5" t="n">
      <v>0.1575</v>
    </oc>
    <nc r="C5" t="n">
      <v>0.1675</v>
    </nc>
  </rcc>
  <rcc rId="1107" ua="false" sId="5">
    <oc r="D5" t="n">
      <v>0.655</v>
    </oc>
    <nc r="D5" t="n">
      <v>0.52</v>
    </nc>
  </rcc>
  <rcc rId="1108" ua="false" sId="5">
    <oc r="C6" t="n">
      <v>0.1775</v>
    </oc>
    <nc r="C6" t="n">
      <v>0.1875</v>
    </nc>
  </rcc>
  <rcc rId="1109" ua="false" sId="5">
    <oc r="D6" t="n">
      <v>0.71</v>
    </oc>
    <nc r="D6" t="n">
      <v>0.6525</v>
    </nc>
  </rcc>
  <rcc rId="1110" ua="false" sId="5">
    <oc r="C7" t="n">
      <v>0.215</v>
    </oc>
    <nc r="C7" t="n">
      <v>0.2225</v>
    </nc>
  </rcc>
  <rcc rId="1111" ua="false" sId="5">
    <oc r="D7" t="n">
      <v>0.7925</v>
    </oc>
    <nc r="D7" t="n">
      <v>0.72</v>
    </nc>
  </rcc>
  <rcc rId="1112" ua="false" sId="5">
    <oc r="C8" t="n">
      <v>0.2625</v>
    </oc>
    <nc r="C8" t="n">
      <v>0.28</v>
    </nc>
  </rcc>
  <rcc rId="1113" ua="false" sId="5">
    <oc r="D8" t="n">
      <v>0.89</v>
    </oc>
    <nc r="D8" t="n">
      <v>0.825</v>
    </nc>
  </rcc>
  <rcc rId="1114" ua="false" sId="5">
    <oc r="C9" t="n">
      <v>0.2925</v>
    </oc>
    <nc r="C9" t="n">
      <v>0.3075</v>
    </nc>
  </rcc>
  <rcc rId="1115" ua="false" sId="5">
    <oc r="D9" t="n">
      <v>0.9225</v>
    </oc>
    <nc r="D9" t="n">
      <v>0.875</v>
    </nc>
  </rcc>
  <rcc rId="1116" ua="false" sId="5">
    <oc r="C10" t="n">
      <v>0.2925</v>
    </oc>
    <nc r="C10" t="n">
      <v>0.3025</v>
    </nc>
  </rcc>
  <rcc rId="1117" ua="false" sId="5">
    <oc r="D10" t="n">
      <v>0.9875</v>
    </oc>
    <nc r="D10" t="n">
      <v>0.9375</v>
    </nc>
  </rcc>
  <rcc rId="1118" ua="false" sId="5">
    <oc r="C11" t="n">
      <v>0.345</v>
    </oc>
    <nc r="C11" t="n">
      <v>0.3375</v>
    </nc>
  </rcc>
  <rcc rId="1119" ua="false" sId="5">
    <oc r="D11" t="n">
      <v>0.965</v>
    </oc>
    <nc r="D11" t="n">
      <v>0.9175</v>
    </nc>
  </rcc>
  <rcc rId="1120" ua="false" sId="10">
    <oc r="C2" t="n">
      <v>0.135</v>
    </oc>
    <nc r="C2" t="n">
      <v>0.145</v>
    </nc>
  </rcc>
  <rcc rId="1121" ua="false" sId="10">
    <oc r="D2" t="n">
      <v>0.17</v>
    </oc>
    <nc r="D2" t="n">
      <v>0.155</v>
    </nc>
  </rcc>
  <rcc rId="1122" ua="false" sId="10">
    <oc r="C3" t="n">
      <v>0.1375</v>
    </oc>
    <nc r="C3" t="n">
      <v>0.135</v>
    </nc>
  </rcc>
  <rcc rId="1123" ua="false" sId="10">
    <oc r="D3" t="n">
      <v>0.2275</v>
    </oc>
    <nc r="D3" t="n">
      <v>0.175</v>
    </nc>
  </rcc>
  <rcc rId="1124" ua="false" sId="10">
    <oc r="C4" t="n">
      <v>0.1575</v>
    </oc>
    <nc r="C4" t="n">
      <v>0.1675</v>
    </nc>
  </rcc>
  <rcc rId="1125" ua="false" sId="10">
    <oc r="D4" t="n">
      <v>0.3175</v>
    </oc>
    <nc r="D4" t="n">
      <v>0.2875</v>
    </nc>
  </rcc>
  <rcc rId="1126" ua="false" sId="10">
    <oc r="D5" t="n">
      <v>0.4475</v>
    </oc>
    <nc r="D5" t="n">
      <v>0.4</v>
    </nc>
  </rcc>
  <rcc rId="1127" ua="false" sId="10">
    <oc r="C6" t="n">
      <v>0.2275</v>
    </oc>
    <nc r="C6" t="n">
      <v>0.225</v>
    </nc>
  </rcc>
  <rcc rId="1128" ua="false" sId="10">
    <oc r="D6" t="n">
      <v>0.525</v>
    </oc>
    <nc r="D6" t="n">
      <v>0.5025</v>
    </nc>
  </rcc>
  <rcc rId="1129" ua="false" sId="10">
    <oc r="D7" t="n">
      <v>0.67</v>
    </oc>
    <nc r="D7" t="n">
      <v>0.69</v>
    </nc>
  </rcc>
  <rcc rId="1130" ua="false" sId="10">
    <oc r="C8" t="n">
      <v>0.315</v>
    </oc>
    <nc r="C8" t="n">
      <v>0.26</v>
    </nc>
  </rcc>
  <rcc rId="1131" ua="false" sId="10">
    <oc r="D8" t="n">
      <v>0.8375</v>
    </oc>
    <nc r="D8" t="n">
      <v>0.5575</v>
    </nc>
  </rcc>
  <rcc rId="1132" ua="false" sId="10">
    <oc r="C9" t="n">
      <v>0.3325</v>
    </oc>
    <nc r="C9" t="n">
      <v>0.33</v>
    </nc>
  </rcc>
  <rcc rId="1133" ua="false" sId="10">
    <oc r="D9" t="n">
      <v>0.9375</v>
    </oc>
    <nc r="D9" t="n">
      <v>0.9525</v>
    </nc>
  </rcc>
  <rcc rId="1134" ua="false" sId="10">
    <oc r="D10" t="n">
      <v>1.0525</v>
    </oc>
    <nc r="D10" t="n">
      <v>1.0575</v>
    </nc>
  </rcc>
  <rcc rId="1135" ua="false" sId="11">
    <oc r="C2" t="n">
      <v>0.235</v>
    </oc>
    <nc r="C2" t="n">
      <v>0.26</v>
    </nc>
  </rcc>
  <rcc rId="1136" ua="false" sId="11">
    <oc r="D2" t="n">
      <v>-1.255</v>
    </oc>
    <nc r="D2" t="n">
      <v>-1.23</v>
    </nc>
  </rcc>
  <rcc rId="1137" ua="false" sId="11">
    <oc r="C3" t="n">
      <v>0.25</v>
    </oc>
    <nc r="C3" t="n">
      <v>0.275</v>
    </nc>
  </rcc>
  <rcc rId="1138" ua="false" sId="11">
    <oc r="D3" t="n">
      <v>-1.36</v>
    </oc>
    <nc r="D3" t="n">
      <v>-1.385</v>
    </nc>
  </rcc>
  <rcc rId="1139" ua="false" sId="11">
    <oc r="C4" t="n">
      <v>0.3325</v>
    </oc>
    <nc r="C4" t="n">
      <v>0.3475</v>
    </nc>
  </rcc>
  <rcc rId="1140" ua="false" sId="11">
    <oc r="D4" t="n">
      <v>-1.525</v>
    </oc>
    <nc r="D4" t="n">
      <v>-1.425</v>
    </nc>
  </rcc>
  <rcc rId="1141" ua="false" sId="11">
    <oc r="C5" t="n">
      <v>0.29</v>
    </oc>
    <nc r="C5" t="n">
      <v>0.3025</v>
    </nc>
  </rcc>
  <rcc rId="1142" ua="false" sId="11">
    <oc r="D5" t="n">
      <v>-1.635</v>
    </oc>
    <nc r="D5" t="n">
      <v>-1.685</v>
    </nc>
  </rcc>
  <rcc rId="1143" ua="false" sId="11">
    <oc r="C6" t="n">
      <v>0.34</v>
    </oc>
    <nc r="C6" t="n">
      <v>0.3675</v>
    </nc>
  </rcc>
  <rcc rId="1144" ua="false" sId="11">
    <oc r="D6" t="n">
      <v>-2.03</v>
    </oc>
    <nc r="D6" t="n">
      <v>-2.095</v>
    </nc>
  </rcc>
  <rcc rId="1145" ua="false" sId="11">
    <oc r="C7" t="n">
      <v>0.3825</v>
    </oc>
    <nc r="C7" t="n">
      <v>0.4075</v>
    </nc>
  </rcc>
  <rcc rId="1146" ua="false" sId="11">
    <oc r="D7" t="n">
      <v>-2.3275</v>
    </oc>
    <nc r="D7" t="n">
      <v>-2.3725</v>
    </nc>
  </rcc>
  <rcc rId="1147" ua="false" sId="11">
    <oc r="C8" t="n">
      <v>0.45</v>
    </oc>
    <nc r="C8" t="n">
      <v>0.475</v>
    </nc>
  </rcc>
  <rcc rId="1148" ua="false" sId="11">
    <oc r="D8" t="n">
      <v>-2.73</v>
    </oc>
    <nc r="D8" t="n">
      <v>-2.76</v>
    </nc>
  </rcc>
  <rcc rId="1149" ua="false" sId="11">
    <oc r="C9" t="n">
      <v>0.475</v>
    </oc>
    <nc r="C9" t="n">
      <v>0.5125</v>
    </nc>
  </rcc>
  <rcc rId="1150" ua="false" sId="11">
    <oc r="D9" t="n">
      <v>-2.8975</v>
    </oc>
    <nc r="D9" t="n">
      <v>-2.92</v>
    </nc>
  </rcc>
  <rcc rId="1151" ua="false" sId="11">
    <oc r="C10" t="n">
      <v>0.49</v>
    </oc>
    <nc r="C10" t="n">
      <v>0.53</v>
    </nc>
  </rcc>
  <rcc rId="1152" ua="false" sId="11">
    <oc r="D10" t="n">
      <v>-3.03</v>
    </oc>
    <nc r="D10" t="n">
      <v>-3.06</v>
    </nc>
  </rcc>
  <rcc rId="1153" ua="false" sId="11">
    <oc r="C11" t="n">
      <v>0.465</v>
    </oc>
    <nc r="C11" t="n">
      <v>0.52</v>
    </nc>
  </rcc>
  <rcc rId="1154" ua="false" sId="11">
    <oc r="D11" t="n">
      <v>-3.395</v>
    </oc>
    <nc r="D11" t="n">
      <v>-3.4225</v>
    </nc>
  </rcc>
  <rcc rId="1155" ua="false" sId="12">
    <oc r="C2" t="n">
      <v>0.19</v>
    </oc>
    <nc r="C2" t="n">
      <v>0.21</v>
    </nc>
  </rcc>
  <rcc rId="1156" ua="false" sId="12">
    <oc r="D2" t="n">
      <v>-0.34</v>
    </oc>
    <nc r="D2" t="n">
      <v>-0.26</v>
    </nc>
  </rcc>
  <rcc rId="1157" ua="false" sId="12">
    <oc r="C3" t="n">
      <v>0.205</v>
    </oc>
    <nc r="C3" t="n">
      <v>0.215</v>
    </nc>
  </rcc>
  <rcc rId="1158" ua="false" sId="12">
    <oc r="D3" t="n">
      <v>-0.365</v>
    </oc>
    <nc r="D3" t="n">
      <v>-0.33</v>
    </nc>
  </rcc>
  <rcc rId="1159" ua="false" sId="12">
    <oc r="D4" t="n">
      <v>-0.455</v>
    </oc>
    <nc r="D4" t="n">
      <v>-0.445</v>
    </nc>
  </rcc>
  <rcc rId="1160" ua="false" sId="12">
    <oc r="C5" t="n">
      <v>0.23</v>
    </oc>
    <nc r="C5" t="n">
      <v>0.25</v>
    </nc>
  </rcc>
  <rcc rId="1161" ua="false" sId="12">
    <oc r="D5" t="n">
      <v>-0.455</v>
    </oc>
    <nc r="D5" t="n">
      <v>-0.44</v>
    </nc>
  </rcc>
  <rcc rId="1162" ua="false" sId="12">
    <oc r="C6" t="n">
      <v>0.265</v>
    </oc>
    <nc r="C6" t="n">
      <v>0.275</v>
    </nc>
  </rcc>
  <rcc rId="1163" ua="false" sId="12">
    <oc r="D6" t="n">
      <v>-0.67</v>
    </oc>
    <nc r="D6" t="n">
      <v>-0.66</v>
    </nc>
  </rcc>
  <rcc rId="1164" ua="false" sId="12">
    <oc r="C7" t="n">
      <v>0.295</v>
    </oc>
    <nc r="C7" t="n">
      <v>0.3</v>
    </nc>
  </rcc>
  <rcc rId="1165" ua="false" sId="12">
    <oc r="D7" t="n">
      <v>-0.875</v>
    </oc>
    <nc r="D7" t="n">
      <v>-0.84</v>
    </nc>
  </rcc>
  <rcc rId="1166" ua="false" sId="12">
    <oc r="C8" t="n">
      <v>0.355</v>
    </oc>
    <nc r="C8" t="n">
      <v>0.37</v>
    </nc>
  </rcc>
  <rcc rId="1167" ua="false" sId="12">
    <oc r="D8" t="n">
      <v>-1.115</v>
    </oc>
    <nc r="D8" t="n">
      <v>-1.035</v>
    </nc>
  </rcc>
  <rcc rId="1168" ua="false" sId="12">
    <oc r="C9" t="n">
      <v>0.39</v>
    </oc>
    <nc r="C9" t="n">
      <v>0.405</v>
    </nc>
  </rcc>
  <rcc rId="1169" ua="false" sId="12">
    <oc r="D9" t="n">
      <v>-1.34</v>
    </oc>
    <nc r="D9" t="n">
      <v>-1.28</v>
    </nc>
  </rcc>
  <rcc rId="1170" ua="false" sId="12">
    <oc r="C10" t="n">
      <v>0.405</v>
    </oc>
    <nc r="C10" t="n">
      <v>0.415</v>
    </nc>
  </rcc>
  <rcc rId="1171" ua="false" sId="12">
    <oc r="D10" t="n">
      <v>-1.435</v>
    </oc>
    <nc r="D10" t="n">
      <v>-1.405</v>
    </nc>
  </rcc>
  <rcc rId="1172" ua="false" sId="12">
    <oc r="C11" t="n">
      <v>0.43</v>
    </oc>
    <nc r="C11" t="n">
      <v>0.445</v>
    </nc>
  </rcc>
  <rcc rId="1173" ua="false" sId="12">
    <oc r="D11" t="n">
      <v>-1.71</v>
    </oc>
    <nc r="D11" t="n">
      <v>-1.6625</v>
    </nc>
  </rcc>
  <rcc rId="1174" ua="false" sId="13">
    <oc r="C2" t="n">
      <v>0.1425</v>
    </oc>
    <nc r="C2" t="n">
      <v>0.135</v>
    </nc>
  </rcc>
  <rcc rId="1175" ua="false" sId="13">
    <oc r="D2" t="n">
      <v>-0.0225</v>
    </oc>
    <nc r="D2" t="n">
      <v>-0.0125</v>
    </nc>
  </rcc>
  <rcc rId="1176" ua="false" sId="13">
    <oc r="C3" t="n">
      <v>0.155</v>
    </oc>
    <nc r="C3" t="n">
      <v>0.145</v>
    </nc>
  </rcc>
  <rcc rId="1177" ua="false" sId="13">
    <oc r="C4" t="n">
      <v>0.18</v>
    </oc>
    <nc r="C4" t="n">
      <v>0.175</v>
    </nc>
  </rcc>
  <rcc rId="1178" ua="false" sId="13">
    <oc r="D4" t="n">
      <v>0.01</v>
    </oc>
    <nc r="D4" t="n">
      <v>-0.02</v>
    </nc>
  </rcc>
  <rcc rId="1179" ua="false" sId="13">
    <oc r="C5" t="n">
      <v>0.1675</v>
    </oc>
    <nc r="C5" t="n">
      <v>0.1575</v>
    </nc>
  </rcc>
  <rcc rId="1180" ua="false" sId="13">
    <oc r="D5" t="n">
      <v>0.005</v>
    </oc>
    <nc r="D5" t="n">
      <v>-0.01</v>
    </nc>
  </rcc>
  <rcc rId="1181" ua="false" sId="13">
    <oc r="C6" t="n">
      <v>0.1925</v>
    </oc>
    <nc r="C6" t="n">
      <v>0.18</v>
    </nc>
  </rcc>
  <rcc rId="1182" ua="false" sId="13">
    <oc r="D6" t="n">
      <v>0.0175</v>
    </oc>
    <nc r="D6" t="n">
      <v>0.005</v>
    </nc>
  </rcc>
  <rcc rId="1183" ua="false" sId="13">
    <oc r="C7" t="n">
      <v>0.2175</v>
    </oc>
    <nc r="C7" t="n">
      <v>0.2075</v>
    </nc>
  </rcc>
  <rcc rId="1184" ua="false" sId="13">
    <oc r="D7" t="n">
      <v>0.03</v>
    </oc>
    <nc r="D7" t="n">
      <v>0.0275</v>
    </nc>
  </rcc>
  <rcc rId="1185" ua="false" sId="13">
    <oc r="C8" t="n">
      <v>0.27</v>
    </oc>
    <nc r="C8" t="n">
      <v>0.2625</v>
    </nc>
  </rcc>
  <rcc rId="1186" ua="false" sId="13">
    <oc r="D8" t="n">
      <v>0.0475</v>
    </oc>
    <nc r="D8" t="n">
      <v>0.05</v>
    </nc>
  </rcc>
  <rcc rId="1187" ua="false" sId="13">
    <oc r="C9" t="n">
      <v>0.3025</v>
    </oc>
    <nc r="C9" t="n">
      <v>0.295</v>
    </nc>
  </rcc>
  <rcc rId="1188" ua="false" sId="13">
    <oc r="D9" t="n">
      <v>0.075</v>
    </oc>
    <nc r="D9" t="n">
      <v>0.08</v>
    </nc>
  </rcc>
  <rcc rId="1189" ua="false" sId="13">
    <oc r="C10" t="n">
      <v>0.315</v>
    </oc>
    <nc r="C10" t="n">
      <v>0.3125</v>
    </nc>
  </rcc>
  <rcc rId="1190" ua="false" sId="13">
    <oc r="D10" t="n">
      <v>0.095</v>
    </oc>
    <nc r="D10" t="n">
      <v>0.0975</v>
    </nc>
  </rcc>
  <rcc rId="1191" ua="false" sId="13">
    <oc r="C11" t="n">
      <v>0.345</v>
    </oc>
    <nc r="C11" t="n">
      <v>0.34</v>
    </nc>
  </rcc>
  <rcc rId="1192" ua="false" sId="13">
    <oc r="D11" t="n">
      <v>-0.0075</v>
    </oc>
    <nc r="D11" t="n">
      <v>-0.005</v>
    </nc>
  </rcc>
  <rcc rId="1193" ua="false" sId="14">
    <oc r="C2" t="n">
      <v>0.2875</v>
    </oc>
    <nc r="C2" t="n">
      <v>0.2925</v>
    </nc>
  </rcc>
  <rcc rId="1194" ua="false" sId="14">
    <oc r="D2" t="n">
      <v>-1.2425</v>
    </oc>
    <nc r="D2" t="n">
      <v>-1.4125</v>
    </nc>
  </rcc>
  <rcc rId="1195" ua="false" sId="14">
    <oc r="D3" t="n">
      <v>-1.3125</v>
    </oc>
    <nc r="D3" t="n">
      <v>-1.4775</v>
    </nc>
  </rcc>
  <rcc rId="1196" ua="false" sId="14">
    <oc r="D4" t="n">
      <v>-1.445</v>
    </oc>
    <nc r="D4" t="n">
      <v>-1.555</v>
    </nc>
  </rcc>
  <rcc rId="1197" ua="false" sId="14">
    <oc r="C5" t="n">
      <v>0.3575</v>
    </oc>
    <nc r="C5" t="n">
      <v>0.355</v>
    </nc>
  </rcc>
  <rcc rId="1198" ua="false" sId="14">
    <oc r="D5" t="n">
      <v>-1.4275</v>
    </oc>
    <nc r="D5" t="n">
      <v>-1.575</v>
    </nc>
  </rcc>
  <rcc rId="1199" ua="false" sId="14">
    <oc r="D6" t="n">
      <v>-1.545</v>
    </oc>
    <nc r="D6" t="n">
      <v>-1.665</v>
    </nc>
  </rcc>
  <rcc rId="1200" ua="false" sId="14">
    <oc r="C7" t="n">
      <v>0.41</v>
    </oc>
    <nc r="C7" t="n">
      <v>0.4075</v>
    </nc>
  </rcc>
  <rcc rId="1201" ua="false" sId="14">
    <oc r="D7" t="n">
      <v>-1.63</v>
    </oc>
    <nc r="D7" t="n">
      <v>-1.7425</v>
    </nc>
  </rcc>
  <rcc rId="1202" ua="false" sId="14">
    <oc r="C8" t="n">
      <v>0.4375</v>
    </oc>
    <nc r="C8" t="n">
      <v>0.4325</v>
    </nc>
  </rcc>
  <rcc rId="1203" ua="false" sId="14">
    <oc r="D8" t="n">
      <v>-1.7575</v>
    </oc>
    <nc r="D8" t="n">
      <v>-1.7975</v>
    </nc>
  </rcc>
  <rcc rId="1204" ua="false" sId="14">
    <oc r="C9" t="n">
      <v>0.46</v>
    </oc>
    <nc r="C9" t="n">
      <v>0.4525</v>
    </nc>
  </rcc>
  <rcc rId="1205" ua="false" sId="14">
    <oc r="D9" t="n">
      <v>-1.83</v>
    </oc>
    <nc r="D9" t="n">
      <v>-1.8125</v>
    </nc>
  </rcc>
  <rcc rId="1206" ua="false" sId="14">
    <oc r="C10" t="n">
      <v>0.465</v>
    </oc>
    <nc r="C10" t="n">
      <v>0.455</v>
    </nc>
  </rcc>
  <rcc rId="1207" ua="false" sId="14">
    <oc r="D10" t="n">
      <v>-1.88</v>
    </oc>
    <nc r="D10" t="n">
      <v>-1.85</v>
    </nc>
  </rcc>
  <rcc rId="1208" ua="false" sId="14">
    <oc r="C11" t="n">
      <v>0.4925</v>
    </oc>
    <nc r="C11" t="n">
      <v>0.485</v>
    </nc>
  </rcc>
  <rcc rId="1209" ua="false" sId="14">
    <oc r="D11" t="n">
      <v>-2.0575</v>
    </oc>
    <nc r="D11" t="n">
      <v>-1.9975</v>
    </nc>
  </rcc>
  <rcc rId="1210" ua="false" sId="15">
    <oc r="C2" t="n">
      <v>0.19</v>
    </oc>
    <nc r="C2" t="n">
      <v>0.2</v>
    </nc>
  </rcc>
  <rcc rId="1211" ua="false" sId="15">
    <oc r="D2" t="n">
      <v>-0.0875</v>
    </oc>
    <nc r="D2" t="n">
      <v>-0.045</v>
    </nc>
  </rcc>
  <rcc rId="1212" ua="false" sId="15">
    <oc r="C3" t="n">
      <v>0.1925</v>
    </oc>
    <nc r="C3" t="n">
      <v>0.21</v>
    </nc>
  </rcc>
  <rcc rId="1213" ua="false" sId="15">
    <oc r="D3" t="n">
      <v>-0.12</v>
    </oc>
    <nc r="D3" t="n">
      <v>-0.11</v>
    </nc>
  </rcc>
  <rcc rId="1214" ua="false" sId="15">
    <oc r="C4" t="n">
      <v>0.2325</v>
    </oc>
    <nc r="C4" t="n">
      <v>0.2425</v>
    </nc>
  </rcc>
  <rcc rId="1215" ua="false" sId="15">
    <oc r="D4" t="n">
      <v>-0.12</v>
    </oc>
    <nc r="D4" t="n">
      <v>-0.1225</v>
    </nc>
  </rcc>
  <rcc rId="1216" ua="false" sId="15">
    <oc r="C5" t="n">
      <v>0.215</v>
    </oc>
    <nc r="C5" t="n">
      <v>0.2225</v>
    </nc>
  </rcc>
  <rcc rId="1217" ua="false" sId="15">
    <oc r="D5" t="n">
      <v>-0.2275</v>
    </oc>
    <nc r="D5" t="n">
      <v>-0.205</v>
    </nc>
  </rcc>
  <rcc rId="1218" ua="false" sId="15">
    <oc r="C6" t="n">
      <v>0.24</v>
    </oc>
    <nc r="C6" t="n">
      <v>0.2525</v>
    </nc>
  </rcc>
  <rcc rId="1219" ua="false" sId="15">
    <oc r="D6" t="n">
      <v>-0.4625</v>
    </oc>
    <nc r="D6" t="n">
      <v>-0.4225</v>
    </nc>
  </rcc>
  <rcc rId="1220" ua="false" sId="15">
    <oc r="C7" t="n">
      <v>0.27</v>
    </oc>
    <nc r="C7" t="n">
      <v>0.2725</v>
    </nc>
  </rcc>
  <rcc rId="1221" ua="false" sId="15">
    <oc r="D7" t="n">
      <v>-0.6925</v>
    </oc>
    <nc r="D7" t="n">
      <v>-0.6175</v>
    </nc>
  </rcc>
  <rcc rId="1222" ua="false" sId="15">
    <oc r="D8" t="n">
      <v>-1.045</v>
    </oc>
    <nc r="D8" t="n">
      <v>-0.9775</v>
    </nc>
  </rcc>
  <rcc rId="1223" ua="false" sId="15">
    <oc r="C9" t="n">
      <v>0.36</v>
    </oc>
    <nc r="C9" t="n">
      <v>0.34</v>
    </nc>
  </rcc>
  <rcc rId="1224" ua="false" sId="15">
    <oc r="D9" t="n">
      <v>-1.195</v>
    </oc>
    <nc r="D9" t="n">
      <v>-1.145</v>
    </nc>
  </rcc>
  <rcc rId="1225" ua="false" sId="15">
    <oc r="C10" t="n">
      <v>0.3725</v>
    </oc>
    <nc r="C10" t="n">
      <v>0.3575</v>
    </nc>
  </rcc>
  <rcc rId="1226" ua="false" sId="15">
    <oc r="D10" t="n">
      <v>-1.305</v>
    </oc>
    <nc r="D10" t="n">
      <v>-1.2825</v>
    </nc>
  </rcc>
  <rcc rId="1227" ua="false" sId="15">
    <oc r="C11" t="n">
      <v>0.4</v>
    </oc>
    <nc r="C11" t="n">
      <v>0.38</v>
    </nc>
  </rcc>
  <rcc rId="1228" ua="false" sId="15">
    <oc r="D11" t="n">
      <v>-1.5475</v>
    </oc>
    <nc r="D11" t="n">
      <v>-1.495</v>
    </nc>
  </rcc>
  <rcc rId="1229" ua="false" sId="16">
    <oc r="C2" t="n">
      <v>0.175</v>
    </oc>
    <nc r="C2" t="n">
      <v>0.1725</v>
    </nc>
  </rcc>
  <rcc rId="1230" ua="false" sId="16">
    <oc r="D2" t="n">
      <v>0.2275</v>
    </oc>
    <nc r="D2" t="n">
      <v>0.2375</v>
    </nc>
  </rcc>
  <rcc rId="1231" ua="false" sId="16">
    <oc r="C3" t="n">
      <v>0.18</v>
    </oc>
    <nc r="C3" t="n">
      <v>0.1825</v>
    </nc>
  </rcc>
  <rcc rId="1232" ua="false" sId="16">
    <oc r="D3" t="n">
      <v>0.285</v>
    </oc>
    <nc r="D3" t="n">
      <v>0.27</v>
    </nc>
  </rcc>
  <rcc rId="1233" ua="false" sId="16">
    <oc r="D4" t="n">
      <v>0.355</v>
    </oc>
    <nc r="D4" t="n">
      <v>0.335</v>
    </nc>
  </rcc>
  <rcc rId="1234" ua="false" sId="16">
    <oc r="C5" t="n">
      <v>0.21</v>
    </oc>
    <nc r="C5" t="n">
      <v>0.215</v>
    </nc>
  </rcc>
  <rcc rId="1235" ua="false" sId="16">
    <oc r="D5" t="n">
      <v>0.5375</v>
    </oc>
    <nc r="D5" t="n">
      <v>0.5</v>
    </nc>
  </rcc>
  <rcc rId="1236" ua="false" sId="16">
    <oc r="D6" t="n">
      <v>0.67</v>
    </oc>
    <nc r="D6" t="n">
      <v>0.635</v>
    </nc>
  </rcc>
  <rcc rId="1237" ua="false" sId="16">
    <oc r="D7" t="n">
      <v>0.8875</v>
    </oc>
    <nc r="D7" t="n">
      <v>0.8625</v>
    </nc>
  </rcc>
  <rcc rId="1238" ua="false" sId="16">
    <oc r="C8" t="n">
      <v>0.3025</v>
    </oc>
    <nc r="C8" t="n">
      <v>0.3075</v>
    </nc>
  </rcc>
  <rcc rId="1239" ua="false" sId="16">
    <oc r="D8" t="n">
      <v>1.0125</v>
    </oc>
    <nc r="D8" t="n">
      <v>0.9975</v>
    </nc>
  </rcc>
  <rcc rId="1240" ua="false" sId="16">
    <oc r="C9" t="n">
      <v>0.3275</v>
    </oc>
    <nc r="C9" t="n">
      <v>0.3325</v>
    </nc>
  </rcc>
  <rcc rId="1241" ua="false" sId="16">
    <oc r="D9" t="n">
      <v>1.1225</v>
    </oc>
    <nc r="D9" t="n">
      <v>1.1075</v>
    </nc>
  </rcc>
  <rcc rId="1242" ua="false" sId="16">
    <oc r="C10" t="n">
      <v>0.365</v>
    </oc>
    <nc r="C10" t="n">
      <v>0.3675</v>
    </nc>
  </rcc>
  <rcc rId="1243" ua="false" sId="16">
    <oc r="D10" t="n">
      <v>1.25</v>
    </oc>
    <nc r="D10" t="n">
      <v>1.2325</v>
    </nc>
  </rcc>
</revisions>
</file>

<file path=xl/revisions/revisionLog133.xml><?xml version="1.0" encoding="utf-8"?>
<revisions xmlns="http://schemas.openxmlformats.org/spreadsheetml/2006/main" xmlns:r="http://schemas.openxmlformats.org/officeDocument/2006/relationships">
  <rcc rId="1244" ua="false" sId="19">
    <nc r="A23" t="n">
      <v>44245</v>
    </nc>
  </rcc>
  <rcc rId="1245" ua="false" sId="19">
    <nc r="B23" t="n">
      <v>135508</v>
    </nc>
  </rcc>
  <rcc rId="1246" ua="false" sId="19">
    <nc r="C23" t="n">
      <f>C22+B23</f>
    </nc>
  </rcc>
</revisions>
</file>

<file path=xl/revisions/revisionLog134.xml><?xml version="1.0" encoding="utf-8"?>
<revisions xmlns="http://schemas.openxmlformats.org/spreadsheetml/2006/main" xmlns:r="http://schemas.openxmlformats.org/officeDocument/2006/relationships">
  <rcc rId="1247" ua="false" sId="18">
    <oc r="I2" t="n">
      <v>8</v>
    </oc>
    <nc r="I2" t="n">
      <v>8.3</v>
    </nc>
  </rcc>
  <rcc rId="1248" ua="false" sId="18">
    <oc r="I5" t="n">
      <v>1.5</v>
    </oc>
    <nc r="I5" t="n">
      <v>1.2</v>
    </nc>
  </rcc>
</revisions>
</file>

<file path=xl/revisions/revisionLog135.xml><?xml version="1.0" encoding="utf-8"?>
<revisions xmlns="http://schemas.openxmlformats.org/spreadsheetml/2006/main" xmlns:r="http://schemas.openxmlformats.org/officeDocument/2006/relationships">
  <rcc rId="1249" ua="false" sId="18">
    <oc r="F5" t="n">
      <v>0.8</v>
    </oc>
    <nc r="F5" t="n">
      <v>1</v>
    </nc>
  </rcc>
</revisions>
</file>

<file path=xl/revisions/revisionLog136.xml><?xml version="1.0" encoding="utf-8"?>
<revisions xmlns="http://schemas.openxmlformats.org/spreadsheetml/2006/main" xmlns:r="http://schemas.openxmlformats.org/officeDocument/2006/relationships">
  <rcc rId="1250" ua="false" sId="2">
    <oc r="C2" t="n">
      <v>0.235</v>
    </oc>
    <nc r="C2" t="n">
      <v>0.2275</v>
    </nc>
  </rcc>
  <rcc rId="1251" ua="false" sId="2">
    <oc r="D2" t="n">
      <v>-0.71</v>
    </oc>
    <nc r="D2" t="n">
      <v>-0.705</v>
    </nc>
  </rcc>
  <rcc rId="1252" ua="false" sId="2">
    <oc r="C3" t="n">
      <v>0.25</v>
    </oc>
    <nc r="C3" t="n">
      <v>0.245</v>
    </nc>
  </rcc>
  <rcc rId="1253" ua="false" sId="2">
    <oc r="D3" t="n">
      <v>-0.855</v>
    </oc>
    <nc r="D3" t="n">
      <v>-0.85</v>
    </nc>
  </rcc>
  <rcc rId="1254" ua="false" sId="2">
    <oc r="C5" t="n">
      <v>0.285</v>
    </oc>
    <nc r="C5" t="n">
      <v>0.29</v>
    </nc>
  </rcc>
  <rcc rId="1255" ua="false" sId="2">
    <oc r="D5" t="n">
      <v>-0.99</v>
    </oc>
    <nc r="D5" t="n">
      <v>-0.965</v>
    </nc>
  </rcc>
  <rcc rId="1256" ua="false" sId="2">
    <oc r="D6" t="n">
      <v>-1.1175</v>
    </oc>
    <nc r="D6" t="n">
      <v>-1.1275</v>
    </nc>
  </rcc>
  <rcc rId="1257" ua="false" sId="2">
    <oc r="C7" t="n">
      <v>0.34</v>
    </oc>
    <nc r="C7" t="n">
      <v>0.345</v>
    </nc>
  </rcc>
  <rcc rId="1258" ua="false" sId="2">
    <oc r="D7" t="n">
      <v>-1.22</v>
    </oc>
    <nc r="D7" t="n">
      <v>-1.2275</v>
    </nc>
  </rcc>
  <rcc rId="1259" ua="false" sId="2">
    <oc r="C8" t="n">
      <v>0.375</v>
    </oc>
    <nc r="C8" t="n">
      <v>0.3775</v>
    </nc>
  </rcc>
  <rcc rId="1260" ua="false" sId="2">
    <oc r="D8" t="n">
      <v>-1.355</v>
    </oc>
    <nc r="D8" t="n">
      <v>-1.35</v>
    </nc>
  </rcc>
  <rcc rId="1261" ua="false" sId="2">
    <oc r="D9" t="n">
      <v>-1.4325</v>
    </oc>
    <nc r="D9" t="n">
      <v>-1.42</v>
    </nc>
  </rcc>
  <rcc rId="1262" ua="false" sId="2">
    <oc r="C10" t="n">
      <v>0.4275</v>
    </oc>
    <nc r="C10" t="n">
      <v>0.4225</v>
    </nc>
  </rcc>
  <rcc rId="1263" ua="false" sId="2">
    <oc r="D10" t="n">
      <v>-1.5025</v>
    </oc>
    <nc r="D10" t="n">
      <v>-1.4725</v>
    </nc>
  </rcc>
  <rcc rId="1264" ua="false" sId="2">
    <oc r="C11" t="n">
      <v>0.45</v>
    </oc>
    <nc r="C11" t="n">
      <v>0.4575</v>
    </nc>
  </rcc>
  <rcc rId="1265" ua="false" sId="2">
    <oc r="D11" t="n">
      <v>-1.55</v>
    </oc>
    <nc r="D11" t="n">
      <v>-1.5625</v>
    </nc>
  </rcc>
  <rcc rId="1266" ua="false" sId="3">
    <oc r="C2" t="n">
      <v>0.18</v>
    </oc>
    <nc r="C2" t="n">
      <v>0.1775</v>
    </nc>
  </rcc>
  <rcc rId="1267" ua="false" sId="3">
    <oc r="D2" t="n">
      <v>-0.33</v>
    </oc>
    <nc r="D2" t="n">
      <v>-0.3075</v>
    </nc>
  </rcc>
  <rcc rId="1268" ua="false" sId="3">
    <oc r="C3" t="n">
      <v>0.185</v>
    </oc>
    <nc r="C3" t="n">
      <v>0.1825</v>
    </nc>
  </rcc>
  <rcc rId="1269" ua="false" sId="3">
    <oc r="C4" t="n">
      <v>0.185</v>
    </oc>
    <nc r="C4" t="n">
      <v>0.19</v>
    </nc>
  </rcc>
  <rcc rId="1270" ua="false" sId="3">
    <oc r="D4" t="n">
      <v>-0.5</v>
    </oc>
    <nc r="D4" t="n">
      <v>-0.445</v>
    </nc>
  </rcc>
  <rcc rId="1271" ua="false" sId="3">
    <oc r="C5" t="n">
      <v>0.205</v>
    </oc>
    <nc r="C5" t="n">
      <v>0.2</v>
    </nc>
  </rcc>
  <rcc rId="1272" ua="false" sId="3">
    <oc r="D5" t="n">
      <v>-0.495</v>
    </oc>
    <nc r="D5" t="n">
      <v>-0.465</v>
    </nc>
  </rcc>
  <rcc rId="1273" ua="false" sId="3">
    <oc r="C6" t="n">
      <v>0.25</v>
    </oc>
    <nc r="C6" t="n">
      <v>0.2375</v>
    </nc>
  </rcc>
  <rcc rId="1274" ua="false" sId="3">
    <oc r="D6" t="n">
      <v>-0.61</v>
    </oc>
    <nc r="D6" t="n">
      <v>-0.5675</v>
    </nc>
  </rcc>
  <rcc rId="1275" ua="false" sId="3">
    <oc r="C7" t="n">
      <v>0.29</v>
    </oc>
    <nc r="C7" t="n">
      <v>0.2725</v>
    </nc>
  </rcc>
  <rcc rId="1276" ua="false" sId="3">
    <oc r="D7" t="n">
      <v>-0.695</v>
    </oc>
    <nc r="D7" t="n">
      <v>-0.685</v>
    </nc>
  </rcc>
  <rcc rId="1277" ua="false" sId="3">
    <oc r="C8" t="n">
      <v>0.355</v>
    </oc>
    <nc r="C8" t="n">
      <v>0.34</v>
    </nc>
  </rcc>
  <rcc rId="1278" ua="false" sId="3">
    <oc r="D8" t="n">
      <v>-0.82</v>
    </oc>
    <nc r="D8" t="n">
      <v>-0.8425</v>
    </nc>
  </rcc>
  <rcc rId="1279" ua="false" sId="3">
    <oc r="C9" t="n">
      <v>0.4</v>
    </oc>
    <nc r="C9" t="n">
      <v>0.38</v>
    </nc>
  </rcc>
  <rcc rId="1280" ua="false" sId="3">
    <oc r="D9" t="n">
      <v>-0.88</v>
    </oc>
    <nc r="D9" t="n">
      <v>-0.9125</v>
    </nc>
  </rcc>
  <rcc rId="1281" ua="false" sId="3">
    <oc r="C10" t="n">
      <v>0.425</v>
    </oc>
    <nc r="C10" t="n">
      <v>0.4</v>
    </nc>
  </rcc>
  <rcc rId="1282" ua="false" sId="3">
    <oc r="D10" t="n">
      <v>-0.945</v>
    </oc>
    <nc r="D10" t="n">
      <v>-0.96</v>
    </nc>
  </rcc>
  <rcc rId="1283" ua="false" sId="3">
    <oc r="C11" t="n">
      <v>0.44</v>
    </oc>
    <nc r="C11" t="n">
      <v>0.415</v>
    </nc>
  </rcc>
  <rcc rId="1284" ua="false" sId="3">
    <oc r="D11" t="n">
      <v>-1.125</v>
    </oc>
    <nc r="D11" t="n">
      <v>-1.1275</v>
    </nc>
  </rcc>
  <rcc rId="1285" ua="false" sId="4">
    <oc r="C2" t="n">
      <v>0.19</v>
    </oc>
    <nc r="C2" t="n">
      <v>0.1725</v>
    </nc>
  </rcc>
  <rcc rId="1286" ua="false" sId="4">
    <oc r="D2" t="n">
      <v>0.285</v>
    </oc>
    <nc r="D2" t="n">
      <v>0.3375</v>
    </nc>
  </rcc>
  <rcc rId="1287" ua="false" sId="4">
    <oc r="C3" t="n">
      <v>0.2</v>
    </oc>
    <nc r="C3" t="n">
      <v>0.18</v>
    </nc>
  </rcc>
  <rcc rId="1288" ua="false" sId="4">
    <oc r="D3" t="n">
      <v>0.3325</v>
    </oc>
    <nc r="D3" t="n">
      <v>0.37</v>
    </nc>
  </rcc>
  <rcc rId="1289" ua="false" sId="4">
    <oc r="C4" t="n">
      <v>0.2125</v>
    </oc>
    <nc r="C4" t="n">
      <v>0.1875</v>
    </nc>
  </rcc>
  <rcc rId="1290" ua="false" sId="4">
    <oc r="D4" t="n">
      <v>0.3475</v>
    </oc>
    <nc r="D4" t="n">
      <v>0.37</v>
    </nc>
  </rcc>
  <rcc rId="1291" ua="false" sId="4">
    <oc r="C5" t="n">
      <v>0.2175</v>
    </oc>
    <nc r="C5" t="n">
      <v>0.195</v>
    </nc>
  </rcc>
  <rcc rId="1292" ua="false" sId="4">
    <oc r="D5" t="n">
      <v>0.3725</v>
    </oc>
    <nc r="D5" t="n">
      <v>0.3825</v>
    </nc>
  </rcc>
  <rcc rId="1293" ua="false" sId="4">
    <oc r="C6" t="n">
      <v>0.24</v>
    </oc>
    <nc r="C6" t="n">
      <v>0.215</v>
    </nc>
  </rcc>
  <rcc rId="1294" ua="false" sId="4">
    <oc r="D6" t="n">
      <v>0.3925</v>
    </oc>
    <nc r="D6" t="n">
      <v>0.415</v>
    </nc>
  </rcc>
  <rcc rId="1295" ua="false" sId="4">
    <oc r="C7" t="n">
      <v>0.2775</v>
    </oc>
    <nc r="C7" t="n">
      <v>0.255</v>
    </nc>
  </rcc>
  <rcc rId="1296" ua="false" sId="4">
    <oc r="D7" t="n">
      <v>0.42</v>
    </oc>
    <nc r="D7" t="n">
      <v>0.425</v>
    </nc>
  </rcc>
  <rcc rId="1297" ua="false" sId="4">
    <oc r="C8" t="n">
      <v>0.32</v>
    </oc>
    <nc r="C8" t="n">
      <v>0.3025</v>
    </nc>
  </rcc>
  <rcc rId="1298" ua="false" sId="4">
    <oc r="D8" t="n">
      <v>0.4325</v>
    </oc>
    <nc r="D8" t="n">
      <v>0.4425</v>
    </nc>
  </rcc>
  <rcc rId="1299" ua="false" sId="4">
    <oc r="C9" t="n">
      <v>0.3775</v>
    </oc>
    <nc r="C9" t="n">
      <v>0.3475</v>
    </nc>
  </rcc>
  <rcc rId="1300" ua="false" sId="4">
    <oc r="D9" t="n">
      <v>0.4125</v>
    </oc>
    <nc r="D9" t="n">
      <v>0.43</v>
    </nc>
  </rcc>
  <rcc rId="1301" ua="false" sId="4">
    <oc r="C10" t="n">
      <v>0.3875</v>
    </oc>
    <nc r="C10" t="n">
      <v>0.365</v>
    </nc>
  </rcc>
  <rcc rId="1302" ua="false" sId="4">
    <oc r="D10" t="n">
      <v>0.465</v>
    </oc>
    <nc r="D10" t="n">
      <v>0.4675</v>
    </nc>
  </rcc>
  <rcc rId="1303" ua="false" sId="4">
    <oc r="C11" t="n">
      <v>0.3925</v>
    </oc>
    <nc r="C11" t="n">
      <v>0.4</v>
    </nc>
  </rcc>
  <rcc rId="1304" ua="false" sId="4">
    <oc r="D11" t="n">
      <v>0.4625</v>
    </oc>
    <nc r="D11" t="n">
      <v>0.46</v>
    </nc>
  </rcc>
  <rcc rId="1305" ua="false" sId="5">
    <oc r="C2" t="n">
      <v>0.125</v>
    </oc>
    <nc r="C2" t="n">
      <v>0.12</v>
    </nc>
  </rcc>
  <rcc rId="1306" ua="false" sId="5">
    <oc r="D2" t="n">
      <v>0.305</v>
    </oc>
    <nc r="D2" t="n">
      <v>0.27</v>
    </nc>
  </rcc>
  <rcc rId="1307" ua="false" sId="5">
    <oc r="C3" t="n">
      <v>0.13</v>
    </oc>
    <nc r="C3" t="n">
      <v>0.1275</v>
    </nc>
  </rcc>
  <rcc rId="1308" ua="false" sId="5">
    <oc r="D3" t="n">
      <v>0.355</v>
    </oc>
    <nc r="D3" t="n">
      <v>0.3375</v>
    </nc>
  </rcc>
  <rcc rId="1309" ua="false" sId="5">
    <oc r="D4" t="n">
      <v>0.4125</v>
    </oc>
    <nc r="D4" t="n">
      <v>0.4025</v>
    </nc>
  </rcc>
  <rcc rId="1310" ua="false" sId="5">
    <oc r="C5" t="n">
      <v>0.1325</v>
    </oc>
    <nc r="C5" t="n">
      <v>0.13</v>
    </nc>
  </rcc>
  <rcc rId="1311" ua="false" sId="5">
    <oc r="D5" t="n">
      <v>0.435</v>
    </oc>
    <nc r="D5" t="n">
      <v>0.415</v>
    </nc>
  </rcc>
  <rcc rId="1312" ua="false" sId="5">
    <oc r="C6" t="n">
      <v>0.15</v>
    </oc>
    <nc r="C6" t="n">
      <v>0.135</v>
    </nc>
  </rcc>
  <rcc rId="1313" ua="false" sId="5">
    <oc r="D6" t="n">
      <v>0.545</v>
    </oc>
    <nc r="D6" t="n">
      <v>0.505</v>
    </nc>
  </rcc>
  <rcc rId="1314" ua="false" sId="5">
    <oc r="D7" t="n">
      <v>0.61</v>
    </oc>
    <nc r="D7" t="n">
      <v>0.595</v>
    </nc>
  </rcc>
  <rcc rId="1315" ua="false" sId="5">
    <oc r="C8" t="n">
      <v>0.24</v>
    </oc>
    <nc r="C8" t="n">
      <v>0.2375</v>
    </nc>
  </rcc>
  <rcc rId="1316" ua="false" sId="5">
    <oc r="D8" t="n">
      <v>0.73</v>
    </oc>
    <nc r="D8" t="n">
      <v>0.7275</v>
    </nc>
  </rcc>
  <rcc rId="1317" ua="false" sId="5">
    <oc r="C9" t="n">
      <v>0.275</v>
    </oc>
    <nc r="C9" t="n">
      <v>0.2675</v>
    </nc>
  </rcc>
  <rcc rId="1318" ua="false" sId="5">
    <oc r="D9" t="n">
      <v>0.76</v>
    </oc>
    <nc r="D9" t="n">
      <v>0.7675</v>
    </nc>
  </rcc>
  <rcc rId="1319" ua="false" sId="5">
    <oc r="C10" t="n">
      <v>0.25</v>
    </oc>
    <nc r="C10" t="n">
      <v>0.2525</v>
    </nc>
  </rcc>
  <rcc rId="1320" ua="false" sId="5">
    <oc r="D10" t="n">
      <v>0.805</v>
    </oc>
    <nc r="D10" t="n">
      <v>0.8175</v>
    </nc>
  </rcc>
  <rcc rId="1321" ua="false" sId="11">
    <oc r="C2" t="n">
      <v>0.21</v>
    </oc>
    <nc r="C2" t="n">
      <v>0.23</v>
    </nc>
  </rcc>
  <rcc rId="1322" ua="false" sId="11">
    <oc r="D2" t="n">
      <v>-0.7925</v>
    </oc>
    <nc r="D2" t="n">
      <v>-0.925</v>
    </nc>
  </rcc>
  <rcc rId="1323" ua="false" sId="11">
    <oc r="C3" t="n">
      <v>0.2225</v>
    </oc>
    <nc r="C3" t="n">
      <v>0.2425</v>
    </nc>
  </rcc>
  <rcc rId="1324" ua="false" sId="11">
    <oc r="D3" t="n">
      <v>-1.0075</v>
    </oc>
    <nc r="D3" t="n">
      <v>-1.095</v>
    </nc>
  </rcc>
  <rcc rId="1325" ua="false" sId="11">
    <oc r="C4" t="n">
      <v>0.27</v>
    </oc>
    <nc r="C4" t="n">
      <v>0.2875</v>
    </nc>
  </rcc>
  <rcc rId="1326" ua="false" sId="11">
    <oc r="D4" t="n">
      <v>-1.05</v>
    </oc>
    <nc r="D4" t="n">
      <v>-1.12</v>
    </nc>
  </rcc>
  <rcc rId="1327" ua="false" sId="11">
    <oc r="C5" t="n">
      <v>0.2575</v>
    </oc>
    <nc r="C5" t="n">
      <v>0.2775</v>
    </nc>
  </rcc>
  <rcc rId="1328" ua="false" sId="11">
    <oc r="D5" t="n">
      <v>-1.2575</v>
    </oc>
    <nc r="D5" t="n">
      <v>-1.3</v>
    </nc>
  </rcc>
  <rcc rId="1329" ua="false" sId="11">
    <oc r="C6" t="n">
      <v>0.3125</v>
    </oc>
    <nc r="C6" t="n">
      <v>0.33</v>
    </nc>
  </rcc>
  <rcc rId="1330" ua="false" sId="11">
    <oc r="D6" t="n">
      <v>-1.66</v>
    </oc>
    <nc r="D6" t="n">
      <v>-1.72</v>
    </nc>
  </rcc>
  <rcc rId="1331" ua="false" sId="11">
    <oc r="C7" t="n">
      <v>0.3475</v>
    </oc>
    <nc r="C7" t="n">
      <v>0.365</v>
    </nc>
  </rcc>
  <rcc rId="1332" ua="false" sId="11">
    <oc r="D7" t="n">
      <v>-1.9475</v>
    </oc>
    <nc r="D7" t="n">
      <v>-2.025</v>
    </nc>
  </rcc>
  <rcc rId="1333" ua="false" sId="11">
    <oc r="C8" t="n">
      <v>0.3975</v>
    </oc>
    <nc r="C8" t="n">
      <v>0.43</v>
    </nc>
  </rcc>
  <rcc rId="1334" ua="false" sId="11">
    <oc r="D8" t="n">
      <v>-2.3125</v>
    </oc>
    <nc r="D8" t="n">
      <v>-2.3525</v>
    </nc>
  </rcc>
  <rcc rId="1335" ua="false" sId="11">
    <oc r="C9" t="n">
      <v>0.4225</v>
    </oc>
    <nc r="C9" t="n">
      <v>0.4625</v>
    </nc>
  </rcc>
  <rcc rId="1336" ua="false" sId="11">
    <oc r="D9" t="n">
      <v>-2.4925</v>
    </oc>
    <nc r="D9" t="n">
      <v>-2.5275</v>
    </nc>
  </rcc>
  <rcc rId="1337" ua="false" sId="11">
    <oc r="C10" t="n">
      <v>0.4275</v>
    </oc>
    <nc r="C10" t="n">
      <v>0.4825</v>
    </nc>
  </rcc>
  <rcc rId="1338" ua="false" sId="11">
    <oc r="D10" t="n">
      <v>-2.635</v>
    </oc>
    <nc r="D10" t="n">
      <v>-2.66</v>
    </nc>
  </rcc>
  <rcc rId="1339" ua="false" sId="11">
    <oc r="C11" t="n">
      <v>0.42</v>
    </oc>
    <nc r="C11" t="n">
      <v>0.4025</v>
    </nc>
  </rcc>
  <rcc rId="1340" ua="false" sId="11">
    <oc r="D11" t="n">
      <v>-3.0125</v>
    </oc>
    <nc r="D11" t="n">
      <v>-2.99</v>
    </nc>
  </rcc>
  <rcc rId="1341" ua="false" sId="12">
    <oc r="C2" t="n">
      <v>0.165</v>
    </oc>
    <nc r="C2" t="n">
      <v>0.17</v>
    </nc>
  </rcc>
  <rcc rId="1342" ua="false" sId="12">
    <oc r="D2" t="n">
      <v>-0.31</v>
    </oc>
    <nc r="D2" t="n">
      <v>-0.305</v>
    </nc>
  </rcc>
  <rcc rId="1343" ua="false" sId="12">
    <oc r="C3" t="n">
      <v>0.1775</v>
    </oc>
    <nc r="C3" t="n">
      <v>0.1825</v>
    </nc>
  </rcc>
  <rcc rId="1344" ua="false" sId="12">
    <oc r="D3" t="n">
      <v>-0.3625</v>
    </oc>
    <nc r="D3" t="n">
      <v>-0.3725</v>
    </nc>
  </rcc>
  <rcc rId="1345" ua="false" sId="12">
    <oc r="C4" t="n">
      <v>0.17</v>
    </oc>
    <nc r="C4" t="n">
      <v>0.165</v>
    </nc>
  </rcc>
  <rcc rId="1346" ua="false" sId="12">
    <oc r="D4" t="n">
      <v>-0.42</v>
    </oc>
    <nc r="D4" t="n">
      <v>-0.435</v>
    </nc>
  </rcc>
  <rcc rId="1347" ua="false" sId="12">
    <oc r="C5" t="n">
      <v>0.2025</v>
    </oc>
    <nc r="C5" t="n">
      <v>0.2125</v>
    </nc>
  </rcc>
  <rcc rId="1348" ua="false" sId="12">
    <oc r="D5" t="n">
      <v>-0.4425</v>
    </oc>
    <nc r="D5" t="n">
      <v>-0.4275</v>
    </nc>
  </rcc>
  <rcc rId="1349" ua="false" sId="12">
    <oc r="C6" t="n">
      <v>0.24</v>
    </oc>
    <nc r="C6" t="n">
      <v>0.245</v>
    </nc>
  </rcc>
  <rcc rId="1350" ua="false" sId="12">
    <oc r="D6" t="n">
      <v>-0.6</v>
    </oc>
    <nc r="D6" t="n">
      <v>-0.6375</v>
    </nc>
  </rcc>
  <rcc rId="1351" ua="false" sId="12">
    <oc r="D7" t="n">
      <v>-0.805</v>
    </oc>
    <nc r="D7" t="n">
      <v>-0.8125</v>
    </nc>
  </rcc>
  <rcc rId="1352" ua="false" sId="12">
    <oc r="C8" t="n">
      <v>0.33</v>
    </oc>
    <nc r="C8" t="n">
      <v>0.335</v>
    </nc>
  </rcc>
  <rcc rId="1353" ua="false" sId="12">
    <oc r="D8" t="n">
      <v>-1.035</v>
    </oc>
    <nc r="D8" t="n">
      <v>-1.0625</v>
    </nc>
  </rcc>
  <rcc rId="1354" ua="false" sId="12">
    <oc r="C9" t="n">
      <v>0.365</v>
    </oc>
    <nc r="C9" t="n">
      <v>0.375</v>
    </nc>
  </rcc>
  <rcc rId="1355" ua="false" sId="12">
    <oc r="D9" t="n">
      <v>-1.175</v>
    </oc>
    <nc r="D9" t="n">
      <v>-1.1875</v>
    </nc>
  </rcc>
  <rcc rId="1356" ua="false" sId="12">
    <oc r="C10" t="n">
      <v>0.3725</v>
    </oc>
    <nc r="C10" t="n">
      <v>0.3775</v>
    </nc>
  </rcc>
  <rcc rId="1357" ua="false" sId="12">
    <oc r="D10" t="n">
      <v>-1.2475</v>
    </oc>
    <nc r="D10" t="n">
      <v>-1.2575</v>
    </nc>
  </rcc>
  <rcc rId="1358" ua="false" sId="12">
    <oc r="C11" t="n">
      <v>0.39</v>
    </oc>
    <nc r="C11" t="n">
      <v>0.405</v>
    </nc>
  </rcc>
  <rcc rId="1359" ua="false" sId="12">
    <oc r="D11" t="n">
      <v>-1.355</v>
    </oc>
    <nc r="D11" t="n">
      <v>-1.41</v>
    </nc>
  </rcc>
  <rcc rId="1360" ua="false" sId="13">
    <oc r="C2" t="n">
      <v>0.135</v>
    </oc>
    <nc r="C2" t="n">
      <v>0.1375</v>
    </nc>
  </rcc>
  <rcc rId="1361" ua="false" sId="13">
    <oc r="D2" t="n">
      <v>-0.09</v>
    </oc>
    <nc r="D2" t="n">
      <v>-0.0825</v>
    </nc>
  </rcc>
  <rcc rId="1362" ua="false" sId="13">
    <oc r="C3" t="n">
      <v>0.1425</v>
    </oc>
    <nc r="C3" t="n">
      <v>0.1375</v>
    </nc>
  </rcc>
  <rcc rId="1363" ua="false" sId="13">
    <oc r="D3" t="n">
      <v>-0.0475</v>
    </oc>
    <nc r="D3" t="n">
      <v>-0.065</v>
    </nc>
  </rcc>
  <rcc rId="1364" ua="false" sId="13">
    <oc r="C4" t="n">
      <v>0.1525</v>
    </oc>
    <nc r="C4" t="n">
      <v>0.15</v>
    </nc>
  </rcc>
  <rcc rId="1365" ua="false" sId="13">
    <oc r="D4" t="n">
      <v>-0.03</v>
    </oc>
    <nc r="D4" t="n">
      <v>-0.055</v>
    </nc>
  </rcc>
  <rcc rId="1366" ua="false" sId="13">
    <oc r="D5" t="n">
      <v>-0.0225</v>
    </oc>
    <nc r="D5" t="n">
      <v>-0.035</v>
    </nc>
  </rcc>
  <rcc rId="1367" ua="false" sId="13">
    <oc r="C6" t="n">
      <v>0.1775</v>
    </oc>
    <nc r="C6" t="n">
      <v>0.1725</v>
    </nc>
  </rcc>
  <rcc rId="1368" ua="false" sId="13">
    <oc r="D6" t="n">
      <v>0.05</v>
    </oc>
    <nc r="D6" t="n">
      <v>0.03</v>
    </nc>
  </rcc>
  <rcc rId="1369" ua="false" sId="13">
    <oc r="C7" t="n">
      <v>0.21</v>
    </oc>
    <nc r="C7" t="n">
      <v>0.205</v>
    </nc>
  </rcc>
  <rcc rId="1370" ua="false" sId="13">
    <oc r="D7" t="n">
      <v>0.0975</v>
    </oc>
    <nc r="D7" t="n">
      <v>0.0625</v>
    </nc>
  </rcc>
  <rcc rId="1371" ua="false" sId="13">
    <oc r="C8" t="n">
      <v>0.2675</v>
    </oc>
    <nc r="C8" t="n">
      <v>0.2575</v>
    </nc>
  </rcc>
  <rcc rId="1372" ua="false" sId="13">
    <oc r="D8" t="n">
      <v>0.1675</v>
    </oc>
    <nc r="D8" t="n">
      <v>0.1625</v>
    </nc>
  </rcc>
  <rcc rId="1373" ua="false" sId="13">
    <oc r="C9" t="n">
      <v>0.29</v>
    </oc>
    <nc r="C9" t="n">
      <v>0.295</v>
    </nc>
  </rcc>
  <rcc rId="1374" ua="false" sId="13">
    <oc r="D9" t="n">
      <v>0.2075</v>
    </oc>
    <nc r="D9" t="n">
      <v>0.2</v>
    </nc>
  </rcc>
  <rcc rId="1375" ua="false" sId="13">
    <oc r="C10" t="n">
      <v>0.3225</v>
    </oc>
    <nc r="C10" t="n">
      <v>0.32</v>
    </nc>
  </rcc>
  <rcc rId="1376" ua="false" sId="13">
    <oc r="D10" t="n">
      <v>0.2425</v>
    </oc>
    <nc r="D10" t="n">
      <v>0.225</v>
    </nc>
  </rcc>
  <rcc rId="1377" ua="false" sId="13">
    <oc r="D11" t="n">
      <v>0.165</v>
    </oc>
    <nc r="D11" t="n">
      <v>0.1475</v>
    </nc>
  </rcc>
  <rcc rId="1378" ua="false" sId="14">
    <oc r="C2" t="n">
      <v>0.2225</v>
    </oc>
    <nc r="C2" t="n">
      <v>0.215</v>
    </nc>
  </rcc>
  <rcc rId="1379" ua="false" sId="14">
    <oc r="D2" t="n">
      <v>-0.8075</v>
    </oc>
    <nc r="D2" t="n">
      <v>-0.7275</v>
    </nc>
  </rcc>
  <rcc rId="1380" ua="false" sId="14">
    <oc r="C3" t="n">
      <v>0.245</v>
    </oc>
    <nc r="C3" t="n">
      <v>0.24</v>
    </nc>
  </rcc>
  <rcc rId="1381" ua="false" sId="14">
    <oc r="D3" t="n">
      <v>-0.93</v>
    </oc>
    <nc r="D3" t="n">
      <v>-0.875</v>
    </nc>
  </rcc>
  <rcc rId="1382" ua="false" sId="14">
    <oc r="D4" t="n">
      <v>-1</v>
    </oc>
    <nc r="D4" t="n">
      <v>-0.955</v>
    </nc>
  </rcc>
  <rcc rId="1383" ua="false" sId="14">
    <oc r="D5" t="n">
      <v>-1.0675</v>
    </oc>
    <nc r="D5" t="n">
      <v>-1.0775</v>
    </nc>
  </rcc>
  <rcc rId="1384" ua="false" sId="14">
    <oc r="D6" t="n">
      <v>-1.195</v>
    </oc>
    <nc r="D6" t="n">
      <v>-1.17</v>
    </nc>
  </rcc>
  <rcc rId="1385" ua="false" sId="14">
    <oc r="D7" t="n">
      <v>-1.305</v>
    </oc>
    <nc r="D7" t="n">
      <v>-1.295</v>
    </nc>
  </rcc>
  <rcc rId="1386" ua="false" sId="14">
    <oc r="C8" t="n">
      <v>0.395</v>
    </oc>
    <nc r="C8" t="n">
      <v>0.385</v>
    </nc>
  </rcc>
  <rcc rId="1387" ua="false" sId="14">
    <oc r="D8" t="n">
      <v>-1.455</v>
    </oc>
    <nc r="D8" t="n">
      <v>-1.41</v>
    </nc>
  </rcc>
  <rcc rId="1388" ua="false" sId="14">
    <oc r="C9" t="n">
      <v>0.42</v>
    </oc>
    <nc r="C9" t="n">
      <v>0.415</v>
    </nc>
  </rcc>
  <rcc rId="1389" ua="false" sId="14">
    <oc r="D9" t="n">
      <v>-1.535</v>
    </oc>
    <nc r="D9" t="n">
      <v>-1.5</v>
    </nc>
  </rcc>
  <rcc rId="1390" ua="false" sId="14">
    <oc r="C10" t="n">
      <v>0.4425</v>
    </oc>
    <nc r="C10" t="n">
      <v>0.4375</v>
    </nc>
  </rcc>
  <rcc rId="1391" ua="false" sId="14">
    <oc r="D10" t="n">
      <v>-1.5825</v>
    </oc>
    <nc r="D10" t="n">
      <v>-1.5525</v>
    </nc>
  </rcc>
  <rcc rId="1392" ua="false" sId="14">
    <oc r="D11" t="n">
      <v>-1.715</v>
    </oc>
    <nc r="D11" t="n">
      <v>-1.71</v>
    </nc>
  </rcc>
  <rcc rId="1393" ua="false" sId="15">
    <oc r="C2" t="n">
      <v>0.1925</v>
    </oc>
    <nc r="C2" t="n">
      <v>0.1875</v>
    </nc>
  </rcc>
  <rcc rId="1394" ua="false" sId="15">
    <oc r="D2" t="n">
      <v>0.0725</v>
    </oc>
    <nc r="D2" t="n">
      <v>0.045</v>
    </nc>
  </rcc>
  <rcc rId="1395" ua="false" sId="15">
    <oc r="C3" t="n">
      <v>0.1925</v>
    </oc>
    <nc r="C3" t="n">
      <v>0.1875</v>
    </nc>
  </rcc>
  <rcc rId="1396" ua="false" sId="15">
    <oc r="D3" t="n">
      <v>0.0125</v>
    </oc>
    <nc r="D3" t="n">
      <v>0.005</v>
    </nc>
  </rcc>
  <rcc rId="1397" ua="false" sId="15">
    <oc r="C4" t="n">
      <v>0.2175</v>
    </oc>
    <nc r="C4" t="n">
      <v>0.2125</v>
    </nc>
  </rcc>
  <rcc rId="1398" ua="false" sId="15">
    <oc r="D4" t="n">
      <v>-0.0425</v>
    </oc>
    <nc r="D4" t="n">
      <v>-0.1725</v>
    </nc>
  </rcc>
  <rcc rId="1399" ua="false" sId="15">
    <oc r="C5" t="n">
      <v>0.21</v>
    </oc>
    <nc r="C5" t="n">
      <v>0.195</v>
    </nc>
  </rcc>
  <rcc rId="1400" ua="false" sId="15">
    <oc r="D5" t="n">
      <v>-0.1</v>
    </oc>
    <nc r="D5" t="n">
      <v>-0.135</v>
    </nc>
  </rcc>
  <rcc rId="1401" ua="false" sId="15">
    <oc r="C6" t="n">
      <v>0.2375</v>
    </oc>
    <nc r="C6" t="n">
      <v>0.2325</v>
    </nc>
  </rcc>
  <rcc rId="1402" ua="false" sId="15">
    <oc r="D6" t="n">
      <v>-0.335</v>
    </oc>
    <nc r="D6" t="n">
      <v>-0.3925</v>
    </nc>
  </rcc>
  <rcc rId="1403" ua="false" sId="15">
    <oc r="C7" t="n">
      <v>0.265</v>
    </oc>
    <nc r="C7" t="n">
      <v>0.2575</v>
    </nc>
  </rcc>
  <rcc rId="1404" ua="false" sId="15">
    <oc r="D7" t="n">
      <v>-0.55</v>
    </oc>
    <nc r="D7" t="n">
      <v>-0.615</v>
    </nc>
  </rcc>
  <rcc rId="1405" ua="false" sId="15">
    <oc r="C8" t="n">
      <v>0.31</v>
    </oc>
    <nc r="C8" t="n">
      <v>0.305</v>
    </nc>
  </rcc>
  <rcc rId="1406" ua="false" sId="15">
    <oc r="D8" t="n">
      <v>-0.925</v>
    </oc>
    <nc r="D8" t="n">
      <v>-0.955</v>
    </nc>
  </rcc>
  <rcc rId="1407" ua="false" sId="15">
    <oc r="C9" t="n">
      <v>0.34</v>
    </oc>
    <nc r="C9" t="n">
      <v>0.3375</v>
    </nc>
  </rcc>
  <rcc rId="1408" ua="false" sId="15">
    <oc r="D9" t="n">
      <v>-1.09</v>
    </oc>
    <nc r="D9" t="n">
      <v>-1.1125</v>
    </nc>
  </rcc>
  <rcc rId="1409" ua="false" sId="15">
    <oc r="D10" t="n">
      <v>-1.1975</v>
    </oc>
    <nc r="D10" t="n">
      <v>-1.2175</v>
    </nc>
  </rcc>
  <rcc rId="1410" ua="false" sId="15">
    <oc r="D11" t="n">
      <v>-1.455</v>
    </oc>
    <nc r="D11" t="n">
      <v>-1.48</v>
    </nc>
  </rcc>
</revisions>
</file>

<file path=xl/revisions/revisionLog137.xml><?xml version="1.0" encoding="utf-8"?>
<revisions xmlns="http://schemas.openxmlformats.org/spreadsheetml/2006/main" xmlns:r="http://schemas.openxmlformats.org/officeDocument/2006/relationships">
  <rcc rId="1411" ua="false" sId="2">
    <oc r="D2" t="n">
      <v>-1.33</v>
    </oc>
    <nc r="D2" t="n">
      <v>-1.38</v>
    </nc>
  </rcc>
  <rcc rId="1412" ua="false" sId="2">
    <oc r="D3" t="n">
      <v>-1.4775</v>
    </oc>
    <nc r="D3" t="n">
      <v>-1.53</v>
    </nc>
  </rcc>
  <rcc rId="1413" ua="false" sId="2">
    <oc r="C4" t="n">
      <v>0.33</v>
    </oc>
    <nc r="C4" t="n">
      <v>0.34</v>
    </nc>
  </rcc>
  <rcc rId="1414" ua="false" sId="2">
    <oc r="D4" t="n">
      <v>-1.58</v>
    </oc>
    <nc r="D4" t="n">
      <v>-1.66</v>
    </nc>
  </rcc>
  <rcc rId="1415" ua="false" sId="2">
    <oc r="D5" t="n">
      <v>-1.555</v>
    </oc>
    <nc r="D5" t="n">
      <v>-1.5825</v>
    </nc>
  </rcc>
  <rcc rId="1416" ua="false" sId="2">
    <oc r="C6" t="n">
      <v>0.385</v>
    </oc>
    <nc r="C6" t="n">
      <v>0.38</v>
    </nc>
  </rcc>
  <rcc rId="1417" ua="false" sId="2">
    <oc r="D6" t="n">
      <v>-1.615</v>
    </oc>
    <nc r="D6" t="n">
      <v>-1.6625</v>
    </nc>
  </rcc>
  <rcc rId="1418" ua="false" sId="2">
    <oc r="C7" t="n">
      <v>0.41</v>
    </oc>
    <nc r="C7" t="n">
      <v>0.405</v>
    </nc>
  </rcc>
  <rcc rId="1419" ua="false" sId="2">
    <oc r="D7" t="n">
      <v>-1.725</v>
    </oc>
    <nc r="D7" t="n">
      <v>-1.745</v>
    </nc>
  </rcc>
  <rcc rId="1420" ua="false" sId="2">
    <oc r="D8" t="n">
      <v>-1.765</v>
    </oc>
    <nc r="D8" t="n">
      <v>-1.8025</v>
    </nc>
  </rcc>
  <rcc rId="1421" ua="false" sId="2">
    <oc r="C9" t="n">
      <v>0.455</v>
    </oc>
    <nc r="C9" t="n">
      <v>0.45</v>
    </nc>
  </rcc>
  <rcc rId="1422" ua="false" sId="2">
    <oc r="D9" t="n">
      <v>-1.825</v>
    </oc>
    <nc r="D9" t="n">
      <v>-1.855</v>
    </nc>
  </rcc>
  <rcc rId="1423" ua="false" sId="2">
    <oc r="C10" t="n">
      <v>0.4575</v>
    </oc>
    <nc r="C10" t="n">
      <v>0.455</v>
    </nc>
  </rcc>
  <rcc rId="1424" ua="false" sId="2">
    <oc r="D10" t="n">
      <v>-1.8475</v>
    </oc>
    <nc r="D10" t="n">
      <v>-1.8725</v>
    </nc>
  </rcc>
  <rcc rId="1425" ua="false" sId="2">
    <oc r="C11" t="n">
      <v>0.4475</v>
    </oc>
    <nc r="C11" t="n">
      <v>0.4125</v>
    </nc>
  </rcc>
  <rcc rId="1426" ua="false" sId="2">
    <oc r="D11" t="n">
      <v>-1.9725</v>
    </oc>
    <nc r="D11" t="n">
      <v>-1.9825</v>
    </nc>
  </rcc>
  <rcc rId="1427" ua="false" sId="3">
    <oc r="C2" t="n">
      <v>0.2175</v>
    </oc>
    <nc r="C2" t="n">
      <v>0.1975</v>
    </nc>
  </rcc>
  <rcc rId="1428" ua="false" sId="3">
    <oc r="D2" t="n">
      <v>-0.5875</v>
    </oc>
    <nc r="D2" t="n">
      <v>-0.6725</v>
    </nc>
  </rcc>
  <rcc rId="1429" ua="false" sId="3">
    <oc r="D3" t="n">
      <v>-0.665</v>
    </oc>
    <nc r="D3" t="n">
      <v>-0.685</v>
    </nc>
  </rcc>
  <rcc rId="1430" ua="false" sId="3">
    <oc r="D4" t="n">
      <v>-0.6925</v>
    </oc>
    <nc r="D4" t="n">
      <v>-0.8675</v>
    </nc>
  </rcc>
  <rcc rId="1431" ua="false" sId="3">
    <oc r="C5" t="n">
      <v>0.25</v>
    </oc>
    <nc r="C5" t="n">
      <v>0.235</v>
    </nc>
  </rcc>
  <rcc rId="1432" ua="false" sId="3">
    <oc r="D5" t="n">
      <v>-0.7325</v>
    </oc>
    <nc r="D5" t="n">
      <v>-0.8475</v>
    </nc>
  </rcc>
  <rcc rId="1433" ua="false" sId="3">
    <oc r="C6" t="n">
      <v>0.2875</v>
    </oc>
    <nc r="C6" t="n">
      <v>0.2625</v>
    </nc>
  </rcc>
  <rcc rId="1434" ua="false" sId="3">
    <oc r="D6" t="n">
      <v>-0.8975</v>
    </oc>
    <nc r="D6" t="n">
      <v>-0.9425</v>
    </nc>
  </rcc>
  <rcc rId="1435" ua="false" sId="3">
    <oc r="C7" t="n">
      <v>0.335</v>
    </oc>
    <nc r="C7" t="n">
      <v>0.3075</v>
    </nc>
  </rcc>
  <rcc rId="1436" ua="false" sId="3">
    <oc r="D7" t="n">
      <v>-0.96</v>
    </oc>
    <nc r="D7" t="n">
      <v>-0.9975</v>
    </nc>
  </rcc>
  <rcc rId="1437" ua="false" sId="3">
    <oc r="C8" t="n">
      <v>0.385</v>
    </oc>
    <nc r="C8" t="n">
      <v>0.38</v>
    </nc>
  </rcc>
  <rcc rId="1438" ua="false" sId="3">
    <oc r="D8" t="n">
      <v>-1.01</v>
    </oc>
    <nc r="D8" t="n">
      <v>-1.1</v>
    </nc>
  </rcc>
  <rcc rId="1439" ua="false" sId="3">
    <oc r="C9" t="n">
      <v>0.41</v>
    </oc>
    <nc r="C9" t="n">
      <v>0.4125</v>
    </nc>
  </rcc>
  <rcc rId="1440" ua="false" sId="3">
    <oc r="D9" t="n">
      <v>-1.0825</v>
    </oc>
    <nc r="D9" t="n">
      <v>-1.18</v>
    </nc>
  </rcc>
  <rcc rId="1441" ua="false" sId="3">
    <oc r="C10" t="n">
      <v>0.425</v>
    </oc>
    <nc r="C10" t="n">
      <v>0.435</v>
    </nc>
  </rcc>
  <rcc rId="1442" ua="false" sId="3">
    <oc r="D10" t="n">
      <v>-1.1275</v>
    </oc>
    <nc r="D10" t="n">
      <v>-1.23</v>
    </nc>
  </rcc>
  <rcc rId="1443" ua="false" sId="3">
    <oc r="C11" t="n">
      <v>0.4525</v>
    </oc>
    <nc r="C11" t="n">
      <v>0.445</v>
    </nc>
  </rcc>
  <rcc rId="1444" ua="false" sId="3">
    <oc r="D11" t="n">
      <v>-1.2275</v>
    </oc>
    <nc r="D11" t="n">
      <v>-1.2825</v>
    </nc>
  </rcc>
  <rcc rId="1445" ua="false" sId="4">
    <oc r="C2" t="n">
      <v>0.23</v>
    </oc>
    <nc r="C2" t="n">
      <v>0.22</v>
    </nc>
  </rcc>
  <rcc rId="1446" ua="false" sId="4">
    <oc r="D2" t="n">
      <v>0.61</v>
    </oc>
    <nc r="D2" t="n">
      <v>0.63</v>
    </nc>
  </rcc>
  <rcc rId="1447" ua="false" sId="4">
    <oc r="C3" t="n">
      <v>0.2375</v>
    </oc>
    <nc r="C3" t="n">
      <v>0.2275</v>
    </nc>
  </rcc>
  <rcc rId="1448" ua="false" sId="4">
    <oc r="D3" t="n">
      <v>0.65</v>
    </oc>
    <nc r="D3" t="n">
      <v>0.7175</v>
    </nc>
  </rcc>
  <rcc rId="1449" ua="false" sId="4">
    <oc r="C4" t="n">
      <v>0.2425</v>
    </oc>
    <nc r="C4" t="n">
      <v>0.2325</v>
    </nc>
  </rcc>
  <rcc rId="1450" ua="false" sId="4">
    <oc r="D4" t="n">
      <v>0.62</v>
    </oc>
    <nc r="D4" t="n">
      <v>0.665</v>
    </nc>
  </rcc>
  <rcc rId="1451" ua="false" sId="4">
    <oc r="C5" t="n">
      <v>0.255</v>
    </oc>
    <nc r="C5" t="n">
      <v>0.2425</v>
    </nc>
  </rcc>
  <rcc rId="1452" ua="false" sId="4">
    <oc r="D5" t="n">
      <v>0.64</v>
    </oc>
    <nc r="D5" t="n">
      <v>0.6575</v>
    </nc>
  </rcc>
  <rcc rId="1453" ua="false" sId="4">
    <oc r="D6" t="n">
      <v>0.6375</v>
    </oc>
    <nc r="D6" t="n">
      <v>0.6575</v>
    </nc>
  </rcc>
  <rcc rId="1454" ua="false" sId="4">
    <oc r="C7" t="n">
      <v>0.3075</v>
    </oc>
    <nc r="C7" t="n">
      <v>0.315</v>
    </nc>
  </rcc>
  <rcc rId="1455" ua="false" sId="4">
    <oc r="D7" t="n">
      <v>0.655</v>
    </oc>
    <nc r="D7" t="n">
      <v>0.695</v>
    </nc>
  </rcc>
  <rcc rId="1456" ua="false" sId="4">
    <oc r="C8" t="n">
      <v>0.36</v>
    </oc>
    <nc r="C8" t="n">
      <v>0.37</v>
    </nc>
  </rcc>
  <rcc rId="1457" ua="false" sId="4">
    <oc r="D8" t="n">
      <v>0.6525</v>
    </oc>
    <nc r="D8" t="n">
      <v>0.685</v>
    </nc>
  </rcc>
  <rcc rId="1458" ua="false" sId="4">
    <oc r="C9" t="n">
      <v>0.42</v>
    </oc>
    <nc r="C9" t="n">
      <v>0.4375</v>
    </nc>
  </rcc>
  <rcc rId="1459" ua="false" sId="4">
    <oc r="D9" t="n">
      <v>0.7025</v>
    </oc>
    <nc r="D9" t="n">
      <v>0.7525</v>
    </nc>
  </rcc>
  <rcc rId="1460" ua="false" sId="4">
    <oc r="D10" t="n">
      <v>0.6575</v>
    </oc>
    <nc r="D10" t="n">
      <v>0.68</v>
    </nc>
  </rcc>
  <rcc rId="1461" ua="false" sId="4">
    <oc r="C11" t="n">
      <v>0.43</v>
    </oc>
    <nc r="C11" t="n">
      <v>0.44</v>
    </nc>
  </rcc>
  <rcc rId="1462" ua="false" sId="4">
    <oc r="D11" t="n">
      <v>0.715</v>
    </oc>
    <nc r="D11" t="n">
      <v>0.74</v>
    </nc>
  </rcc>
  <rcc rId="1463" ua="false" sId="5">
    <oc r="C2" t="n">
      <v>0.14</v>
    </oc>
    <nc r="C2" t="n">
      <v>0.1425</v>
    </nc>
  </rcc>
  <rcc rId="1464" ua="false" sId="5">
    <oc r="D2" t="n">
      <v>0.3875</v>
    </oc>
    <nc r="D2" t="n">
      <v>0.3575</v>
    </nc>
  </rcc>
  <rcc rId="1465" ua="false" sId="5">
    <oc r="C3" t="n">
      <v>0.1525</v>
    </oc>
    <nc r="C3" t="n">
      <v>0.1575</v>
    </nc>
  </rcc>
  <rcc rId="1466" ua="false" sId="5">
    <oc r="D3" t="n">
      <v>0.455</v>
    </oc>
    <nc r="D3" t="n">
      <v>0.425</v>
    </nc>
  </rcc>
  <rcc rId="1467" ua="false" sId="5">
    <oc r="C4" t="n">
      <v>0.165</v>
    </oc>
    <nc r="C4" t="n">
      <v>0.1725</v>
    </nc>
  </rcc>
  <rcc rId="1468" ua="false" sId="5">
    <oc r="D4" t="n">
      <v>0.5325</v>
    </oc>
    <nc r="D4" t="n">
      <v>0.51</v>
    </nc>
  </rcc>
  <rcc rId="1469" ua="false" sId="5">
    <oc r="D5" t="n">
      <v>0.5725</v>
    </oc>
    <nc r="D5" t="n">
      <v>0.55</v>
    </nc>
  </rcc>
  <rcc rId="1470" ua="false" sId="5">
    <oc r="C6" t="n">
      <v>0.19</v>
    </oc>
    <nc r="C6" t="n">
      <v>0.18</v>
    </nc>
  </rcc>
  <rcc rId="1471" ua="false" sId="5">
    <oc r="D6" t="n">
      <v>0.7</v>
    </oc>
    <nc r="D6" t="n">
      <v>0.67</v>
    </nc>
  </rcc>
  <rcc rId="1472" ua="false" sId="5">
    <oc r="D7" t="n">
      <v>0.7775</v>
    </oc>
    <nc r="D7" t="n">
      <v>0.71</v>
    </nc>
  </rcc>
  <rcc rId="1473" ua="false" sId="5">
    <oc r="C8" t="n">
      <v>0.285</v>
    </oc>
    <nc r="C8" t="n">
      <v>0.2875</v>
    </nc>
  </rcc>
  <rcc rId="1474" ua="false" sId="5">
    <oc r="D8" t="n">
      <v>0.8625</v>
    </oc>
    <nc r="D8" t="n">
      <v>0.83</v>
    </nc>
  </rcc>
  <rcc rId="1475" ua="false" sId="5">
    <oc r="C9" t="n">
      <v>0.31</v>
    </oc>
    <nc r="C9" t="n">
      <v>0.3175</v>
    </nc>
  </rcc>
  <rcc rId="1476" ua="false" sId="5">
    <oc r="D9" t="n">
      <v>0.9125</v>
    </oc>
    <nc r="D9" t="n">
      <v>0.88</v>
    </nc>
  </rcc>
  <rcc rId="1477" ua="false" sId="5">
    <oc r="C10" t="n">
      <v>0.305</v>
    </oc>
    <nc r="C10" t="n">
      <v>0.2875</v>
    </nc>
  </rcc>
  <rcc rId="1478" ua="false" sId="5">
    <oc r="D10" t="n">
      <v>0.9725</v>
    </oc>
    <nc r="D10" t="n">
      <v>0.9575</v>
    </nc>
  </rcc>
  <rcc rId="1479" ua="false" sId="5">
    <oc r="C11" t="n">
      <v>0.3425</v>
    </oc>
    <nc r="C11" t="n">
      <v>0.34</v>
    </nc>
  </rcc>
  <rcc rId="1480" ua="false" sId="5">
    <oc r="D11" t="n">
      <v>0.93</v>
    </oc>
    <nc r="D11" t="n">
      <v>0.9325</v>
    </nc>
  </rcc>
  <rcc rId="1481" ua="false" sId="10">
    <oc r="C2" t="n">
      <v>0.14</v>
    </oc>
    <nc r="C2" t="n">
      <v>0.135</v>
    </nc>
  </rcc>
  <rcc rId="1482" ua="false" sId="10">
    <oc r="D2" t="n">
      <v>0.0075</v>
    </oc>
    <nc r="D2" t="n">
      <v>-0.0675</v>
    </nc>
  </rcc>
  <rcc rId="1483" ua="false" sId="10">
    <oc r="C3" t="n">
      <v>0.1425</v>
    </oc>
    <nc r="C3" t="n">
      <v>0.135</v>
    </nc>
  </rcc>
  <rcc rId="1484" ua="false" sId="10">
    <oc r="D3" t="n">
      <v>0.0775</v>
    </oc>
    <nc r="D3" t="n">
      <v>0.085</v>
    </nc>
  </rcc>
  <rcc rId="1485" ua="false" sId="10">
    <oc r="C4" t="n">
      <v>0.1525</v>
    </oc>
    <nc r="C4" t="n">
      <v>0.1625</v>
    </nc>
  </rcc>
  <rcc rId="1486" ua="false" sId="10">
    <oc r="D4" t="n">
      <v>0.2075</v>
    </oc>
    <nc r="D4" t="n">
      <v>0.215</v>
    </nc>
  </rcc>
  <rcc rId="1487" ua="false" sId="10">
    <oc r="C5" t="n">
      <v>0.1825</v>
    </oc>
    <nc r="C5" t="n">
      <v>0.195</v>
    </nc>
  </rcc>
  <rcc rId="1488" ua="false" sId="10">
    <oc r="D5" t="n">
      <v>0.2875</v>
    </oc>
    <nc r="D5" t="n">
      <v>0.29</v>
    </nc>
  </rcc>
  <rcc rId="1489" ua="false" sId="10">
    <oc r="C6" t="n">
      <v>0.2225</v>
    </oc>
    <nc r="C6" t="n">
      <v>0.225</v>
    </nc>
  </rcc>
  <rcc rId="1490" ua="false" sId="10">
    <oc r="D6" t="n">
      <v>0.405</v>
    </oc>
    <nc r="D6" t="n">
      <v>0.41</v>
    </nc>
  </rcc>
  <rcc rId="1491" ua="false" sId="10">
    <oc r="C7" t="n">
      <v>0.255</v>
    </oc>
    <nc r="C7" t="n">
      <v>0.265</v>
    </nc>
  </rcc>
  <rcc rId="1492" ua="false" sId="10">
    <oc r="D7" t="n">
      <v>0.6075</v>
    </oc>
    <nc r="D7" t="n">
      <v>0.6275</v>
    </nc>
  </rcc>
  <rcc rId="1493" ua="false" sId="10">
    <oc r="D8" t="n">
      <v>0.485</v>
    </oc>
    <nc r="D8" t="n">
      <v>0.535</v>
    </nc>
  </rcc>
  <rcc rId="1494" ua="false" sId="10">
    <oc r="C9" t="n">
      <v>0.3275</v>
    </oc>
    <nc r="C9" t="n">
      <v>0.33</v>
    </nc>
  </rcc>
  <rcc rId="1495" ua="false" sId="10">
    <oc r="D9" t="n">
      <v>0.8875</v>
    </oc>
    <nc r="D9" t="n">
      <v>0.9275</v>
    </nc>
  </rcc>
  <rcc rId="1496" ua="false" sId="10">
    <oc r="C10" t="n">
      <v>0.36</v>
    </oc>
    <nc r="C10" t="n">
      <v>0.355</v>
    </nc>
  </rcc>
  <rcc rId="1497" ua="false" sId="10">
    <oc r="D10" t="n">
      <v>1.0725</v>
    </oc>
    <nc r="D10" t="n">
      <v>1.1225</v>
    </nc>
  </rcc>
  <rcc rId="1498" ua="false" sId="11">
    <oc r="C2" t="n">
      <v>0.3</v>
    </oc>
    <nc r="C2" t="n">
      <v>0.275</v>
    </nc>
  </rcc>
  <rcc rId="1499" ua="false" sId="11">
    <oc r="D2" t="n">
      <v>-1.275</v>
    </oc>
    <nc r="D2" t="n">
      <v>-1.2175</v>
    </nc>
  </rcc>
  <rcc rId="1500" ua="false" sId="11">
    <oc r="C3" t="n">
      <v>0.315</v>
    </oc>
    <nc r="C3" t="n">
      <v>0.295</v>
    </nc>
  </rcc>
  <rcc rId="1501" ua="false" sId="11">
    <oc r="D3" t="n">
      <v>-1.495</v>
    </oc>
    <nc r="D3" t="n">
      <v>-1.445</v>
    </nc>
  </rcc>
  <rcc rId="1502" ua="false" sId="11">
    <oc r="C4" t="n">
      <v>0.36</v>
    </oc>
    <nc r="C4" t="n">
      <v>0.3525</v>
    </nc>
  </rcc>
  <rcc rId="1503" ua="false" sId="11">
    <oc r="D4" t="n">
      <v>-1.5575</v>
    </oc>
    <nc r="D4" t="n">
      <v>-1.565</v>
    </nc>
  </rcc>
  <rcc rId="1504" ua="false" sId="11">
    <oc r="C5" t="n">
      <v>0.3375</v>
    </oc>
    <nc r="C5" t="n">
      <v>0.3325</v>
    </nc>
  </rcc>
  <rcc rId="1505" ua="false" sId="11">
    <oc r="D5" t="n">
      <v>-1.82</v>
    </oc>
    <nc r="D5" t="n">
      <v>-1.775</v>
    </nc>
  </rcc>
  <rcc rId="1506" ua="false" sId="11">
    <oc r="C6" t="n">
      <v>0.39</v>
    </oc>
    <nc r="C6" t="n">
      <v>0.385</v>
    </nc>
  </rcc>
  <rcc rId="1507" ua="false" sId="11">
    <oc r="D6" t="n">
      <v>-2.205</v>
    </oc>
    <nc r="D6" t="n">
      <v>-2.1875</v>
    </nc>
  </rcc>
  <rcc rId="1508" ua="false" sId="11">
    <oc r="D7" t="n">
      <v>-2.4825</v>
    </oc>
    <nc r="D7" t="n">
      <v>-2.495</v>
    </nc>
  </rcc>
  <rcc rId="1509" ua="false" sId="11">
    <oc r="C8" t="n">
      <v>0.4975</v>
    </oc>
    <nc r="C8" t="n">
      <v>0.4825</v>
    </nc>
  </rcc>
  <rcc rId="1510" ua="false" sId="11">
    <oc r="D8" t="n">
      <v>-2.865</v>
    </oc>
    <nc r="D8" t="n">
      <v>-2.8775</v>
    </nc>
  </rcc>
  <rcc rId="1511" ua="false" sId="11">
    <oc r="C9" t="n">
      <v>0.5425</v>
    </oc>
    <nc r="C9" t="n">
      <v>0.5125</v>
    </nc>
  </rcc>
  <rcc rId="1512" ua="false" sId="11">
    <oc r="C10" t="n">
      <v>0.57</v>
    </oc>
    <nc r="C10" t="n">
      <v>0.5325</v>
    </nc>
  </rcc>
  <rcc rId="1513" ua="false" sId="11">
    <oc r="D10" t="n">
      <v>-3.205</v>
    </oc>
    <nc r="D10" t="n">
      <v>-3.1925</v>
    </nc>
  </rcc>
  <rcc rId="1514" ua="false" sId="11">
    <oc r="C11" t="n">
      <v>0.545</v>
    </oc>
    <nc r="C11" t="n">
      <v>0.53</v>
    </nc>
  </rcc>
  <rcc rId="1515" ua="false" sId="11">
    <oc r="D11" t="n">
      <v>-3.57</v>
    </oc>
    <nc r="D11" t="n">
      <v>-3.56</v>
    </nc>
  </rcc>
  <rcc rId="1516" ua="false" sId="12">
    <oc r="C2" t="n">
      <v>0.2125</v>
    </oc>
    <nc r="C2" t="n">
      <v>0.2075</v>
    </nc>
  </rcc>
  <rcc rId="1517" ua="false" sId="12">
    <oc r="D2" t="n">
      <v>-0.4525</v>
    </oc>
    <nc r="D2" t="n">
      <v>-0.4575</v>
    </nc>
  </rcc>
  <rcc rId="1518" ua="false" sId="12">
    <oc r="C3" t="n">
      <v>0.215</v>
    </oc>
    <nc r="C3" t="n">
      <v>0.22</v>
    </nc>
  </rcc>
  <rcc rId="1519" ua="false" sId="12">
    <oc r="D3" t="n">
      <v>-0.4625</v>
    </oc>
    <nc r="D3" t="n">
      <v>-0.455</v>
    </nc>
  </rcc>
  <rcc rId="1520" ua="false" sId="12">
    <oc r="D4" t="n">
      <v>-0.485</v>
    </oc>
    <nc r="D4" t="n">
      <v>-0.48</v>
    </nc>
  </rcc>
  <rcc rId="1521" ua="false" sId="12">
    <oc r="C5" t="n">
      <v>0.25</v>
    </oc>
    <nc r="C5" t="n">
      <v>0.2475</v>
    </nc>
  </rcc>
  <rcc rId="1522" ua="false" sId="12">
    <oc r="D5" t="n">
      <v>-0.525</v>
    </oc>
    <nc r="D5" t="n">
      <v>-0.5625</v>
    </nc>
  </rcc>
  <rcc rId="1523" ua="false" sId="12">
    <oc r="C6" t="n">
      <v>0.275</v>
    </oc>
    <nc r="C6" t="n">
      <v>0.2775</v>
    </nc>
  </rcc>
  <rcc rId="1524" ua="false" sId="12">
    <oc r="D6" t="n">
      <v>-0.7075</v>
    </oc>
    <nc r="D6" t="n">
      <v>-0.765</v>
    </nc>
  </rcc>
  <rcc rId="1525" ua="false" sId="12">
    <oc r="C7" t="n">
      <v>0.3075</v>
    </oc>
    <nc r="C7" t="n">
      <v>0.31</v>
    </nc>
  </rcc>
  <rcc rId="1526" ua="false" sId="12">
    <oc r="D7" t="n">
      <v>-0.9025</v>
    </oc>
    <nc r="D7" t="n">
      <v>-0.945</v>
    </nc>
  </rcc>
  <rcc rId="1527" ua="false" sId="12">
    <oc r="C8" t="n">
      <v>0.36</v>
    </oc>
    <nc r="C8" t="n">
      <v>0.3625</v>
    </nc>
  </rcc>
  <rcc rId="1528" ua="false" sId="12">
    <oc r="D8" t="n">
      <v>-1.0775</v>
    </oc>
    <nc r="D8" t="n">
      <v>-1.17</v>
    </nc>
  </rcc>
  <rcc rId="1529" ua="false" sId="12">
    <oc r="C9" t="n">
      <v>0.405</v>
    </oc>
    <nc r="C9" t="n">
      <v>0.4</v>
    </nc>
  </rcc>
  <rcc rId="1530" ua="false" sId="12">
    <oc r="D9" t="n">
      <v>-1.3275</v>
    </oc>
    <nc r="D9" t="n">
      <v>-1.37</v>
    </nc>
  </rcc>
  <rcc rId="1531" ua="false" sId="12">
    <oc r="C10" t="n">
      <v>0.42</v>
    </oc>
    <nc r="C10" t="n">
      <v>0.41</v>
    </nc>
  </rcc>
  <rcc rId="1532" ua="false" sId="12">
    <oc r="D10" t="n">
      <v>-1.435</v>
    </oc>
    <nc r="D10" t="n">
      <v>-1.4625</v>
    </nc>
  </rcc>
  <rcc rId="1533" ua="false" sId="12">
    <oc r="C11" t="n">
      <v>0.4625</v>
    </oc>
    <nc r="C11" t="n">
      <v>0.435</v>
    </nc>
  </rcc>
  <rcc rId="1534" ua="false" sId="12">
    <oc r="D11" t="n">
      <v>-1.72</v>
    </oc>
    <nc r="D11" t="n">
      <v>-1.73</v>
    </nc>
  </rcc>
  <rcc rId="1535" ua="false" sId="13">
    <oc r="C2" t="n">
      <v>0.145</v>
    </oc>
    <nc r="C2" t="n">
      <v>0.1475</v>
    </nc>
  </rcc>
  <rcc rId="1536" ua="false" sId="13">
    <oc r="D2" t="n">
      <v>-0.3475</v>
    </oc>
    <nc r="D2" t="n">
      <v>-0.4375</v>
    </nc>
  </rcc>
  <rcc rId="1537" ua="false" sId="13">
    <oc r="C3" t="n">
      <v>0.15</v>
    </oc>
    <nc r="C3" t="n">
      <v>0.1525</v>
    </nc>
  </rcc>
  <rcc rId="1538" ua="false" sId="13">
    <oc r="D3" t="n">
      <v>-0.34</v>
    </oc>
    <nc r="D3" t="n">
      <v>-0.4025</v>
    </nc>
  </rcc>
  <rcc rId="1539" ua="false" sId="13">
    <oc r="C4" t="n">
      <v>0.15</v>
    </oc>
    <nc r="C4" t="n">
      <v>0.1775</v>
    </nc>
  </rcc>
  <rcc rId="1540" ua="false" sId="13">
    <oc r="D4" t="n">
      <v>-0.29</v>
    </oc>
    <nc r="D4" t="n">
      <v>-0.3625</v>
    </nc>
  </rcc>
  <rcc rId="1541" ua="false" sId="13">
    <oc r="C5" t="n">
      <v>0.16</v>
    </oc>
    <nc r="C5" t="n">
      <v>0.165</v>
    </nc>
  </rcc>
  <rcc rId="1542" ua="false" sId="13">
    <oc r="D5" t="n">
      <v>-0.255</v>
    </oc>
    <nc r="D5" t="n">
      <v>-0.3725</v>
    </nc>
  </rcc>
  <rcc rId="1543" ua="false" sId="13">
    <oc r="C6" t="n">
      <v>0.18</v>
    </oc>
    <nc r="C6" t="n">
      <v>0.19</v>
    </nc>
  </rcc>
  <rcc rId="1544" ua="false" sId="13">
    <oc r="D6" t="n">
      <v>-0.1925</v>
    </oc>
    <nc r="D6" t="n">
      <v>-0.275</v>
    </nc>
  </rcc>
  <rcc rId="1545" ua="false" sId="13">
    <oc r="C7" t="n">
      <v>0.21</v>
    </oc>
    <nc r="C7" t="n">
      <v>0.215</v>
    </nc>
  </rcc>
  <rcc rId="1546" ua="false" sId="13">
    <oc r="D7" t="n">
      <v>-0.13</v>
    </oc>
    <nc r="D7" t="n">
      <v>-0.21</v>
    </nc>
  </rcc>
  <rcc rId="1547" ua="false" sId="13">
    <oc r="C8" t="n">
      <v>0.27</v>
    </oc>
    <nc r="C8" t="n">
      <v>0.275</v>
    </nc>
  </rcc>
  <rcc rId="1548" ua="false" sId="13">
    <oc r="D8" t="n">
      <v>-0.03</v>
    </oc>
    <nc r="D8" t="n">
      <v>-0.13</v>
    </nc>
  </rcc>
  <rcc rId="1549" ua="false" sId="13">
    <oc r="C9" t="n">
      <v>0.3</v>
    </oc>
    <nc r="C9" t="n">
      <v>0.31</v>
    </nc>
  </rcc>
  <rcc rId="1550" ua="false" sId="13">
    <oc r="D9" t="n">
      <v>0.035</v>
    </oc>
    <nc r="D9" t="n">
      <v>-0.055</v>
    </nc>
  </rcc>
  <rcc rId="1551" ua="false" sId="13">
    <oc r="D10" t="n">
      <v>0.045</v>
    </oc>
    <nc r="D10" t="n">
      <v>-0.015</v>
    </nc>
  </rcc>
  <rcc rId="1552" ua="false" sId="13">
    <oc r="C11" t="n">
      <v>0.34</v>
    </oc>
    <nc r="C11" t="n">
      <v>0.3425</v>
    </nc>
  </rcc>
  <rcc rId="1553" ua="false" sId="13">
    <oc r="D11" t="n">
      <v>-0.05</v>
    </oc>
    <nc r="D11" t="n">
      <v>-0.09</v>
    </nc>
  </rcc>
  <rcc rId="1554" ua="false" sId="14">
    <oc r="C2" t="n">
      <v>0.305</v>
    </oc>
    <nc r="C2" t="n">
      <v>0.2925</v>
    </nc>
  </rcc>
  <rcc rId="1555" ua="false" sId="14">
    <oc r="D2" t="n">
      <v>-1.425</v>
    </oc>
    <nc r="D2" t="n">
      <v>-1.3775</v>
    </nc>
  </rcc>
  <rcc rId="1556" ua="false" sId="14">
    <oc r="C3" t="n">
      <v>0.34</v>
    </oc>
    <nc r="C3" t="n">
      <v>0.3275</v>
    </nc>
  </rcc>
  <rcc rId="1557" ua="false" sId="14">
    <oc r="D3" t="n">
      <v>-1.5725</v>
    </oc>
    <nc r="D3" t="n">
      <v>-1.4675</v>
    </nc>
  </rcc>
  <rcc rId="1558" ua="false" sId="14">
    <oc r="C4" t="n">
      <v>0.365</v>
    </oc>
    <nc r="C4" t="n">
      <v>0.35</v>
    </nc>
  </rcc>
  <rcc rId="1559" ua="false" sId="14">
    <oc r="D4" t="n">
      <v>-1.71</v>
    </oc>
    <nc r="D4" t="n">
      <v>-1.65</v>
    </nc>
  </rcc>
  <rcc rId="1560" ua="false" sId="14">
    <oc r="C5" t="n">
      <v>0.385</v>
    </oc>
    <nc r="C5" t="n">
      <v>0.38</v>
    </nc>
  </rcc>
  <rcc rId="1561" ua="false" sId="14">
    <oc r="D5" t="n">
      <v>-1.74</v>
    </oc>
    <nc r="D5" t="n">
      <v>-1.7125</v>
    </nc>
  </rcc>
  <rcc rId="1562" ua="false" sId="14">
    <oc r="D6" t="n">
      <v>-1.79</v>
    </oc>
    <nc r="D6" t="n">
      <v>-1.805</v>
    </nc>
  </rcc>
  <rcc rId="1563" ua="false" sId="14">
    <oc r="C8" t="n">
      <v>0.4625</v>
    </oc>
    <nc r="C8" t="n">
      <v>0.47</v>
    </nc>
  </rcc>
  <rcc rId="1564" ua="false" sId="14">
    <oc r="D8" t="n">
      <v>-1.8875</v>
    </oc>
    <nc r="D8" t="n">
      <v>-1.91</v>
    </nc>
  </rcc>
  <rcc rId="1565" ua="false" sId="14">
    <oc r="C9" t="n">
      <v>0.4825</v>
    </oc>
    <nc r="C9" t="n">
      <v>0.485</v>
    </nc>
  </rcc>
  <rcc rId="1566" ua="false" sId="14">
    <oc r="D9" t="n">
      <v>-1.9275</v>
    </oc>
    <nc r="D9" t="n">
      <v>-1.95</v>
    </nc>
  </rcc>
  <rcc rId="1567" ua="false" sId="14">
    <oc r="C10" t="n">
      <v>0.48</v>
    </oc>
    <nc r="C10" t="n">
      <v>0.4875</v>
    </nc>
  </rcc>
  <rcc rId="1568" ua="false" sId="14">
    <oc r="D10" t="n">
      <v>-1.955</v>
    </oc>
    <nc r="D10" t="n">
      <v>-1.9525</v>
    </nc>
  </rcc>
  <rcc rId="1569" ua="false" sId="14">
    <oc r="C11" t="n">
      <v>0.5025</v>
    </oc>
    <nc r="C11" t="n">
      <v>0.505</v>
    </nc>
  </rcc>
  <rcc rId="1570" ua="false" sId="14">
    <oc r="D11" t="n">
      <v>-2.1</v>
    </oc>
    <nc r="D11" t="n">
      <v>-2.0825</v>
    </nc>
  </rcc>
  <rcc rId="1571" ua="false" sId="15">
    <oc r="C2" t="n">
      <v>0.2275</v>
    </oc>
    <nc r="C2" t="n">
      <v>0.2425</v>
    </nc>
  </rcc>
  <rcc rId="1572" ua="false" sId="15">
    <oc r="D2" t="n">
      <v>0.04</v>
    </oc>
    <nc r="D2" t="n">
      <v>0.1375</v>
    </nc>
  </rcc>
  <rcc rId="1573" ua="false" sId="15">
    <oc r="C3" t="n">
      <v>0.245</v>
    </oc>
    <nc r="C3" t="n">
      <v>0.255</v>
    </nc>
  </rcc>
  <rcc rId="1574" ua="false" sId="15">
    <oc r="D3" t="n">
      <v>0.05</v>
    </oc>
    <nc r="D3" t="n">
      <v>0.105</v>
    </nc>
  </rcc>
  <rcc rId="1575" ua="false" sId="15">
    <oc r="C4" t="n">
      <v>0.2725</v>
    </oc>
    <nc r="C4" t="n">
      <v>0.3</v>
    </nc>
  </rcc>
  <rcc rId="1576" ua="false" sId="15">
    <oc r="D4" t="n">
      <v>0.0425</v>
    </oc>
    <nc r="D4" t="n">
      <v>0.03</v>
    </nc>
  </rcc>
  <rcc rId="1577" ua="false" sId="15">
    <oc r="C5" t="n">
      <v>0.245</v>
    </oc>
    <nc r="C5" t="n">
      <v>0.255</v>
    </nc>
  </rcc>
  <rcc rId="1578" ua="false" sId="15">
    <oc r="D5" t="n">
      <v>-0.115</v>
    </oc>
    <nc r="D5" t="n">
      <v>-0.0675</v>
    </nc>
  </rcc>
  <rcc rId="1579" ua="false" sId="15">
    <oc r="C6" t="n">
      <v>0.27</v>
    </oc>
    <nc r="C6" t="n">
      <v>0.2825</v>
    </nc>
  </rcc>
  <rcc rId="1580" ua="false" sId="15">
    <oc r="D6" t="n">
      <v>-0.375</v>
    </oc>
    <nc r="D6" t="n">
      <v>-0.345</v>
    </nc>
  </rcc>
  <rcc rId="1581" ua="false" sId="15">
    <oc r="C7" t="n">
      <v>0.2975</v>
    </oc>
    <nc r="C7" t="n">
      <v>0.3</v>
    </nc>
  </rcc>
  <rcc rId="1582" ua="false" sId="15">
    <oc r="D7" t="n">
      <v>-0.62</v>
    </oc>
    <nc r="D7" t="n">
      <v>-0.565</v>
    </nc>
  </rcc>
  <rcc rId="1583" ua="false" sId="15">
    <oc r="C8" t="n">
      <v>0.345</v>
    </oc>
    <nc r="C8" t="n">
      <v>0.3425</v>
    </nc>
  </rcc>
  <rcc rId="1584" ua="false" sId="15">
    <oc r="D8" t="n">
      <v>-0.99</v>
    </oc>
    <nc r="D8" t="n">
      <v>-0.94</v>
    </nc>
  </rcc>
  <rcc rId="1585" ua="false" sId="15">
    <oc r="C9" t="n">
      <v>0.3775</v>
    </oc>
    <nc r="C9" t="n">
      <v>0.365</v>
    </nc>
  </rcc>
  <rcc rId="1586" ua="false" sId="15">
    <oc r="D9" t="n">
      <v>-1.1425</v>
    </oc>
    <nc r="D9" t="n">
      <v>-1.0975</v>
    </nc>
  </rcc>
  <rcc rId="1587" ua="false" sId="15">
    <oc r="D10" t="n">
      <v>-1.2575</v>
    </oc>
    <nc r="D10" t="n">
      <v>-1.215</v>
    </nc>
  </rcc>
  <rcc rId="1588" ua="false" sId="15">
    <oc r="C11" t="n">
      <v>0.39</v>
    </oc>
    <nc r="C11" t="n">
      <v>0.405</v>
    </nc>
  </rcc>
  <rcc rId="1589" ua="false" sId="15">
    <oc r="D11" t="n">
      <v>-1.485</v>
    </oc>
    <nc r="D11" t="n">
      <v>-1.4425</v>
    </nc>
  </rcc>
  <rcc rId="1590" ua="false" sId="16">
    <oc r="C2" t="n">
      <v>0.18</v>
    </oc>
    <nc r="C2" t="n">
      <v>0.1825</v>
    </nc>
  </rcc>
  <rcc rId="1591" ua="false" sId="16">
    <oc r="D2" t="n">
      <v>0.4625</v>
    </oc>
    <nc r="D2" t="n">
      <v>0.5025</v>
    </nc>
  </rcc>
  <rcc rId="1592" ua="false" sId="16">
    <oc r="C3" t="n">
      <v>0.1875</v>
    </oc>
    <nc r="C3" t="n">
      <v>0.18</v>
    </nc>
  </rcc>
  <rcc rId="1593" ua="false" sId="16">
    <oc r="D3" t="n">
      <v>0.535</v>
    </oc>
    <nc r="D3" t="n">
      <v>0.57</v>
    </nc>
  </rcc>
  <rcc rId="1594" ua="false" sId="16">
    <oc r="C4" t="n">
      <v>0.2</v>
    </oc>
    <nc r="C4" t="n">
      <v>0.21</v>
    </nc>
  </rcc>
  <rcc rId="1595" ua="false" sId="16">
    <oc r="D4" t="n">
      <v>0.635</v>
    </oc>
    <nc r="D4" t="n">
      <v>0.61</v>
    </nc>
  </rcc>
  <rcc rId="1596" ua="false" sId="16">
    <oc r="C5" t="n">
      <v>0.2175</v>
    </oc>
    <nc r="C5" t="n">
      <v>0.2425</v>
    </nc>
  </rcc>
  <rcc rId="1597" ua="false" sId="16">
    <oc r="D5" t="n">
      <v>0.6925</v>
    </oc>
    <nc r="D5" t="n">
      <v>0.715</v>
    </nc>
  </rcc>
  <rcc rId="1598" ua="false" sId="16">
    <oc r="C6" t="n">
      <v>0.24</v>
    </oc>
    <nc r="C6" t="n">
      <v>0.25</v>
    </nc>
  </rcc>
  <rcc rId="1599" ua="false" sId="16">
    <oc r="D6" t="n">
      <v>0.785</v>
    </oc>
    <nc r="D6" t="n">
      <v>0.805</v>
    </nc>
  </rcc>
  <rcc rId="1600" ua="false" sId="16">
    <oc r="C7" t="n">
      <v>0.2775</v>
    </oc>
    <nc r="C7" t="n">
      <v>0.29</v>
    </nc>
  </rcc>
  <rcc rId="1601" ua="false" sId="16">
    <oc r="D7" t="n">
      <v>0.9175</v>
    </oc>
    <nc r="D7" t="n">
      <v>0.95</v>
    </nc>
  </rcc>
  <rcc rId="1602" ua="false" sId="16">
    <oc r="C8" t="n">
      <v>0.3175</v>
    </oc>
    <nc r="C8" t="n">
      <v>0.325</v>
    </nc>
  </rcc>
  <rcc rId="1603" ua="false" sId="16">
    <oc r="D8" t="n">
      <v>1.0725</v>
    </oc>
    <nc r="D8" t="n">
      <v>1.075</v>
    </nc>
  </rcc>
  <rcc rId="1604" ua="false" sId="16">
    <oc r="C9" t="n">
      <v>0.3425</v>
    </oc>
    <nc r="C9" t="n">
      <v>0.345</v>
    </nc>
  </rcc>
  <rcc rId="1605" ua="false" sId="16">
    <oc r="D9" t="n">
      <v>1.1575</v>
    </oc>
    <nc r="D9" t="n">
      <v>1.165</v>
    </nc>
  </rcc>
  <rcc rId="1606" ua="false" sId="16">
    <oc r="C10" t="n">
      <v>0.375</v>
    </oc>
    <nc r="C10" t="n">
      <v>0.3775</v>
    </nc>
  </rcc>
  <rcc rId="1607" ua="false" sId="16">
    <oc r="D10" t="n">
      <v>1.26</v>
    </oc>
    <nc r="D10" t="n">
      <v>1.275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>
  <rcc rId="1608" ua="false" sId="18">
    <oc r="B5" t="n">
      <v>-0.3</v>
    </oc>
    <nc r="B5" t="n">
      <v>-0.2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>
  <rcc rId="1609" ua="false" sId="18">
    <oc r="H5" t="n">
      <v>-1.2</v>
    </oc>
    <nc r="H5" t="n">
      <v>-0.5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>
  <rcc rId="1610" ua="false" sId="18">
    <oc r="H5" t="n">
      <v>-0.5</v>
    </oc>
    <nc r="H5" t="n">
      <v>0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>
  <rcc rId="1611" ua="false" sId="18">
    <oc r="M6" t="n">
      <v>3</v>
    </oc>
    <nc r="M6" t="n">
      <v>4</v>
    </nc>
  </rcc>
  <rcc rId="1612" ua="false" sId="18">
    <oc r="M2" t="n">
      <v>0.7</v>
    </oc>
    <nc r="M2" t="n">
      <v>0.705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>
  <rcc rId="1613" ua="false" sId="18">
    <oc r="I2" t="n">
      <v>9.2</v>
    </oc>
    <nc r="I2" t="n">
      <v>9.25</v>
    </nc>
  </rcc>
  <rcc rId="1614" ua="false" sId="18">
    <oc r="I3" t="n">
      <v>9.45</v>
    </oc>
    <nc r="I3" t="n">
      <v>9.42</v>
    </nc>
  </rcc>
</revisions>
</file>

<file path=xl/revisions/revisionLog143.xml><?xml version="1.0" encoding="utf-8"?>
<revisions xmlns="http://schemas.openxmlformats.org/spreadsheetml/2006/main" xmlns:r="http://schemas.openxmlformats.org/officeDocument/2006/relationships">
  <rcc rId="1615" ua="false" sId="18">
    <oc r="G3" t="n">
      <v>7</v>
    </oc>
    <nc r="G3" t="n">
      <v>6.9</v>
    </nc>
  </rcc>
  <rcc rId="1616" ua="false" sId="18">
    <oc r="G5" t="n">
      <v>0.6</v>
    </oc>
    <nc r="G5" t="n">
      <v>0.2</v>
    </nc>
  </rcc>
  <rcc rId="1617" ua="false" sId="18">
    <oc r="G2" t="n">
      <v>6.2</v>
    </oc>
    <nc r="G2" t="n">
      <v>6</v>
    </nc>
  </rcc>
</revisions>
</file>

<file path=xl/revisions/revisionLog144.xml><?xml version="1.0" encoding="utf-8"?>
<revisions xmlns="http://schemas.openxmlformats.org/spreadsheetml/2006/main" xmlns:r="http://schemas.openxmlformats.org/officeDocument/2006/relationships">
  <rcc rId="1618" ua="false" sId="18">
    <oc r="G5" t="n">
      <v>0.2</v>
    </oc>
    <nc r="G5" t="n">
      <v>0.1</v>
    </nc>
  </rcc>
  <rcc rId="1619" ua="false" sId="18">
    <oc r="G2" t="n">
      <v>6</v>
    </oc>
    <nc r="G2" t="n">
      <v>6.1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>
  <rcc rId="1620" ua="false" sId="18">
    <oc r="G2" t="n">
      <v>5.6</v>
    </oc>
    <nc r="G2" t="n">
      <v>5.65</v>
    </nc>
  </rcc>
</revisions>
</file>

<file path=xl/revisions/revisionLog146.xml><?xml version="1.0" encoding="utf-8"?>
<revisions xmlns="http://schemas.openxmlformats.org/spreadsheetml/2006/main" xmlns:r="http://schemas.openxmlformats.org/officeDocument/2006/relationships">
  <rcc rId="1621" ua="false" sId="18">
    <oc r="I3" t="n">
      <v>9.22</v>
    </oc>
    <nc r="I3" t="n">
      <v>9.3</v>
    </nc>
  </rcc>
  <rcc rId="1622" ua="false" sId="18">
    <oc r="I2" t="n">
      <v>8.5</v>
    </oc>
    <nc r="I2" t="n">
      <v>8.65</v>
    </nc>
  </rcc>
  <rcc rId="1623" ua="false" sId="18">
    <oc r="I5" t="n">
      <v>2</v>
    </oc>
    <nc r="I5" t="n">
      <v>2.5</v>
    </nc>
  </rcc>
  <rcc rId="1624" ua="false" sId="18">
    <oc r="I2" t="n">
      <v>8.65</v>
    </oc>
    <nc r="I2" t="n">
      <v>8.6</v>
    </nc>
  </rcc>
</revisions>
</file>

<file path=xl/revisions/revisionLog147.xml><?xml version="1.0" encoding="utf-8"?>
<revisions xmlns="http://schemas.openxmlformats.org/spreadsheetml/2006/main" xmlns:r="http://schemas.openxmlformats.org/officeDocument/2006/relationships">
  <rcc rId="1625" ua="false" sId="18">
    <oc r="G5" t="n">
      <v>0.1</v>
    </oc>
    <nc r="G5" t="n">
      <v>-0.1</v>
    </nc>
  </rcc>
</revisions>
</file>

<file path=xl/revisions/revisionLog148.xml><?xml version="1.0" encoding="utf-8"?>
<revisions xmlns="http://schemas.openxmlformats.org/spreadsheetml/2006/main" xmlns:r="http://schemas.openxmlformats.org/officeDocument/2006/relationships">
  <rcc rId="1626" ua="false" sId="18">
    <oc r="F5" t="n">
      <v>0.6</v>
    </oc>
    <nc r="F5" t="n">
      <v>0.3</v>
    </nc>
  </rcc>
  <rcc rId="1627" ua="false" sId="18">
    <oc r="F2" t="n">
      <v>5.9</v>
    </oc>
    <nc r="F2" t="n">
      <v>5.8</v>
    </nc>
  </rcc>
  <rcc rId="1628" ua="false" sId="18">
    <oc r="F3" t="n">
      <v>7.53</v>
    </oc>
    <nc r="F3" t="n">
      <v>7.5</v>
    </nc>
  </rcc>
  <rcc rId="1629" ua="false" sId="18">
    <oc r="F2" t="n">
      <v>5.8</v>
    </oc>
    <nc r="F2" t="n">
      <v>5.7</v>
    </nc>
  </rcc>
  <rcc rId="1630" ua="false" sId="18">
    <oc r="F5" t="n">
      <v>0.3</v>
    </oc>
    <nc r="F5" t="n">
      <v>0.2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>
  <rcc rId="1631" ua="false" sId="18">
    <oc r="K5" t="n">
      <v>-0.5</v>
    </oc>
    <nc r="K5" t="n">
      <v>-0.7</v>
    </nc>
  </rcc>
</revisions>
</file>

<file path=xl/revisions/revisionLog150.xml><?xml version="1.0" encoding="utf-8"?>
<revisions xmlns="http://schemas.openxmlformats.org/spreadsheetml/2006/main" xmlns:r="http://schemas.openxmlformats.org/officeDocument/2006/relationships">
  <rcc rId="1632" ua="false" sId="18">
    <oc r="G3" t="n">
      <v>7.1</v>
    </oc>
    <nc r="G3" t="n">
      <v>7.05</v>
    </nc>
  </rcc>
  <rcc rId="1633" ua="false" sId="18">
    <oc r="G2" t="n">
      <v>6.05</v>
    </oc>
    <nc r="G2" t="n">
      <v>6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>
  <rcc rId="1634" ua="false" sId="18">
    <oc r="F2" t="n">
      <v>5.7</v>
    </oc>
    <nc r="F2" t="n">
      <v>5.8</v>
    </nc>
  </rcc>
</revisions>
</file>

<file path=xl/revisions/revisionLog152.xml><?xml version="1.0" encoding="utf-8"?>
<revisions xmlns="http://schemas.openxmlformats.org/spreadsheetml/2006/main" xmlns:r="http://schemas.openxmlformats.org/officeDocument/2006/relationships">
  <rcc rId="1635" ua="false" sId="18">
    <oc r="H3" t="n">
      <v>10.84</v>
    </oc>
    <nc r="H3" t="n">
      <v>10.85</v>
    </nc>
  </rcc>
  <rcc rId="1636" ua="false" sId="18">
    <oc r="H5" t="n">
      <v>2.2</v>
    </oc>
    <nc r="H5" t="n">
      <v>2.5</v>
    </nc>
  </rcc>
</revisions>
</file>

<file path=xl/revisions/revisionLog153.xml><?xml version="1.0" encoding="utf-8"?>
<revisions xmlns="http://schemas.openxmlformats.org/spreadsheetml/2006/main" xmlns:r="http://schemas.openxmlformats.org/officeDocument/2006/relationships">
  <rcc rId="1637" ua="false" sId="18">
    <oc r="F5" t="n">
      <v>0.4</v>
    </oc>
    <nc r="F5" t="n">
      <v>0.2</v>
    </nc>
  </rcc>
  <rcc rId="1638" ua="false" sId="18">
    <oc r="F2" t="n">
      <v>6.2</v>
    </oc>
    <nc r="F2" t="n">
      <v>6.1</v>
    </nc>
  </rcc>
</revisions>
</file>

<file path=xl/revisions/revisionLog154.xml><?xml version="1.0" encoding="utf-8"?>
<revisions xmlns="http://schemas.openxmlformats.org/spreadsheetml/2006/main" xmlns:r="http://schemas.openxmlformats.org/officeDocument/2006/relationships">
  <rcc rId="1639" ua="false" sId="18">
    <oc r="B2" t="n">
      <v>5.35</v>
    </oc>
    <nc r="B2" t="n">
      <v>5.3</v>
    </nc>
  </rcc>
</revisions>
</file>

<file path=xl/revisions/revisionLog155.xml><?xml version="1.0" encoding="utf-8"?>
<revisions xmlns="http://schemas.openxmlformats.org/spreadsheetml/2006/main" xmlns:r="http://schemas.openxmlformats.org/officeDocument/2006/relationships">
  <rcc rId="1640" ua="false" sId="18">
    <oc r="I2" t="n">
      <v>9.25</v>
    </oc>
    <nc r="I2" t="n">
      <v>9.27</v>
    </nc>
  </rcc>
</revisions>
</file>

<file path=xl/revisions/revisionLog156.xml><?xml version="1.0" encoding="utf-8"?>
<revisions xmlns="http://schemas.openxmlformats.org/spreadsheetml/2006/main" xmlns:r="http://schemas.openxmlformats.org/officeDocument/2006/relationships">
  <rcc rId="1641" ua="false" sId="18">
    <oc r="F5" t="n">
      <v>2</v>
    </oc>
    <nc r="F5" t="n">
      <v>1.6</v>
    </nc>
  </rcc>
  <rcc rId="1642" ua="false" sId="18">
    <oc r="F2" t="n">
      <v>6.9</v>
    </oc>
    <nc r="F2" t="n">
      <v>6.8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>
  <rcc rId="1643" ua="false" sId="19">
    <nc r="A45" t="n">
      <v>44257</v>
    </nc>
  </rcc>
  <rcc rId="1644" ua="false" sId="19">
    <nc r="B45" t="n">
      <v>82223</v>
    </nc>
  </rcc>
  <rcc rId="1645" ua="false" sId="19">
    <nc r="C45" t="n">
      <f>C44+B45</f>
    </nc>
  </rcc>
</revisions>
</file>

<file path=xl/revisions/revisionLog158.xml><?xml version="1.0" encoding="utf-8"?>
<revisions xmlns="http://schemas.openxmlformats.org/spreadsheetml/2006/main" xmlns:r="http://schemas.openxmlformats.org/officeDocument/2006/relationships">
  <rcc rId="1646" ua="false" sId="18">
    <oc r="B2" t="n">
      <v>5.25</v>
    </oc>
    <nc r="B2" t="n">
      <v>5.3</v>
    </nc>
  </rcc>
  <rcc rId="1647" ua="false" sId="16">
    <oc r="C2" t="n">
      <v>0.1825</v>
    </oc>
    <nc r="C2" t="n">
      <v>0.18</v>
    </nc>
  </rcc>
  <rcc rId="1648" ua="false" sId="16">
    <oc r="D2" t="n">
      <v>0.3775</v>
    </oc>
    <nc r="D2" t="n">
      <v>0.45</v>
    </nc>
  </rcc>
  <rcc rId="1649" ua="false" sId="16">
    <oc r="C3" t="n">
      <v>0.185</v>
    </oc>
    <nc r="C3" t="n">
      <v>0.1875</v>
    </nc>
  </rcc>
  <rcc rId="1650" ua="false" sId="16">
    <oc r="D3" t="n">
      <v>0.4475</v>
    </oc>
    <nc r="D3" t="n">
      <v>0.4775</v>
    </nc>
  </rcc>
  <rcc rId="1651" ua="false" sId="16">
    <oc r="C4" t="n">
      <v>0.2</v>
    </oc>
    <nc r="C4" t="n">
      <v>0.195</v>
    </nc>
  </rcc>
  <rcc rId="1652" ua="false" sId="16">
    <oc r="D4" t="n">
      <v>0.55</v>
    </oc>
    <nc r="D4" t="n">
      <v>0.56</v>
    </nc>
  </rcc>
  <rcc rId="1653" ua="false" sId="16">
    <oc r="C5" t="n">
      <v>0.2225</v>
    </oc>
    <nc r="C5" t="n">
      <v>0.2125</v>
    </nc>
  </rcc>
  <rcc rId="1654" ua="false" sId="16">
    <oc r="D5" t="n">
      <v>0.665</v>
    </oc>
    <nc r="D5" t="n">
      <v>0.685</v>
    </nc>
  </rcc>
  <rcc rId="1655" ua="false" sId="16">
    <oc r="D6" t="n">
      <v>0.73</v>
    </oc>
    <nc r="D6" t="n">
      <v>0.77</v>
    </nc>
  </rcc>
  <rcc rId="1656" ua="false" sId="16">
    <oc r="C7" t="n">
      <v>0.2875</v>
    </oc>
    <nc r="C7" t="n">
      <v>0.285</v>
    </nc>
  </rcc>
  <rcc rId="1657" ua="false" sId="16">
    <oc r="D7" t="n">
      <v>0.96</v>
    </oc>
    <nc r="D7" t="n">
      <v>0.9775</v>
    </nc>
  </rcc>
  <rcc rId="1658" ua="false" sId="16">
    <oc r="C8" t="n">
      <v>0.31</v>
    </oc>
    <nc r="C8" t="n">
      <v>0.3125</v>
    </nc>
  </rcc>
  <rcc rId="1659" ua="false" sId="16">
    <oc r="D8" t="n">
      <v>1.105</v>
    </oc>
    <nc r="D8" t="n">
      <v>1.1275</v>
    </nc>
  </rcc>
  <rcc rId="1660" ua="false" sId="16">
    <oc r="D9" t="n">
      <v>1.225</v>
    </oc>
    <nc r="D9" t="n">
      <v>1.24</v>
    </nc>
  </rcc>
  <rcc rId="1661" ua="false" sId="16">
    <oc r="C10" t="n">
      <v>0.35</v>
    </oc>
    <nc r="C10" t="n">
      <v>0.36</v>
    </nc>
  </rcc>
  <rcc rId="1662" ua="false" sId="16">
    <oc r="D10" t="n">
      <v>1.2775</v>
    </oc>
    <nc r="D10" t="n">
      <v>1.325</v>
    </nc>
  </rcc>
</revisions>
</file>

<file path=xl/revisions/revisionLog159.xml><?xml version="1.0" encoding="utf-8"?>
<revisions xmlns="http://schemas.openxmlformats.org/spreadsheetml/2006/main" xmlns:r="http://schemas.openxmlformats.org/officeDocument/2006/relationships">
  <rcc rId="1663" ua="false" sId="18">
    <oc r="H2" t="n">
      <v>11</v>
    </oc>
    <nc r="H2" t="n">
      <v>10.9</v>
    </nc>
  </rcc>
  <rcc rId="1664" ua="false" sId="18">
    <oc r="H3" t="n">
      <v>10.95</v>
    </oc>
    <nc r="H3" t="n">
      <v>10.85</v>
    </nc>
  </rcc>
  <rcc rId="1665" ua="false" sId="18">
    <oc r="H5" t="n">
      <v>2</v>
    </oc>
    <nc r="H5" t="n">
      <v>1.8</v>
    </nc>
  </rcc>
</revisions>
</file>

<file path=xl/revisions/revisionLog160.xml><?xml version="1.0" encoding="utf-8"?>
<revisions xmlns="http://schemas.openxmlformats.org/spreadsheetml/2006/main" xmlns:r="http://schemas.openxmlformats.org/officeDocument/2006/relationships">
  <rcc rId="1666" ua="false" sId="18">
    <oc r="F2" t="n">
      <v>5.8</v>
    </oc>
    <nc r="F2" t="n">
      <v>5.85</v>
    </nc>
  </rcc>
</revisions>
</file>

<file path=xl/revisions/revisionLog161.xml><?xml version="1.0" encoding="utf-8"?>
<revisions xmlns="http://schemas.openxmlformats.org/spreadsheetml/2006/main" xmlns:r="http://schemas.openxmlformats.org/officeDocument/2006/relationships">
  <rcc rId="1667" ua="false" sId="18">
    <oc r="F2" t="n">
      <v>5.85</v>
    </oc>
    <nc r="F2" t="n">
      <v>5.9</v>
    </nc>
  </rcc>
</revisions>
</file>

<file path=xl/revisions/revisionLog162.xml><?xml version="1.0" encoding="utf-8"?>
<revisions xmlns="http://schemas.openxmlformats.org/spreadsheetml/2006/main" xmlns:r="http://schemas.openxmlformats.org/officeDocument/2006/relationships">
  <rcc rId="1668" ua="false" sId="18">
    <oc r="H2" t="n">
      <v>10.4</v>
    </oc>
    <nc r="H2" t="n">
      <v>11.7</v>
    </nc>
  </rcc>
  <rcc rId="1669" ua="false" sId="18">
    <oc r="H3" t="n">
      <v>10.55</v>
    </oc>
    <nc r="H3" t="n">
      <v>11.3</v>
    </nc>
  </rcc>
  <rcc rId="1670" ua="false" sId="18">
    <oc r="H5" t="n">
      <v>1.1</v>
    </oc>
    <nc r="H5" t="n">
      <v>3.2</v>
    </nc>
  </rcc>
  <rcc rId="1671" ua="false" sId="18">
    <oc r="H3" t="n">
      <v>11.3</v>
    </oc>
    <nc r="H3" t="n">
      <v>11.2</v>
    </nc>
  </rcc>
  <rcc rId="1672" ua="false" sId="18">
    <oc r="H5" t="n">
      <v>3.2</v>
    </oc>
    <nc r="H5" t="n">
      <v>4</v>
    </nc>
  </rcc>
  <rcc rId="1673" ua="false" sId="18">
    <oc r="H2" t="n">
      <v>11.7</v>
    </oc>
    <nc r="H2" t="n">
      <v>11.4</v>
    </nc>
  </rcc>
</revisions>
</file>

<file path=xl/revisions/revisionLog163.xml><?xml version="1.0" encoding="utf-8"?>
<revisions xmlns="http://schemas.openxmlformats.org/spreadsheetml/2006/main" xmlns:r="http://schemas.openxmlformats.org/officeDocument/2006/relationships">
  <rcc rId="1674" ua="false" sId="18">
    <oc r="I5" t="n">
      <v>1.05</v>
    </oc>
    <nc r="I5" t="n">
      <v>0.5</v>
    </nc>
  </rcc>
  <rcc rId="1675" ua="false" sId="18">
    <oc r="I2" t="n">
      <v>6.85</v>
    </oc>
    <nc r="I2" t="n">
      <v>6.95</v>
    </nc>
  </rcc>
  <rcc rId="1676" ua="false" sId="18">
    <oc r="I3" t="n">
      <v>8.8</v>
    </oc>
    <nc r="I3" t="n">
      <v>8.7</v>
    </nc>
  </rcc>
</revisions>
</file>

<file path=xl/revisions/revisionLog164.xml><?xml version="1.0" encoding="utf-8"?>
<revisions xmlns="http://schemas.openxmlformats.org/spreadsheetml/2006/main" xmlns:r="http://schemas.openxmlformats.org/officeDocument/2006/relationships">
  <rcc rId="1677" ua="false" sId="18">
    <oc r="B5" t="n">
      <v>0.2</v>
    </oc>
    <nc r="B5" t="n">
      <v>0.35</v>
    </nc>
  </rcc>
</revisions>
</file>

<file path=xl/revisions/revisionLog165.xml><?xml version="1.0" encoding="utf-8"?>
<revisions xmlns="http://schemas.openxmlformats.org/spreadsheetml/2006/main" xmlns:r="http://schemas.openxmlformats.org/officeDocument/2006/relationships">
  <rcc rId="1678" ua="false" sId="18">
    <oc r="K5" t="n">
      <v>-0.7</v>
    </oc>
    <nc r="K5" t="n">
      <v>-0.9</v>
    </nc>
  </rcc>
</revisions>
</file>

<file path=xl/revisions/revisionLog166.xml><?xml version="1.0" encoding="utf-8"?>
<revisions xmlns="http://schemas.openxmlformats.org/spreadsheetml/2006/main" xmlns:r="http://schemas.openxmlformats.org/officeDocument/2006/relationships">
  <rcc rId="1679" ua="false" sId="18">
    <oc r="I5" t="n">
      <v>1.2</v>
    </oc>
    <nc r="I5" t="n">
      <v>0.8</v>
    </nc>
  </rcc>
  <rcc rId="1680" ua="false" sId="18">
    <oc r="I13" t="n">
      <v>3</v>
    </oc>
    <nc r="I13" t="n">
      <v>4</v>
    </nc>
  </rcc>
</revisions>
</file>

<file path=xl/revisions/revisionLog167.xml><?xml version="1.0" encoding="utf-8"?>
<revisions xmlns="http://schemas.openxmlformats.org/spreadsheetml/2006/main" xmlns:r="http://schemas.openxmlformats.org/officeDocument/2006/relationships">
  <rcc rId="1681" ua="false" sId="18">
    <oc r="N2" t="n">
      <v>0.53</v>
    </oc>
    <nc r="N2" t="n">
      <v>0.56</v>
    </nc>
  </rcc>
  <rcc rId="1682" ua="false" sId="18">
    <oc r="N3" t="n">
      <v>0.52</v>
    </oc>
    <nc r="N3" t="n">
      <v>0.53</v>
    </nc>
  </rcc>
  <rcc rId="1683" ua="false" sId="18">
    <oc r="N5" t="n">
      <v>0.2</v>
    </oc>
    <nc r="N5" t="n">
      <v>0</v>
    </nc>
  </rcc>
</revisions>
</file>

<file path=xl/revisions/revisionLog168.xml><?xml version="1.0" encoding="utf-8"?>
<revisions xmlns="http://schemas.openxmlformats.org/spreadsheetml/2006/main" xmlns:r="http://schemas.openxmlformats.org/officeDocument/2006/relationships">
  <rcc rId="1684" ua="false" sId="18">
    <oc r="B2" t="n">
      <v>5.1</v>
    </oc>
    <nc r="B2" t="n">
      <v>5.2</v>
    </nc>
  </rcc>
</revisions>
</file>

<file path=xl/revisions/revisionLog169.xml><?xml version="1.0" encoding="utf-8"?>
<revisions xmlns="http://schemas.openxmlformats.org/spreadsheetml/2006/main" xmlns:r="http://schemas.openxmlformats.org/officeDocument/2006/relationships">
  <rcc rId="1685" ua="false" sId="18">
    <oc r="H2" t="n">
      <v>11.55</v>
    </oc>
    <nc r="H2" t="n">
      <v>11.35</v>
    </nc>
  </rcc>
  <rcc rId="1686" ua="false" sId="18">
    <oc r="H3" t="n">
      <v>11.2</v>
    </oc>
    <nc r="H3" t="n">
      <v>11.1</v>
    </nc>
  </rcc>
  <rcc rId="1687" ua="false" sId="18">
    <oc r="H5" t="n">
      <v>4.9</v>
    </oc>
    <nc r="H5" t="n">
      <v>4.3</v>
    </nc>
  </rcc>
</revisions>
</file>

<file path=xl/revisions/revisionLog170.xml><?xml version="1.0" encoding="utf-8"?>
<revisions xmlns="http://schemas.openxmlformats.org/spreadsheetml/2006/main" xmlns:r="http://schemas.openxmlformats.org/officeDocument/2006/relationships">
  <rcc rId="1688" ua="false" sId="18">
    <oc r="I3" t="n">
      <v>9.3</v>
    </oc>
    <nc r="I3" t="n">
      <v>9.4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>
  <rcc rId="1689" ua="false" sId="18">
    <oc r="B3" t="n">
      <v>6.75</v>
    </oc>
    <nc r="B3" t="n">
      <v>5.7</v>
    </nc>
  </rcc>
  <rcc rId="1690" ua="false" sId="18">
    <oc r="B2" t="n">
      <v>5.3</v>
    </oc>
    <nc r="B2" t="n">
      <v>5.25</v>
    </nc>
  </rcc>
  <rcc rId="1691" ua="false" sId="18">
    <oc r="B3" t="n">
      <v>5.7</v>
    </oc>
    <nc r="B3" t="n">
      <v>6.7</v>
    </nc>
  </rcc>
  <rcc rId="1692" ua="false" sId="16">
    <oc r="D2" t="n">
      <v>0.45</v>
    </oc>
    <nc r="D2" t="n">
      <v>0.43</v>
    </nc>
  </rcc>
  <rcc rId="1693" ua="false" sId="16">
    <oc r="C3" t="n">
      <v>0.1875</v>
    </oc>
    <nc r="C3" t="n">
      <v>0.185</v>
    </nc>
  </rcc>
  <rcc rId="1694" ua="false" sId="16">
    <oc r="D3" t="n">
      <v>0.4775</v>
    </oc>
    <nc r="D3" t="n">
      <v>0.48</v>
    </nc>
  </rcc>
  <rcc rId="1695" ua="false" sId="16">
    <oc r="D5" t="n">
      <v>0.685</v>
    </oc>
    <nc r="D5" t="n">
      <v>0.6825</v>
    </nc>
  </rcc>
  <rcc rId="1696" ua="false" sId="16">
    <oc r="C7" t="n">
      <v>0.285</v>
    </oc>
    <nc r="C7" t="n">
      <v>0.28</v>
    </nc>
  </rcc>
  <rcc rId="1697" ua="false" sId="16">
    <oc r="D7" t="n">
      <v>0.9775</v>
    </oc>
    <nc r="D7" t="n">
      <v>0.965</v>
    </nc>
  </rcc>
  <rcc rId="1698" ua="false" sId="16">
    <oc r="C8" t="n">
      <v>0.3125</v>
    </oc>
    <nc r="C8" t="n">
      <v>0.31</v>
    </nc>
  </rcc>
  <rcc rId="1699" ua="false" sId="16">
    <oc r="D8" t="n">
      <v>1.1275</v>
    </oc>
    <nc r="D8" t="n">
      <v>1.12</v>
    </nc>
  </rcc>
  <rcc rId="1700" ua="false" sId="16">
    <oc r="C9" t="n">
      <v>0.335</v>
    </oc>
    <nc r="C9" t="n">
      <v>0.33</v>
    </nc>
  </rcc>
  <rcc rId="1701" ua="false" sId="16">
    <oc r="D9" t="n">
      <v>1.24</v>
    </oc>
    <nc r="D9" t="n">
      <v>1.235</v>
    </nc>
  </rcc>
  <rcc rId="1702" ua="false" sId="16">
    <oc r="C10" t="n">
      <v>0.36</v>
    </oc>
    <nc r="C10" t="n">
      <v>0.355</v>
    </nc>
  </rcc>
  <rcc rId="1703" ua="false" sId="16">
    <oc r="D10" t="n">
      <v>1.325</v>
    </oc>
    <nc r="D10" t="n">
      <v>1.31</v>
    </nc>
  </rcc>
</revisions>
</file>

<file path=xl/revisions/revisionLog172.xml><?xml version="1.0" encoding="utf-8"?>
<revisions xmlns="http://schemas.openxmlformats.org/spreadsheetml/2006/main" xmlns:r="http://schemas.openxmlformats.org/officeDocument/2006/relationships">
  <rcc rId="1704" ua="false" sId="18">
    <oc r="H2" t="n">
      <v>10</v>
    </oc>
    <nc r="H2" t="n">
      <v>10.2</v>
    </nc>
  </rcc>
  <rcc rId="1705" ua="false" sId="18">
    <oc r="H3" t="n">
      <v>10.2</v>
    </oc>
    <nc r="H3" t="n">
      <v>10.3</v>
    </nc>
  </rcc>
</revisions>
</file>

<file path=xl/revisions/revisionLog173.xml><?xml version="1.0" encoding="utf-8"?>
<revisions xmlns="http://schemas.openxmlformats.org/spreadsheetml/2006/main" xmlns:r="http://schemas.openxmlformats.org/officeDocument/2006/relationships">
  <rcc rId="1706" ua="false" sId="18">
    <oc r="B2" t="n">
      <v>5.25</v>
    </oc>
    <nc r="B2" t="n">
      <v>5.2</v>
    </nc>
  </rcc>
  <rcc rId="1707" ua="false" sId="18">
    <oc r="B3" t="n">
      <v>6.7</v>
    </oc>
    <nc r="B3" t="n">
      <v>6.65</v>
    </nc>
  </rcc>
</revisions>
</file>

<file path=xl/revisions/revisionLog174.xml><?xml version="1.0" encoding="utf-8"?>
<revisions xmlns="http://schemas.openxmlformats.org/spreadsheetml/2006/main" xmlns:r="http://schemas.openxmlformats.org/officeDocument/2006/relationships">
  <rcc rId="1708" ua="false" sId="19">
    <nc r="A24" t="n">
      <v>44246</v>
    </nc>
  </rcc>
  <rcc rId="1709" ua="false" sId="19">
    <nc r="B24" t="n">
      <v>547551</v>
    </nc>
  </rcc>
  <rcc rId="1710" ua="false" sId="19">
    <nc r="C24" t="n">
      <f>C23+B24</f>
    </nc>
  </rcc>
</revisions>
</file>

<file path=xl/revisions/revisionLog175.xml><?xml version="1.0" encoding="utf-8"?>
<revisions xmlns="http://schemas.openxmlformats.org/spreadsheetml/2006/main" xmlns:r="http://schemas.openxmlformats.org/officeDocument/2006/relationships">
  <rcc rId="1711" ua="false" sId="2">
    <oc r="C2" t="n">
      <v>0.2275</v>
    </oc>
    <nc r="C2" t="n">
      <v>0.23</v>
    </nc>
  </rcc>
  <rcc rId="1712" ua="false" sId="2">
    <oc r="D2" t="n">
      <v>-0.705</v>
    </oc>
    <nc r="D2" t="n">
      <v>-0.6075</v>
    </nc>
  </rcc>
  <rcc rId="1713" ua="false" sId="2">
    <oc r="D3" t="n">
      <v>-0.85</v>
    </oc>
    <nc r="D3" t="n">
      <v>-0.7525</v>
    </nc>
  </rcc>
  <rcc rId="1714" ua="false" sId="2">
    <oc r="C4" t="n">
      <v>0.2675</v>
    </oc>
    <nc r="C4" t="n">
      <v>0.2625</v>
    </nc>
  </rcc>
  <rcc rId="1715" ua="false" sId="2">
    <oc r="D4" t="n">
      <v>-0.95</v>
    </oc>
    <nc r="D4" t="n">
      <v>-0.7975</v>
    </nc>
  </rcc>
  <rcc rId="1716" ua="false" sId="2">
    <oc r="C5" t="n">
      <v>0.29</v>
    </oc>
    <nc r="C5" t="n">
      <v>0.285</v>
    </nc>
  </rcc>
  <rcc rId="1717" ua="false" sId="2">
    <oc r="D5" t="n">
      <v>-0.965</v>
    </oc>
    <nc r="D5" t="n">
      <v>-0.8675</v>
    </nc>
  </rcc>
  <rcc rId="1718" ua="false" sId="2">
    <oc r="D6" t="n">
      <v>-1.1275</v>
    </oc>
    <nc r="D6" t="n">
      <v>-1.035</v>
    </nc>
  </rcc>
  <rcc rId="1719" ua="false" sId="2">
    <oc r="D7" t="n">
      <v>-1.2275</v>
    </oc>
    <nc r="D7" t="n">
      <v>-1.1875</v>
    </nc>
  </rcc>
  <rcc rId="1720" ua="false" sId="2">
    <oc r="C8" t="n">
      <v>0.3775</v>
    </oc>
    <nc r="C8" t="n">
      <v>0.375</v>
    </nc>
  </rcc>
  <rcc rId="1721" ua="false" sId="2">
    <oc r="D8" t="n">
      <v>-1.35</v>
    </oc>
    <nc r="D8" t="n">
      <v>-1.3275</v>
    </nc>
  </rcc>
  <rcc rId="1722" ua="false" sId="2">
    <oc r="C9" t="n">
      <v>0.405</v>
    </oc>
    <nc r="C9" t="n">
      <v>0.4</v>
    </nc>
  </rcc>
  <rcc rId="1723" ua="false" sId="2">
    <oc r="D9" t="n">
      <v>-1.42</v>
    </oc>
    <nc r="D9" t="n">
      <v>-1.41</v>
    </nc>
  </rcc>
  <rcc rId="1724" ua="false" sId="2">
    <oc r="C10" t="n">
      <v>0.4225</v>
    </oc>
    <nc r="C10" t="n">
      <v>0.43</v>
    </nc>
  </rcc>
  <rcc rId="1725" ua="false" sId="2">
    <oc r="D10" t="n">
      <v>-1.4725</v>
    </oc>
    <nc r="D10" t="n">
      <v>-1.495</v>
    </nc>
  </rcc>
  <rcc rId="1726" ua="false" sId="2">
    <oc r="D11" t="n">
      <v>-1.5625</v>
    </oc>
    <nc r="D11" t="n">
      <v>-1.605</v>
    </nc>
  </rcc>
  <rcc rId="1727" ua="false" sId="3">
    <oc r="C2" t="n">
      <v>0.1775</v>
    </oc>
    <nc r="C2" t="n">
      <v>0.18</v>
    </nc>
  </rcc>
  <rcc rId="1728" ua="false" sId="3">
    <oc r="D2" t="n">
      <v>-0.3075</v>
    </oc>
    <nc r="D2" t="n">
      <v>-0.135</v>
    </nc>
  </rcc>
  <rcc rId="1729" ua="false" sId="3">
    <oc r="C3" t="n">
      <v>0.1825</v>
    </oc>
    <nc r="C3" t="n">
      <v>0.185</v>
    </nc>
  </rcc>
  <rcc rId="1730" ua="false" sId="3">
    <oc r="D3" t="n">
      <v>-0.3</v>
    </oc>
    <nc r="D3" t="n">
      <v>-0.1775</v>
    </nc>
  </rcc>
  <rcc rId="1731" ua="false" sId="3">
    <oc r="D4" t="n">
      <v>-0.445</v>
    </oc>
    <nc r="D4" t="n">
      <v>-0.3</v>
    </nc>
  </rcc>
  <rcc rId="1732" ua="false" sId="3">
    <oc r="C5" t="n">
      <v>0.2</v>
    </oc>
    <nc r="C5" t="n">
      <v>0.205</v>
    </nc>
  </rcc>
  <rcc rId="1733" ua="false" sId="3">
    <oc r="D5" t="n">
      <v>-0.465</v>
    </oc>
    <nc r="D5" t="n">
      <v>-0.385</v>
    </nc>
  </rcc>
  <rcc rId="1734" ua="false" sId="3">
    <oc r="C6" t="n">
      <v>0.2375</v>
    </oc>
    <nc r="C6" t="n">
      <v>0.2475</v>
    </nc>
  </rcc>
  <rcc rId="1735" ua="false" sId="3">
    <oc r="D6" t="n">
      <v>-0.5675</v>
    </oc>
    <nc r="D6" t="n">
      <v>-0.5175</v>
    </nc>
  </rcc>
  <rcc rId="1736" ua="false" sId="3">
    <oc r="C7" t="n">
      <v>0.2725</v>
    </oc>
    <nc r="C7" t="n">
      <v>0.29</v>
    </nc>
  </rcc>
  <rcc rId="1737" ua="false" sId="3">
    <oc r="D7" t="n">
      <v>-0.685</v>
    </oc>
    <nc r="D7" t="n">
      <v>-0.66</v>
    </nc>
  </rcc>
  <rcc rId="1738" ua="false" sId="3">
    <oc r="C8" t="n">
      <v>0.34</v>
    </oc>
    <nc r="C8" t="n">
      <v>0.365</v>
    </nc>
  </rcc>
  <rcc rId="1739" ua="false" sId="3">
    <oc r="D8" t="n">
      <v>-0.8425</v>
    </oc>
    <nc r="D8" t="n">
      <v>-0.81</v>
    </nc>
  </rcc>
  <rcc rId="1740" ua="false" sId="3">
    <oc r="C9" t="n">
      <v>0.38</v>
    </oc>
    <nc r="C9" t="n">
      <v>0.4075</v>
    </nc>
  </rcc>
  <rcc rId="1741" ua="false" sId="3">
    <oc r="D9" t="n">
      <v>-0.9125</v>
    </oc>
    <nc r="D9" t="n">
      <v>-0.875</v>
    </nc>
  </rcc>
  <rcc rId="1742" ua="false" sId="3">
    <oc r="C10" t="n">
      <v>0.4</v>
    </oc>
    <nc r="C10" t="n">
      <v>0.43</v>
    </nc>
  </rcc>
  <rcc rId="1743" ua="false" sId="3">
    <oc r="D10" t="n">
      <v>-0.96</v>
    </oc>
    <nc r="D10" t="n">
      <v>-0.93</v>
    </nc>
  </rcc>
  <rcc rId="1744" ua="false" sId="3">
    <oc r="C11" t="n">
      <v>0.415</v>
    </oc>
    <nc r="C11" t="n">
      <v>0.4475</v>
    </nc>
  </rcc>
  <rcc rId="1745" ua="false" sId="4">
    <oc r="C2" t="n">
      <v>0.1725</v>
    </oc>
    <nc r="C2" t="n">
      <v>0.17</v>
    </nc>
  </rcc>
  <rcc rId="1746" ua="false" sId="4">
    <oc r="D2" t="n">
      <v>0.3375</v>
    </oc>
    <nc r="D2" t="n">
      <v>0.32</v>
    </nc>
  </rcc>
  <rcc rId="1747" ua="false" sId="4">
    <oc r="C3" t="n">
      <v>0.18</v>
    </oc>
    <nc r="C3" t="n">
      <v>0.175</v>
    </nc>
  </rcc>
  <rcc rId="1748" ua="false" sId="4">
    <oc r="D3" t="n">
      <v>0.37</v>
    </oc>
    <nc r="D3" t="n">
      <v>0.3375</v>
    </nc>
  </rcc>
  <rcc rId="1749" ua="false" sId="4">
    <oc r="C4" t="n">
      <v>0.1875</v>
    </oc>
    <nc r="C4" t="n">
      <v>0.1825</v>
    </nc>
  </rcc>
  <rcc rId="1750" ua="false" sId="4">
    <oc r="D4" t="n">
      <v>0.37</v>
    </oc>
    <nc r="D4" t="n">
      <v>0.3425</v>
    </nc>
  </rcc>
  <rcc rId="1751" ua="false" sId="4">
    <oc r="C5" t="n">
      <v>0.195</v>
    </oc>
    <nc r="C5" t="n">
      <v>0.19</v>
    </nc>
  </rcc>
  <rcc rId="1752" ua="false" sId="4">
    <oc r="D5" t="n">
      <v>0.3825</v>
    </oc>
    <nc r="D5" t="n">
      <v>0.3575</v>
    </nc>
  </rcc>
  <rcc rId="1753" ua="false" sId="4">
    <oc r="C6" t="n">
      <v>0.215</v>
    </oc>
    <nc r="C6" t="n">
      <v>0.21</v>
    </nc>
  </rcc>
  <rcc rId="1754" ua="false" sId="4">
    <oc r="D6" t="n">
      <v>0.415</v>
    </oc>
    <nc r="D6" t="n">
      <v>0.3725</v>
    </nc>
  </rcc>
  <rcc rId="1755" ua="false" sId="4">
    <oc r="C7" t="n">
      <v>0.255</v>
    </oc>
    <nc r="C7" t="n">
      <v>0.2475</v>
    </nc>
  </rcc>
  <rcc rId="1756" ua="false" sId="4">
    <oc r="D7" t="n">
      <v>0.425</v>
    </oc>
    <nc r="D7" t="n">
      <v>0.39</v>
    </nc>
  </rcc>
  <rcc rId="1757" ua="false" sId="4">
    <oc r="C8" t="n">
      <v>0.3025</v>
    </oc>
    <nc r="C8" t="n">
      <v>0.2925</v>
    </nc>
  </rcc>
  <rcc rId="1758" ua="false" sId="4">
    <oc r="D8" t="n">
      <v>0.4425</v>
    </oc>
    <nc r="D8" t="n">
      <v>0.42</v>
    </nc>
  </rcc>
  <rcc rId="1759" ua="false" sId="4">
    <oc r="C9" t="n">
      <v>0.3475</v>
    </oc>
    <nc r="C9" t="n">
      <v>0.345</v>
    </nc>
  </rcc>
  <rcc rId="1760" ua="false" sId="4">
    <oc r="D9" t="n">
      <v>0.43</v>
    </oc>
    <nc r="D9" t="n">
      <v>0.415</v>
    </nc>
  </rcc>
  <rcc rId="1761" ua="false" sId="4">
    <oc r="C10" t="n">
      <v>0.365</v>
    </oc>
    <nc r="C10" t="n">
      <v>0.3525</v>
    </nc>
  </rcc>
  <rcc rId="1762" ua="false" sId="4">
    <oc r="D10" t="n">
      <v>0.4675</v>
    </oc>
    <nc r="D10" t="n">
      <v>0.465</v>
    </nc>
  </rcc>
  <rcc rId="1763" ua="false" sId="4">
    <oc r="C11" t="n">
      <v>0.4</v>
    </oc>
    <nc r="C11" t="n">
      <v>0.395</v>
    </nc>
  </rcc>
  <rcc rId="1764" ua="false" sId="5">
    <oc r="C2" t="n">
      <v>0.12</v>
    </oc>
    <nc r="C2" t="n">
      <v>0.095</v>
    </nc>
  </rcc>
  <rcc rId="1765" ua="false" sId="5">
    <oc r="D2" t="n">
      <v>0.27</v>
    </oc>
    <nc r="D2" t="n">
      <v>0.24</v>
    </nc>
  </rcc>
  <rcc rId="1766" ua="false" sId="5">
    <oc r="C3" t="n">
      <v>0.1275</v>
    </oc>
    <nc r="C3" t="n">
      <v>0.095</v>
    </nc>
  </rcc>
  <rcc rId="1767" ua="false" sId="5">
    <oc r="D3" t="n">
      <v>0.3375</v>
    </oc>
    <nc r="D3" t="n">
      <v>0.2875</v>
    </nc>
  </rcc>
  <rcc rId="1768" ua="false" sId="5">
    <oc r="C4" t="n">
      <v>0.135</v>
    </oc>
    <nc r="C4" t="n">
      <v>0.1375</v>
    </nc>
  </rcc>
  <rcc rId="1769" ua="false" sId="5">
    <oc r="D4" t="n">
      <v>0.4025</v>
    </oc>
    <nc r="D4" t="n">
      <v>0.395</v>
    </nc>
  </rcc>
  <rcc rId="1770" ua="false" sId="5">
    <oc r="C5" t="n">
      <v>0.13</v>
    </oc>
    <nc r="C5" t="n">
      <v>0.1</v>
    </nc>
  </rcc>
  <rcc rId="1771" ua="false" sId="5">
    <oc r="D5" t="n">
      <v>0.415</v>
    </oc>
    <nc r="D5" t="n">
      <v>0.37</v>
    </nc>
  </rcc>
  <rcc rId="1772" ua="false" sId="5">
    <oc r="C6" t="n">
      <v>0.135</v>
    </oc>
    <nc r="C6" t="n">
      <v>0.125</v>
    </nc>
  </rcc>
  <rcc rId="1773" ua="false" sId="5">
    <oc r="D6" t="n">
      <v>0.505</v>
    </oc>
    <nc r="D6" t="n">
      <v>0.475</v>
    </nc>
  </rcc>
  <rcc rId="1774" ua="false" sId="5">
    <oc r="C7" t="n">
      <v>0.185</v>
    </oc>
    <nc r="C7" t="n">
      <v>0.14</v>
    </nc>
  </rcc>
  <rcc rId="1775" ua="false" sId="5">
    <oc r="C8" t="n">
      <v>0.2375</v>
    </oc>
    <nc r="C8" t="n">
      <v>0.185</v>
    </nc>
  </rcc>
  <rcc rId="1776" ua="false" sId="5">
    <oc r="D8" t="n">
      <v>0.7275</v>
    </oc>
    <nc r="D8" t="n">
      <v>0.73</v>
    </nc>
  </rcc>
  <rcc rId="1777" ua="false" sId="5">
    <oc r="C9" t="n">
      <v>0.2675</v>
    </oc>
    <nc r="C9" t="n">
      <v>0.22</v>
    </nc>
  </rcc>
  <rcc rId="1778" ua="false" sId="5">
    <oc r="D9" t="n">
      <v>0.7675</v>
    </oc>
    <nc r="D9" t="n">
      <v>0.765</v>
    </nc>
  </rcc>
  <rcc rId="1779" ua="false" sId="5">
    <oc r="C10" t="n">
      <v>0.2525</v>
    </oc>
    <nc r="C10" t="n">
      <v>0.2075</v>
    </nc>
  </rcc>
  <rcc rId="1780" ua="false" sId="5">
    <oc r="D10" t="n">
      <v>0.8175</v>
    </oc>
    <nc r="D10" t="n">
      <v>0.82</v>
    </nc>
  </rcc>
  <rcc rId="1781" ua="false" sId="5">
    <oc r="C11" t="n">
      <v>0.3225</v>
    </oc>
    <nc r="C11" t="n">
      <v>0.3275</v>
    </nc>
  </rcc>
  <rcc rId="1782" ua="false" sId="5">
    <oc r="D11" t="n">
      <v>0.8225</v>
    </oc>
    <nc r="D11" t="n">
      <v>0.8075</v>
    </nc>
  </rcc>
  <rcc rId="1783" ua="false" sId="11">
    <oc r="C2" t="n">
      <v>0.23</v>
    </oc>
    <nc r="C2" t="n">
      <v>0.18</v>
    </nc>
  </rcc>
  <rcc rId="1784" ua="false" sId="11">
    <oc r="D2" t="n">
      <v>-0.925</v>
    </oc>
    <nc r="D2" t="n">
      <v>-0.8725</v>
    </nc>
  </rcc>
  <rcc rId="1785" ua="false" sId="11">
    <oc r="C3" t="n">
      <v>0.2425</v>
    </oc>
    <nc r="C3" t="n">
      <v>0.1875</v>
    </nc>
  </rcc>
  <rcc rId="1786" ua="false" sId="11">
    <oc r="D3" t="n">
      <v>-1.095</v>
    </oc>
    <nc r="D3" t="n">
      <v>-1.04</v>
    </nc>
  </rcc>
  <rcc rId="1787" ua="false" sId="11">
    <oc r="C4" t="n">
      <v>0.2875</v>
    </oc>
    <nc r="C4" t="n">
      <v>0.32</v>
    </nc>
  </rcc>
  <rcc rId="1788" ua="false" sId="11">
    <oc r="D4" t="n">
      <v>-1.12</v>
    </oc>
    <nc r="D4" t="n">
      <v>-1.07</v>
    </nc>
  </rcc>
  <rcc rId="1789" ua="false" sId="11">
    <oc r="C5" t="n">
      <v>0.2775</v>
    </oc>
    <nc r="C5" t="n">
      <v>0.22</v>
    </nc>
  </rcc>
  <rcc rId="1790" ua="false" sId="11">
    <oc r="D5" t="n">
      <v>-1.3</v>
    </oc>
    <nc r="D5" t="n">
      <v>-1.2775</v>
    </nc>
  </rcc>
  <rcc rId="1791" ua="false" sId="11">
    <oc r="C6" t="n">
      <v>0.33</v>
    </oc>
    <nc r="C6" t="n">
      <v>0.2775</v>
    </nc>
  </rcc>
  <rcc rId="1792" ua="false" sId="11">
    <oc r="D6" t="n">
      <v>-1.72</v>
    </oc>
    <nc r="D6" t="n">
      <v>-1.6875</v>
    </nc>
  </rcc>
  <rcc rId="1793" ua="false" sId="11">
    <oc r="C7" t="n">
      <v>0.365</v>
    </oc>
    <nc r="C7" t="n">
      <v>0.3175</v>
    </nc>
  </rcc>
  <rcc rId="1794" ua="false" sId="11">
    <oc r="D7" t="n">
      <v>-2.025</v>
    </oc>
    <nc r="D7" t="n">
      <v>-2.0275</v>
    </nc>
  </rcc>
  <rcc rId="1795" ua="false" sId="11">
    <oc r="C8" t="n">
      <v>0.43</v>
    </oc>
    <nc r="C8" t="n">
      <v>0.38</v>
    </nc>
  </rcc>
  <rcc rId="1796" ua="false" sId="11">
    <oc r="D8" t="n">
      <v>-2.3525</v>
    </oc>
    <nc r="D8" t="n">
      <v>-2.3575</v>
    </nc>
  </rcc>
  <rcc rId="1797" ua="false" sId="11">
    <oc r="C9" t="n">
      <v>0.4625</v>
    </oc>
    <nc r="C9" t="n">
      <v>0.425</v>
    </nc>
  </rcc>
  <rcc rId="1798" ua="false" sId="11">
    <oc r="D9" t="n">
      <v>-2.5275</v>
    </oc>
    <nc r="D9" t="n">
      <v>-2.5475</v>
    </nc>
  </rcc>
  <rcc rId="1799" ua="false" sId="11">
    <oc r="C10" t="n">
      <v>0.4825</v>
    </oc>
    <nc r="C10" t="n">
      <v>0.4575</v>
    </nc>
  </rcc>
  <rcc rId="1800" ua="false" sId="11">
    <oc r="D10" t="n">
      <v>-2.66</v>
    </oc>
    <nc r="D10" t="n">
      <v>-2.705</v>
    </nc>
  </rcc>
  <rcc rId="1801" ua="false" sId="11">
    <oc r="C11" t="n">
      <v>0.4025</v>
    </oc>
    <nc r="C11" t="n">
      <v>0.35</v>
    </nc>
  </rcc>
  <rcc rId="1802" ua="false" sId="11">
    <oc r="D11" t="n">
      <v>-2.99</v>
    </oc>
    <nc r="D11" t="n">
      <v>-3.055</v>
    </nc>
  </rcc>
  <rcc rId="1803" ua="false" sId="12">
    <oc r="C2" t="n">
      <v>0.17</v>
    </oc>
    <nc r="C2" t="n">
      <v>0.18</v>
    </nc>
  </rcc>
  <rcc rId="1804" ua="false" sId="12">
    <oc r="D2" t="n">
      <v>-0.305</v>
    </oc>
    <nc r="D2" t="n">
      <v>-0.345</v>
    </nc>
  </rcc>
  <rcc rId="1805" ua="false" sId="12">
    <oc r="C3" t="n">
      <v>0.1825</v>
    </oc>
    <nc r="C3" t="n">
      <v>0.1925</v>
    </nc>
  </rcc>
  <rcc rId="1806" ua="false" sId="12">
    <oc r="D3" t="n">
      <v>-0.3725</v>
    </oc>
    <nc r="D3" t="n">
      <v>-0.3975</v>
    </nc>
  </rcc>
  <rcc rId="1807" ua="false" sId="12">
    <oc r="C4" t="n">
      <v>0.165</v>
    </oc>
    <nc r="C4" t="n">
      <v>0.17</v>
    </nc>
  </rcc>
  <rcc rId="1808" ua="false" sId="12">
    <oc r="D4" t="n">
      <v>-0.435</v>
    </oc>
    <nc r="D4" t="n">
      <v>-0.43</v>
    </nc>
  </rcc>
  <rcc rId="1809" ua="false" sId="12">
    <oc r="C5" t="n">
      <v>0.2125</v>
    </oc>
    <nc r="C5" t="n">
      <v>0.2225</v>
    </nc>
  </rcc>
  <rcc rId="1810" ua="false" sId="12">
    <oc r="D5" t="n">
      <v>-0.4275</v>
    </oc>
    <nc r="D5" t="n">
      <v>-0.4225</v>
    </nc>
  </rcc>
  <rcc rId="1811" ua="false" sId="12">
    <oc r="C6" t="n">
      <v>0.245</v>
    </oc>
    <nc r="C6" t="n">
      <v>0.255</v>
    </nc>
  </rcc>
  <rcc rId="1812" ua="false" sId="12">
    <oc r="D6" t="n">
      <v>-0.6375</v>
    </oc>
    <nc r="D6" t="n">
      <v>-0.6125</v>
    </nc>
  </rcc>
  <rcc rId="1813" ua="false" sId="12">
    <oc r="C7" t="n">
      <v>0.27</v>
    </oc>
    <nc r="C7" t="n">
      <v>0.28</v>
    </nc>
  </rcc>
  <rcc rId="1814" ua="false" sId="12">
    <oc r="D7" t="n">
      <v>-0.8125</v>
    </oc>
    <nc r="D7" t="n">
      <v>-0.7675</v>
    </nc>
  </rcc>
  <rcc rId="1815" ua="false" sId="12">
    <oc r="C8" t="n">
      <v>0.335</v>
    </oc>
    <nc r="C8" t="n">
      <v>0.345</v>
    </nc>
  </rcc>
  <rcc rId="1816" ua="false" sId="12">
    <oc r="D8" t="n">
      <v>-1.0625</v>
    </oc>
    <nc r="D8" t="n">
      <v>-1.0175</v>
    </nc>
  </rcc>
  <rcc rId="1817" ua="false" sId="12">
    <oc r="C9" t="n">
      <v>0.375</v>
    </oc>
    <nc r="C9" t="n">
      <v>0.395</v>
    </nc>
  </rcc>
  <rcc rId="1818" ua="false" sId="12">
    <oc r="D9" t="n">
      <v>-1.1875</v>
    </oc>
    <nc r="D9" t="n">
      <v>-1.175</v>
    </nc>
  </rcc>
  <rcc rId="1819" ua="false" sId="12">
    <oc r="C10" t="n">
      <v>0.3775</v>
    </oc>
    <nc r="C10" t="n">
      <v>0.3975</v>
    </nc>
  </rcc>
  <rcc rId="1820" ua="false" sId="12">
    <oc r="D10" t="n">
      <v>-1.2575</v>
    </oc>
    <nc r="D10" t="n">
      <v>-1.2225</v>
    </nc>
  </rcc>
  <rcc rId="1821" ua="false" sId="12">
    <oc r="C11" t="n">
      <v>0.405</v>
    </oc>
    <nc r="C11" t="n">
      <v>0.435</v>
    </nc>
  </rcc>
  <rcc rId="1822" ua="false" sId="12">
    <oc r="D11" t="n">
      <v>-1.41</v>
    </oc>
    <nc r="D11" t="n">
      <v>-1.4</v>
    </nc>
  </rcc>
  <rcc rId="1823" ua="false" sId="13">
    <oc r="D2" t="n">
      <v>-0.0825</v>
    </oc>
    <nc r="D2" t="n">
      <v>-0.0225</v>
    </nc>
  </rcc>
  <rcc rId="1824" ua="false" sId="13">
    <oc r="C3" t="n">
      <v>0.1375</v>
    </oc>
    <nc r="C3" t="n">
      <v>0.14</v>
    </nc>
  </rcc>
  <rcc rId="1825" ua="false" sId="13">
    <oc r="D3" t="n">
      <v>-0.065</v>
    </oc>
    <nc r="D3" t="n">
      <v>-0.0325</v>
    </nc>
  </rcc>
  <rcc rId="1826" ua="false" sId="13">
    <oc r="C4" t="n">
      <v>0.15</v>
    </oc>
    <nc r="C4" t="n">
      <v>0.1425</v>
    </nc>
  </rcc>
  <rcc rId="1827" ua="false" sId="13">
    <oc r="D4" t="n">
      <v>-0.055</v>
    </oc>
    <nc r="D4" t="n">
      <v>-0.0225</v>
    </nc>
  </rcc>
  <rcc rId="1828" ua="false" sId="13">
    <oc r="C5" t="n">
      <v>0.1525</v>
    </oc>
    <nc r="C5" t="n">
      <v>0.1475</v>
    </nc>
  </rcc>
  <rcc rId="1829" ua="false" sId="13">
    <oc r="D5" t="n">
      <v>-0.035</v>
    </oc>
    <nc r="D5" t="n">
      <v>-0.015</v>
    </nc>
  </rcc>
  <rcc rId="1830" ua="false" sId="13">
    <oc r="D6" t="n">
      <v>0.03</v>
    </oc>
    <nc r="D6" t="n">
      <v>0.045</v>
    </nc>
  </rcc>
  <rcc rId="1831" ua="false" sId="13">
    <oc r="C7" t="n">
      <v>0.205</v>
    </oc>
    <nc r="C7" t="n">
      <v>0.2025</v>
    </nc>
  </rcc>
  <rcc rId="1832" ua="false" sId="13">
    <oc r="D7" t="n">
      <v>0.0625</v>
    </oc>
    <nc r="D7" t="n">
      <v>0.075</v>
    </nc>
  </rcc>
  <rcc rId="1833" ua="false" sId="13">
    <oc r="C8" t="n">
      <v>0.2575</v>
    </oc>
    <nc r="C8" t="n">
      <v>0.26</v>
    </nc>
  </rcc>
  <rcc rId="1834" ua="false" sId="13">
    <oc r="D9" t="n">
      <v>0.2</v>
    </oc>
    <nc r="D9" t="n">
      <v>0.205</v>
    </nc>
  </rcc>
  <rcc rId="1835" ua="false" sId="13">
    <oc r="C10" t="n">
      <v>0.32</v>
    </oc>
    <nc r="C10" t="n">
      <v>0.315</v>
    </nc>
  </rcc>
  <rcc rId="1836" ua="false" sId="13">
    <oc r="D10" t="n">
      <v>0.225</v>
    </oc>
    <nc r="D10" t="n">
      <v>0.2275</v>
    </nc>
  </rcc>
  <rcc rId="1837" ua="false" sId="13">
    <oc r="C11" t="n">
      <v>0.325</v>
    </oc>
    <nc r="C11" t="n">
      <v>0.3275</v>
    </nc>
  </rcc>
  <rcc rId="1838" ua="false" sId="13">
    <oc r="D11" t="n">
      <v>0.1475</v>
    </oc>
    <nc r="D11" t="n">
      <v>0.145</v>
    </nc>
  </rcc>
  <rcc rId="1839" ua="false" sId="14">
    <oc r="C2" t="n">
      <v>0.215</v>
    </oc>
    <nc r="C2" t="n">
      <v>0.2025</v>
    </nc>
  </rcc>
  <rcc rId="1840" ua="false" sId="14">
    <oc r="D2" t="n">
      <v>-0.7275</v>
    </oc>
    <nc r="D2" t="n">
      <v>-0.685</v>
    </nc>
  </rcc>
  <rcc rId="1841" ua="false" sId="14">
    <oc r="C3" t="n">
      <v>0.24</v>
    </oc>
    <nc r="C3" t="n">
      <v>0.225</v>
    </nc>
  </rcc>
  <rcc rId="1842" ua="false" sId="14">
    <oc r="D3" t="n">
      <v>-0.875</v>
    </oc>
    <nc r="D3" t="n">
      <v>-0.815</v>
    </nc>
  </rcc>
  <rcc rId="1843" ua="false" sId="14">
    <oc r="C4" t="n">
      <v>0.26</v>
    </oc>
    <nc r="C4" t="n">
      <v>0.265</v>
    </nc>
  </rcc>
  <rcc rId="1844" ua="false" sId="14">
    <oc r="D4" t="n">
      <v>-0.955</v>
    </oc>
    <nc r="D4" t="n">
      <v>-0.9</v>
    </nc>
  </rcc>
  <rcc rId="1845" ua="false" sId="14">
    <oc r="C5" t="n">
      <v>0.2775</v>
    </oc>
    <nc r="C5" t="n">
      <v>0.2725</v>
    </nc>
  </rcc>
  <rcc rId="1846" ua="false" sId="14">
    <oc r="D5" t="n">
      <v>-1.0775</v>
    </oc>
    <nc r="D5" t="n">
      <v>-0.9775</v>
    </nc>
  </rcc>
  <rcc rId="1847" ua="false" sId="14">
    <oc r="C6" t="n">
      <v>0.315</v>
    </oc>
    <nc r="C6" t="n">
      <v>0.32</v>
    </nc>
  </rcc>
  <rcc rId="1848" ua="false" sId="14">
    <oc r="D6" t="n">
      <v>-1.17</v>
    </oc>
    <nc r="D6" t="n">
      <v>-1.1325</v>
    </nc>
  </rcc>
  <rcc rId="1849" ua="false" sId="14">
    <oc r="C7" t="n">
      <v>0.34</v>
    </oc>
    <nc r="C7" t="n">
      <v>0.345</v>
    </nc>
  </rcc>
  <rcc rId="1850" ua="false" sId="14">
    <oc r="D7" t="n">
      <v>-1.295</v>
    </oc>
    <nc r="D7" t="n">
      <v>-1.2625</v>
    </nc>
  </rcc>
  <rcc rId="1851" ua="false" sId="14">
    <oc r="D8" t="n">
      <v>-1.41</v>
    </oc>
    <nc r="D8" t="n">
      <v>-1.4275</v>
    </nc>
  </rcc>
  <rcc rId="1852" ua="false" sId="14">
    <oc r="C9" t="n">
      <v>0.415</v>
    </oc>
    <nc r="C9" t="n">
      <v>0.41</v>
    </nc>
  </rcc>
  <rcc rId="1853" ua="false" sId="14">
    <oc r="D9" t="n">
      <v>-1.5</v>
    </oc>
    <nc r="D9" t="n">
      <v>-1.4875</v>
    </nc>
  </rcc>
  <rcc rId="1854" ua="false" sId="14">
    <oc r="C10" t="n">
      <v>0.4375</v>
    </oc>
    <nc r="C10" t="n">
      <v>0.44</v>
    </nc>
  </rcc>
  <rcc rId="1855" ua="false" sId="14">
    <oc r="D10" t="n">
      <v>-1.5525</v>
    </oc>
    <nc r="D10" t="n">
      <v>-1.5625</v>
    </nc>
  </rcc>
  <rcc rId="1856" ua="false" sId="14">
    <oc r="C11" t="n">
      <v>0.475</v>
    </oc>
    <nc r="C11" t="n">
      <v>0.4725</v>
    </nc>
  </rcc>
  <rcc rId="1857" ua="false" sId="14">
    <oc r="D11" t="n">
      <v>-1.71</v>
    </oc>
    <nc r="D11" t="n">
      <v>-1.74</v>
    </nc>
  </rcc>
  <rcc rId="1858" ua="false" sId="15">
    <oc r="C2" t="n">
      <v>0.1875</v>
    </oc>
    <nc r="C2" t="n">
      <v>0.175</v>
    </nc>
  </rcc>
  <rcc rId="1859" ua="false" sId="15">
    <oc r="D2" t="n">
      <v>0.045</v>
    </oc>
    <nc r="D2" t="n">
      <v>-0.17</v>
    </nc>
  </rcc>
  <rcc rId="1860" ua="false" sId="15">
    <oc r="C3" t="n">
      <v>0.1875</v>
    </oc>
    <nc r="C3" t="n">
      <v>0.185</v>
    </nc>
  </rcc>
  <rcc rId="1861" ua="false" sId="15">
    <oc r="D3" t="n">
      <v>0.005</v>
    </oc>
    <nc r="D3" t="n">
      <v>-0.21</v>
    </nc>
  </rcc>
  <rcc rId="1862" ua="false" sId="15">
    <oc r="C4" t="n">
      <v>0.2125</v>
    </oc>
    <nc r="C4" t="n">
      <v>0.2075</v>
    </nc>
  </rcc>
  <rcc rId="1863" ua="false" sId="15">
    <oc r="D4" t="n">
      <v>-0.1725</v>
    </oc>
    <nc r="D4" t="n">
      <v>-0.2775</v>
    </nc>
  </rcc>
  <rcc rId="1864" ua="false" sId="15">
    <oc r="C5" t="n">
      <v>0.195</v>
    </oc>
    <nc r="C5" t="n">
      <v>0.1925</v>
    </nc>
  </rcc>
  <rcc rId="1865" ua="false" sId="15">
    <oc r="D5" t="n">
      <v>-0.135</v>
    </oc>
    <nc r="D5" t="n">
      <v>-0.26</v>
    </nc>
  </rcc>
  <rcc rId="1866" ua="false" sId="15">
    <oc r="D6" t="n">
      <v>-0.3925</v>
    </oc>
    <nc r="D6" t="n">
      <v>-0.4925</v>
    </nc>
  </rcc>
  <rcc rId="1867" ua="false" sId="15">
    <oc r="D7" t="n">
      <v>-0.615</v>
    </oc>
    <nc r="D7" t="n">
      <v>-0.71</v>
    </nc>
  </rcc>
  <rcc rId="1868" ua="false" sId="15">
    <oc r="D8" t="n">
      <v>-0.955</v>
    </oc>
    <nc r="D8" t="n">
      <v>-1.05</v>
    </nc>
  </rcc>
  <rcc rId="1869" ua="false" sId="15">
    <oc r="C9" t="n">
      <v>0.3375</v>
    </oc>
    <nc r="C9" t="n">
      <v>0.34</v>
    </nc>
  </rcc>
  <rcc rId="1870" ua="false" sId="15">
    <oc r="D9" t="n">
      <v>-1.1125</v>
    </oc>
    <nc r="D9" t="n">
      <v>-1.1875</v>
    </nc>
  </rcc>
  <rcc rId="1871" ua="false" sId="15">
    <oc r="C10" t="n">
      <v>0.345</v>
    </oc>
    <nc r="C10" t="n">
      <v>0.355</v>
    </nc>
  </rcc>
  <rcc rId="1872" ua="false" sId="15">
    <oc r="D10" t="n">
      <v>-1.2175</v>
    </oc>
    <nc r="D10" t="n">
      <v>-1.2725</v>
    </nc>
  </rcc>
  <rcc rId="1873" ua="false" sId="15">
    <oc r="C11" t="n">
      <v>0.38</v>
    </oc>
    <nc r="C11" t="n">
      <v>0.385</v>
    </nc>
  </rcc>
  <rcc rId="1874" ua="false" sId="15">
    <oc r="D11" t="n">
      <v>-1.48</v>
    </oc>
    <nc r="D11" t="n">
      <v>-1.535</v>
    </nc>
  </rcc>
</revisions>
</file>

<file path=xl/revisions/revisionLog176.xml><?xml version="1.0" encoding="utf-8"?>
<revisions xmlns="http://schemas.openxmlformats.org/spreadsheetml/2006/main" xmlns:r="http://schemas.openxmlformats.org/officeDocument/2006/relationships">
  <rcc rId="1875" ua="false" sId="18">
    <oc r="I5" t="n">
      <v>0.4</v>
    </oc>
    <nc r="I5" t="n">
      <v>0.5</v>
    </nc>
  </rcc>
</revisions>
</file>

<file path=xl/revisions/revisionLog177.xml><?xml version="1.0" encoding="utf-8"?>
<revisions xmlns="http://schemas.openxmlformats.org/spreadsheetml/2006/main" xmlns:r="http://schemas.openxmlformats.org/officeDocument/2006/relationships">
  <rcc rId="1876" ua="false" sId="18">
    <oc r="G3" t="n">
      <v>7.1</v>
    </oc>
    <nc r="G3" t="n">
      <v>7.15</v>
    </nc>
  </rcc>
  <rcc rId="1877" ua="false" sId="18">
    <oc r="G2" t="n">
      <v>6.25</v>
    </oc>
    <nc r="G2" t="n">
      <v>6.3</v>
    </nc>
  </rcc>
  <rcc rId="1878" ua="false" sId="18">
    <oc r="G5" t="n">
      <v>3</v>
    </oc>
    <nc r="G5" t="n">
      <v>2.7</v>
    </nc>
  </rcc>
</revisions>
</file>

<file path=xl/revisions/revisionLog178.xml><?xml version="1.0" encoding="utf-8"?>
<revisions xmlns="http://schemas.openxmlformats.org/spreadsheetml/2006/main" xmlns:r="http://schemas.openxmlformats.org/officeDocument/2006/relationships">
  <rcc rId="1879" ua="false" sId="18">
    <oc r="B2" t="n">
      <v>5.4</v>
    </oc>
    <nc r="B2" t="n">
      <v>5.35</v>
    </nc>
  </rcc>
</revisions>
</file>

<file path=xl/revisions/revisionLog179.xml><?xml version="1.0" encoding="utf-8"?>
<revisions xmlns="http://schemas.openxmlformats.org/spreadsheetml/2006/main" xmlns:r="http://schemas.openxmlformats.org/officeDocument/2006/relationships">
  <rcc rId="1880" ua="false" sId="19">
    <oc r="A9" t="inlineStr">
      <is>
        <r>
          <rPr>
            <sz val="11"/>
            <rFont val="Calibri"/>
            <family val="0"/>
            <charset val="1"/>
          </rPr>
          <t xml:space="preserve">06/20/2023 14:00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06/20/2023 00:00</t>
        </r>
      </is>
    </nc>
  </rcc>
</revisions>
</file>

<file path=xl/revisions/revisionLog180.xml><?xml version="1.0" encoding="utf-8"?>
<revisions xmlns="http://schemas.openxmlformats.org/spreadsheetml/2006/main" xmlns:r="http://schemas.openxmlformats.org/officeDocument/2006/relationships">
  <rcc rId="1881" ua="false" sId="18">
    <oc r="B2" t="n">
      <v>4.75</v>
    </oc>
    <nc r="B2" t="n">
      <v>4.65</v>
    </nc>
  </rcc>
</revisions>
</file>

<file path=xl/revisions/revisionLog181.xml><?xml version="1.0" encoding="utf-8"?>
<revisions xmlns="http://schemas.openxmlformats.org/spreadsheetml/2006/main" xmlns:r="http://schemas.openxmlformats.org/officeDocument/2006/relationships">
  <rcc rId="1882" ua="false" sId="19">
    <nc r="A9" t="inlineStr">
      <is>
        <r>
          <rPr>
            <sz val="11"/>
            <rFont val="Calibri"/>
            <family val="0"/>
            <charset val="1"/>
          </rPr>
          <t xml:space="preserve">03/18/2021 00:00</t>
        </r>
      </is>
    </nc>
  </rcc>
  <rcc rId="1883" ua="false" sId="19">
    <nc r="B9" t="n">
      <v>0</v>
    </nc>
  </rcc>
  <rcc rId="1884" ua="false" sId="19">
    <nc r="C9" t="n">
      <v>0</v>
    </nc>
  </rcc>
  <rcc rId="1885" ua="false" sId="19">
    <nc r="D9" t="n">
      <v>0</v>
    </nc>
  </rcc>
  <rcc rId="1886" ua="false" sId="19">
    <nc r="E9" t="n">
      <v>0</v>
    </nc>
  </rcc>
  <rcc rId="1887" ua="false" sId="19">
    <nc r="F9" t="n">
      <v>5.5</v>
    </nc>
  </rcc>
  <rcc rId="1888" ua="false" sId="19">
    <nc r="G9" t="n">
      <v>5.5</v>
    </nc>
  </rcc>
  <rcc rId="1889" ua="false" sId="19">
    <nc r="H9" t="n">
      <v>6.5</v>
    </nc>
  </rcc>
  <rcc rId="1890" ua="false" sId="19">
    <nc r="I9" t="n">
      <v>6</v>
    </nc>
  </rcc>
  <rcc rId="1891" ua="false" sId="19">
    <nc r="J9" t="n">
      <v>6.5</v>
    </nc>
  </rcc>
  <rcc rId="1892" ua="false" sId="19">
    <nc r="K9" t="n">
      <v>0</v>
    </nc>
  </rcc>
  <rcc rId="1893" ua="false" sId="19">
    <nc r="L9" t="n">
      <v>0</v>
    </nc>
  </rcc>
  <rcc rId="1894" ua="false" sId="19">
    <nc r="M9" t="n">
      <v>0</v>
    </nc>
  </rcc>
  <rcc rId="1895" ua="false" sId="19">
    <nc r="N9" t="n">
      <v>0</v>
    </nc>
  </rcc>
  <rcc rId="1896" ua="false" sId="19">
    <oc r="A9" t="inlineStr">
      <is>
        <r>
          <rPr>
            <sz val="11"/>
            <rFont val="Calibri"/>
            <family val="0"/>
            <charset val="1"/>
          </rPr>
          <t xml:space="preserve">03/18/2021 00:00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06/14/2021 00:00</t>
        </r>
      </is>
    </nc>
  </rcc>
  <rcc rId="1897" ua="false" sId="19">
    <oc r="B9" t="n">
      <v>0</v>
    </oc>
    <nc r="B9" t="n">
      <v>3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>
  <rcc rId="1898" ua="false" sId="18">
    <oc r="G2" t="n">
      <v>6.25</v>
    </oc>
    <nc r="G2" t="n">
      <v>6.15</v>
    </nc>
  </rcc>
  <rcc rId="1899" ua="false" sId="18">
    <oc r="G5" t="n">
      <v>0.8</v>
    </oc>
    <nc r="G5" t="n">
      <v>1.4</v>
    </nc>
  </rcc>
  <rcc rId="1900" ua="false" sId="18">
    <oc r="G3" t="n">
      <v>7.05</v>
    </oc>
    <nc r="G3" t="n">
      <v>7.1</v>
    </nc>
  </rcc>
</revisions>
</file>

<file path=xl/revisions/revisionLog183.xml><?xml version="1.0" encoding="utf-8"?>
<revisions xmlns="http://schemas.openxmlformats.org/spreadsheetml/2006/main" xmlns:r="http://schemas.openxmlformats.org/officeDocument/2006/relationships">
  <rcc rId="1901" ua="false" sId="18">
    <oc r="F2" t="n">
      <v>6.15</v>
    </oc>
    <nc r="F2" t="n">
      <v>6.25</v>
    </nc>
  </rcc>
  <rcc rId="1902" ua="false" sId="18">
    <oc r="F5" t="n">
      <v>0.6</v>
    </oc>
    <nc r="F5" t="n">
      <v>0.9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>
  <rcc rId="1903" ua="false" sId="18">
    <oc r="F3" t="n">
      <v>7.65</v>
    </oc>
    <nc r="F3" t="n">
      <v>7.7</v>
    </nc>
  </rcc>
  <rcc rId="1904" ua="false" sId="18">
    <oc r="F2" t="n">
      <v>6.1</v>
    </oc>
    <nc r="F2" t="n">
      <v>6.05</v>
    </nc>
  </rcc>
  <rcc rId="1905" ua="false" sId="18">
    <oc r="F6" t="n">
      <v>5.5</v>
    </oc>
    <nc r="F6" t="n">
      <v>5</v>
    </nc>
  </rcc>
</revisions>
</file>

<file path=xl/revisions/revisionLog185.xml><?xml version="1.0" encoding="utf-8"?>
<revisions xmlns="http://schemas.openxmlformats.org/spreadsheetml/2006/main" xmlns:r="http://schemas.openxmlformats.org/officeDocument/2006/relationships">
  <rcc rId="1906" ua="false" sId="18">
    <oc r="G2" t="n">
      <v>6.15</v>
    </oc>
    <nc r="G2" t="n">
      <v>6.3</v>
    </nc>
  </rcc>
  <rcc rId="1907" ua="false" sId="18">
    <oc r="G5" t="n">
      <v>0.3</v>
    </oc>
    <nc r="G5" t="n">
      <v>0.4</v>
    </nc>
  </rcc>
</revisions>
</file>

<file path=xl/revisions/revisionLog186.xml><?xml version="1.0" encoding="utf-8"?>
<revisions xmlns="http://schemas.openxmlformats.org/spreadsheetml/2006/main" xmlns:r="http://schemas.openxmlformats.org/officeDocument/2006/relationships">
  <rcc rId="1908" ua="false" sId="18">
    <oc r="G2" t="n">
      <v>6.1</v>
    </oc>
    <nc r="G2" t="n">
      <v>6.05</v>
    </nc>
  </rcc>
  <rcc rId="1909" ua="false" sId="18">
    <oc r="G5" t="n">
      <v>-0.1</v>
    </oc>
    <nc r="G5" t="n">
      <v>0</v>
    </nc>
  </rcc>
  <rcc rId="1910" ua="false" sId="18">
    <oc r="G3" t="n">
      <v>6.9</v>
    </oc>
    <nc r="G3" t="n">
      <v>6.95</v>
    </nc>
  </rcc>
</revisions>
</file>

<file path=xl/revisions/revisionLog187.xml><?xml version="1.0" encoding="utf-8"?>
<revisions xmlns="http://schemas.openxmlformats.org/spreadsheetml/2006/main" xmlns:r="http://schemas.openxmlformats.org/officeDocument/2006/relationships">
  <rcc rId="1911" ua="false" sId="18">
    <oc r="F2" t="n">
      <v>5.9</v>
    </oc>
    <nc r="F2" t="n">
      <v>5.95</v>
    </nc>
  </rcc>
  <rcc rId="1912" ua="false" sId="18">
    <oc r="F5" t="n">
      <v>0.2</v>
    </oc>
    <nc r="F5" t="n">
      <v>0.3</v>
    </nc>
  </rcc>
</revisions>
</file>

<file path=xl/revisions/revisionLog188.xml><?xml version="1.0" encoding="utf-8"?>
<revisions xmlns="http://schemas.openxmlformats.org/spreadsheetml/2006/main" xmlns:r="http://schemas.openxmlformats.org/officeDocument/2006/relationships">
  <rcc rId="1913" ua="false" sId="18">
    <oc r="H3" t="n">
      <v>10.85</v>
    </oc>
    <nc r="H3" t="n">
      <v>10.86</v>
    </nc>
  </rcc>
</revisions>
</file>

<file path=xl/revisions/revisionLog189.xml><?xml version="1.0" encoding="utf-8"?>
<revisions xmlns="http://schemas.openxmlformats.org/spreadsheetml/2006/main" xmlns:r="http://schemas.openxmlformats.org/officeDocument/2006/relationships">
  <rcc rId="1914" ua="false" sId="18">
    <oc r="F2" t="n">
      <v>5.95</v>
    </oc>
    <nc r="F2" t="n">
      <v>6</v>
    </nc>
  </rcc>
</revisions>
</file>

<file path=xl/revisions/revisionLog190.xml><?xml version="1.0" encoding="utf-8"?>
<revisions xmlns="http://schemas.openxmlformats.org/spreadsheetml/2006/main" xmlns:r="http://schemas.openxmlformats.org/officeDocument/2006/relationships">
  <rcc rId="1915" ua="false" sId="19">
    <oc r="B9" t="n">
      <v>5</v>
    </oc>
    <nc r="B9" t="n">
      <v>10</v>
    </nc>
  </rcc>
</revisions>
</file>

<file path=xl/revisions/revisionLog191.xml><?xml version="1.0" encoding="utf-8"?>
<revisions xmlns="http://schemas.openxmlformats.org/spreadsheetml/2006/main" xmlns:r="http://schemas.openxmlformats.org/officeDocument/2006/relationships">
  <rcc rId="1916" ua="false" sId="18">
    <oc r="F3" t="n">
      <v>7.5</v>
    </oc>
    <nc r="F3" t="n">
      <v>7.55</v>
    </nc>
  </rcc>
</revisions>
</file>

<file path=xl/revisions/revisionLog192.xml><?xml version="1.0" encoding="utf-8"?>
<revisions xmlns="http://schemas.openxmlformats.org/spreadsheetml/2006/main" xmlns:r="http://schemas.openxmlformats.org/officeDocument/2006/relationships">
  <rcc rId="1917" ua="false" sId="18">
    <oc r="F3" t="n">
      <v>7.55</v>
    </oc>
    <nc r="F3" t="n">
      <v>7.525</v>
    </nc>
  </rcc>
</revisions>
</file>

<file path=xl/revisions/revisionLog193.xml><?xml version="1.0" encoding="utf-8"?>
<revisions xmlns="http://schemas.openxmlformats.org/spreadsheetml/2006/main" xmlns:r="http://schemas.openxmlformats.org/officeDocument/2006/relationships">
  <rcc rId="1918" ua="false" sId="18">
    <oc r="H16" t="n">
      <v>0</v>
    </oc>
    <nc r="H16" t="n">
      <v>6</v>
    </nc>
  </rcc>
  <rcc rId="1919" ua="false" sId="18">
    <oc r="H2" t="n">
      <v>11.2</v>
    </oc>
    <nc r="H2" t="n">
      <v>10.8</v>
    </nc>
  </rcc>
  <rcc rId="1920" ua="false" sId="18">
    <oc r="H3" t="n">
      <v>10.9</v>
    </oc>
    <nc r="H3" t="n">
      <v>10.7</v>
    </nc>
  </rcc>
  <rcc rId="1921" ua="false" sId="18">
    <oc r="H5" t="n">
      <v>2.1</v>
    </oc>
    <nc r="H5" t="n">
      <v>1.1</v>
    </nc>
  </rcc>
</revisions>
</file>

<file path=xl/revisions/revisionLog194.xml><?xml version="1.0" encoding="utf-8"?>
<revisions xmlns="http://schemas.openxmlformats.org/spreadsheetml/2006/main" xmlns:r="http://schemas.openxmlformats.org/officeDocument/2006/relationships">
  <rcc rId="1922" ua="false" sId="18">
    <oc r="H2" t="n">
      <v>10.15</v>
    </oc>
    <nc r="H2" t="n">
      <v>10</v>
    </nc>
  </rcc>
  <rcc rId="1923" ua="false" sId="18">
    <oc r="H3" t="n">
      <v>10.39</v>
    </oc>
    <nc r="H3" t="n">
      <v>10.3</v>
    </nc>
  </rcc>
</revisions>
</file>

<file path=xl/revisions/revisionLog195.xml><?xml version="1.0" encoding="utf-8"?>
<revisions xmlns="http://schemas.openxmlformats.org/spreadsheetml/2006/main" xmlns:r="http://schemas.openxmlformats.org/officeDocument/2006/relationships">
  <rcc rId="1924" ua="false" sId="18">
    <oc r="N3" t="n">
      <v>0.53</v>
    </oc>
    <nc r="N3" t="n">
      <v>0.54</v>
    </nc>
  </rcc>
</revisions>
</file>

<file path=xl/revisions/revisionLog196.xml><?xml version="1.0" encoding="utf-8"?>
<revisions xmlns="http://schemas.openxmlformats.org/spreadsheetml/2006/main" xmlns:r="http://schemas.openxmlformats.org/officeDocument/2006/relationships">
  <rcc rId="1925" ua="false" sId="18">
    <oc r="G3" t="n">
      <v>7.05</v>
    </oc>
    <nc r="G3" t="n">
      <v>7</v>
    </nc>
  </rcc>
</revisions>
</file>

<file path=xl/revisions/revisionLog197.xml><?xml version="1.0" encoding="utf-8"?>
<revisions xmlns="http://schemas.openxmlformats.org/spreadsheetml/2006/main" xmlns:r="http://schemas.openxmlformats.org/officeDocument/2006/relationships">
  <rcc rId="1926" ua="false" sId="18">
    <oc r="G3" t="n">
      <v>7.15</v>
    </oc>
    <nc r="G3" t="n">
      <v>7.17</v>
    </nc>
  </rcc>
  <rcc rId="1927" ua="false" sId="18">
    <oc r="G2" t="n">
      <v>6.3</v>
    </oc>
    <nc r="G2" t="n">
      <v>6.35</v>
    </nc>
  </rcc>
  <rcc rId="1928" ua="false" sId="18">
    <oc r="G5" t="n">
      <v>2.7</v>
    </oc>
    <nc r="G5" t="n">
      <v>2.5</v>
    </nc>
  </rcc>
</revisions>
</file>

<file path=xl/revisions/revisionLog198.xml><?xml version="1.0" encoding="utf-8"?>
<revisions xmlns="http://schemas.openxmlformats.org/spreadsheetml/2006/main" xmlns:r="http://schemas.openxmlformats.org/officeDocument/2006/relationships">
  <rcc rId="1929" ua="false" sId="19">
    <oc r="B9" t="n">
      <v>3</v>
    </oc>
    <nc r="B9" t="n">
      <v>10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>
  <rcc rId="1930" ua="false" sId="18">
    <oc r="G2" t="n">
      <v>6.35</v>
    </oc>
    <nc r="G2" t="n">
      <v>6.34</v>
    </nc>
  </rcc>
  <rcc rId="1931" ua="false" sId="18">
    <oc r="G5" t="n">
      <v>2.7</v>
    </oc>
    <nc r="G5" t="n">
      <v>2.85</v>
    </nc>
  </rcc>
</revisions>
</file>

<file path=xl/revisions/revisionLog200.xml><?xml version="1.0" encoding="utf-8"?>
<revisions xmlns="http://schemas.openxmlformats.org/spreadsheetml/2006/main" xmlns:r="http://schemas.openxmlformats.org/officeDocument/2006/relationships">
  <rcc rId="1932" ua="false" sId="18">
    <oc r="F2" t="n">
      <v>5.91</v>
    </oc>
    <nc r="F2" t="n">
      <v>5.9</v>
    </nc>
  </rcc>
</revisions>
</file>

<file path=xl/revisions/revisionLog201.xml><?xml version="1.0" encoding="utf-8"?>
<revisions xmlns="http://schemas.openxmlformats.org/spreadsheetml/2006/main" xmlns:r="http://schemas.openxmlformats.org/officeDocument/2006/relationships">
  <rcc rId="1933" ua="false" sId="18">
    <oc r="H6" t="n">
      <v>5.5</v>
    </oc>
    <nc r="H6" t="n">
      <v>3</v>
    </nc>
  </rcc>
</revisions>
</file>

<file path=xl/revisions/revisionLog202.xml><?xml version="1.0" encoding="utf-8"?>
<revisions xmlns="http://schemas.openxmlformats.org/spreadsheetml/2006/main" xmlns:r="http://schemas.openxmlformats.org/officeDocument/2006/relationships">
  <rcc rId="1934" ua="false" sId="18">
    <oc r="G2" t="n">
      <v>6.15</v>
    </oc>
    <nc r="G2" t="n">
      <v>6.2</v>
    </nc>
  </rcc>
  <rcc rId="1935" ua="false" sId="18">
    <oc r="G5" t="n">
      <v>1.1</v>
    </oc>
    <nc r="G5" t="n">
      <v>0.9</v>
    </nc>
  </rcc>
</revisions>
</file>

<file path=xl/revisions/revisionLog203.xml><?xml version="1.0" encoding="utf-8"?>
<revisions xmlns="http://schemas.openxmlformats.org/spreadsheetml/2006/main" xmlns:r="http://schemas.openxmlformats.org/officeDocument/2006/relationships">
  <rrc rId="1936" ua="false" sId="19" eol="1" ref="61:61" action="insertRow"/>
  <rcc rId="1937" ua="false" sId="19">
    <nc r="B61" t="n">
      <v>3231</v>
    </nc>
  </rcc>
  <rcc rId="1938" ua="false" sId="19">
    <nc r="A61" t="n">
      <v>44266</v>
    </nc>
  </rcc>
  <rcc rId="1939" ua="false" sId="19">
    <nc r="C61" t="n">
      <f>C60+B61</f>
    </nc>
  </rcc>
</revisions>
</file>

<file path=xl/revisions/revisionLog204.xml><?xml version="1.0" encoding="utf-8"?>
<revisions xmlns="http://schemas.openxmlformats.org/spreadsheetml/2006/main" xmlns:r="http://schemas.openxmlformats.org/officeDocument/2006/relationships">
  <rcc rId="1940" ua="false" sId="18">
    <oc r="H2" t="n">
      <v>10</v>
    </oc>
    <nc r="H2" t="n">
      <v>10.05</v>
    </nc>
  </rcc>
</revisions>
</file>

<file path=xl/revisions/revisionLog205.xml><?xml version="1.0" encoding="utf-8"?>
<revisions xmlns="http://schemas.openxmlformats.org/spreadsheetml/2006/main" xmlns:r="http://schemas.openxmlformats.org/officeDocument/2006/relationships">
  <rcc rId="1941" ua="false" sId="18">
    <oc r="F5" t="n">
      <v>0.6</v>
    </oc>
    <nc r="F5" t="n">
      <v>0.8</v>
    </nc>
  </rcc>
  <rcc rId="1942" ua="false" sId="18">
    <oc r="F2" t="n">
      <v>6</v>
    </oc>
    <nc r="F2" t="n">
      <v>5.95</v>
    </nc>
  </rcc>
</revisions>
</file>

<file path=xl/revisions/revisionLog206.xml><?xml version="1.0" encoding="utf-8"?>
<revisions xmlns="http://schemas.openxmlformats.org/spreadsheetml/2006/main" xmlns:r="http://schemas.openxmlformats.org/officeDocument/2006/relationships">
  <rcc rId="1943" ua="false" sId="18">
    <oc r="F5" t="n">
      <v>1.6</v>
    </oc>
    <nc r="F5" t="n">
      <v>1.4</v>
    </nc>
  </rcc>
  <rcc rId="1944" ua="false" sId="18">
    <oc r="F2" t="n">
      <v>6.8</v>
    </oc>
    <nc r="F2" t="n">
      <v>6.85</v>
    </nc>
  </rcc>
</revisions>
</file>

<file path=xl/revisions/revisionLog207.xml><?xml version="1.0" encoding="utf-8"?>
<revisions xmlns="http://schemas.openxmlformats.org/spreadsheetml/2006/main" xmlns:r="http://schemas.openxmlformats.org/officeDocument/2006/relationships">
  <rcc rId="1945" ua="false" sId="18">
    <oc r="I2" t="n">
      <v>6.95</v>
    </oc>
    <nc r="I2" t="n">
      <v>7.15</v>
    </nc>
  </rcc>
  <rcc rId="1946" ua="false" sId="18">
    <oc r="I5" t="n">
      <v>0.5</v>
    </oc>
    <nc r="I5" t="n">
      <v>0.7</v>
    </nc>
  </rcc>
</revisions>
</file>

<file path=xl/revisions/revisionLog208.xml><?xml version="1.0" encoding="utf-8"?>
<revisions xmlns="http://schemas.openxmlformats.org/spreadsheetml/2006/main" xmlns:r="http://schemas.openxmlformats.org/officeDocument/2006/relationships">
  <rcc rId="1947" ua="false" sId="18">
    <oc r="G2" t="n">
      <v>5.9</v>
    </oc>
    <nc r="G2" t="n">
      <v>5.95</v>
    </nc>
  </rcc>
</revisions>
</file>

<file path=xl/revisions/revisionLog209.xml><?xml version="1.0" encoding="utf-8"?>
<revisions xmlns="http://schemas.openxmlformats.org/spreadsheetml/2006/main" xmlns:r="http://schemas.openxmlformats.org/officeDocument/2006/relationships">
  <rcc rId="1948" ua="false" sId="18">
    <oc r="H3" t="n">
      <v>11.1</v>
    </oc>
    <nc r="H3" t="n">
      <v>11</v>
    </nc>
  </rcc>
  <rcc rId="1949" ua="false" sId="18">
    <oc r="H5" t="n">
      <v>4.3</v>
    </oc>
    <nc r="H5" t="n">
      <v>4.2</v>
    </nc>
  </rcc>
</revisions>
</file>

<file path=xl/revisions/revisionLog210.xml><?xml version="1.0" encoding="utf-8"?>
<revisions xmlns="http://schemas.openxmlformats.org/spreadsheetml/2006/main" xmlns:r="http://schemas.openxmlformats.org/officeDocument/2006/relationships">
  <rcc rId="1950" ua="false" sId="18">
    <oc r="I5" t="n">
      <v>0.7</v>
    </oc>
    <nc r="I5" t="n">
      <v>1</v>
    </nc>
  </rcc>
  <rcc rId="1951" ua="false" sId="18">
    <oc r="I3" t="n">
      <v>8.7</v>
    </oc>
    <nc r="I3" t="n">
      <v>8.675</v>
    </nc>
  </rcc>
</revisions>
</file>

<file path=xl/revisions/revisionLog211.xml><?xml version="1.0" encoding="utf-8"?>
<revisions xmlns="http://schemas.openxmlformats.org/spreadsheetml/2006/main" xmlns:r="http://schemas.openxmlformats.org/officeDocument/2006/relationships">
  <rcc rId="1952" ua="false" sId="18">
    <oc r="I5" t="n">
      <v>1</v>
    </oc>
    <nc r="I5" t="n">
      <v>1.1</v>
    </nc>
  </rcc>
  <rcc rId="1953" ua="false" sId="18">
    <oc r="I3" t="n">
      <v>8.675</v>
    </oc>
    <nc r="I3" t="n">
      <v>8.68</v>
    </nc>
  </rcc>
</revisions>
</file>

<file path=xl/revisions/revisionLog212.xml><?xml version="1.0" encoding="utf-8"?>
<revisions xmlns="http://schemas.openxmlformats.org/spreadsheetml/2006/main" xmlns:r="http://schemas.openxmlformats.org/officeDocument/2006/relationships">
  <rcc rId="1954" ua="false" sId="18">
    <oc r="B2" t="n">
      <v>5.95</v>
    </oc>
    <nc r="B2" t="n">
      <v>5.9</v>
    </nc>
  </rcc>
  <rcc rId="1955" ua="false" sId="18">
    <oc r="B3" t="n">
      <v>7.05</v>
    </oc>
    <nc r="B3" t="n">
      <v>7</v>
    </nc>
  </rcc>
</revisions>
</file>

<file path=xl/revisions/revisionLog213.xml><?xml version="1.0" encoding="utf-8"?>
<revisions xmlns="http://schemas.openxmlformats.org/spreadsheetml/2006/main" xmlns:r="http://schemas.openxmlformats.org/officeDocument/2006/relationships">
  <rcc rId="1956" ua="false" sId="18">
    <oc r="J5" t="n">
      <v>1.5</v>
    </oc>
    <nc r="J5" t="n">
      <v>2.5</v>
    </nc>
  </rcc>
  <rcc rId="1957" ua="false" sId="18">
    <oc r="J2" t="n">
      <v>10.73</v>
    </oc>
    <nc r="J2" t="n">
      <v>10.74</v>
    </nc>
  </rcc>
</revisions>
</file>

<file path=xl/revisions/revisionLog214.xml><?xml version="1.0" encoding="utf-8"?>
<revisions xmlns="http://schemas.openxmlformats.org/spreadsheetml/2006/main" xmlns:r="http://schemas.openxmlformats.org/officeDocument/2006/relationships">
  <rcc rId="1958" ua="false" sId="18">
    <oc r="G5" t="n">
      <v>2</v>
    </oc>
    <nc r="G5" t="n">
      <v>1.5</v>
    </nc>
  </rcc>
</revisions>
</file>

<file path=xl/revisions/revisionLog215.xml><?xml version="1.0" encoding="utf-8"?>
<revisions xmlns="http://schemas.openxmlformats.org/spreadsheetml/2006/main" xmlns:r="http://schemas.openxmlformats.org/officeDocument/2006/relationships">
  <rcc rId="1959" ua="false" sId="19">
    <nc r="A27" t="n">
      <v>44251</v>
    </nc>
  </rcc>
  <rcc rId="1960" ua="false" sId="19">
    <nc r="B27" t="n">
      <v>15182</v>
    </nc>
  </rcc>
  <rcc rId="1961" ua="false" sId="19">
    <nc r="C27" t="n">
      <f>C26+B27</f>
    </nc>
  </rcc>
</revisions>
</file>

<file path=xl/revisions/revisionLog216.xml><?xml version="1.0" encoding="utf-8"?>
<revisions xmlns="http://schemas.openxmlformats.org/spreadsheetml/2006/main" xmlns:r="http://schemas.openxmlformats.org/officeDocument/2006/relationships">
  <rcc rId="1962" ua="false" sId="19">
    <oc r="B9" t="n">
      <v>10</v>
    </oc>
    <nc r="B9" t="n">
      <v>0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>
  <rcc rId="1963" ua="false" sId="18">
    <oc r="G3" t="n">
      <v>7.05</v>
    </oc>
    <nc r="G3" t="n">
      <v>7.1</v>
    </nc>
  </rcc>
  <rcc rId="1964" ua="false" sId="18">
    <oc r="G5" t="n">
      <v>1.2</v>
    </oc>
    <nc r="G5" t="n">
      <v>0.9</v>
    </nc>
  </rcc>
  <rcc rId="1965" ua="false" sId="18">
    <oc r="G2" t="n">
      <v>6.1</v>
    </oc>
    <nc r="G2" t="n">
      <v>6.15</v>
    </nc>
  </rcc>
</revisions>
</file>

<file path=xl/revisions/revisionLog218.xml><?xml version="1.0" encoding="utf-8"?>
<revisions xmlns="http://schemas.openxmlformats.org/spreadsheetml/2006/main" xmlns:r="http://schemas.openxmlformats.org/officeDocument/2006/relationships">
  <rcc rId="1966" ua="false" sId="18">
    <oc r="G5" t="n">
      <v>2.5</v>
    </oc>
    <nc r="G5" t="n">
      <v>2.7</v>
    </nc>
  </rcc>
</revisions>
</file>

<file path=xl/revisions/revisionLog219.xml><?xml version="1.0" encoding="utf-8"?>
<revisions xmlns="http://schemas.openxmlformats.org/spreadsheetml/2006/main" xmlns:r="http://schemas.openxmlformats.org/officeDocument/2006/relationships">
  <rcc rId="1967" ua="false" sId="2">
    <oc r="C2" t="n">
      <v>0.245</v>
    </oc>
    <nc r="C2" t="n">
      <v>0.2325</v>
    </nc>
  </rcc>
  <rcc rId="1968" ua="false" sId="2">
    <oc r="D2" t="n">
      <v>-0.605</v>
    </oc>
    <nc r="D2" t="n">
      <v>-0.5625</v>
    </nc>
  </rcc>
  <rcc rId="1969" ua="false" sId="2">
    <oc r="C3" t="n">
      <v>0.25</v>
    </oc>
    <nc r="C3" t="n">
      <v>0.245</v>
    </nc>
  </rcc>
  <rcc rId="1970" ua="false" sId="2">
    <oc r="D4" t="n">
      <v>-0.8975</v>
    </oc>
    <nc r="D4" t="n">
      <v>-0.8475</v>
    </nc>
  </rcc>
  <rcc rId="1971" ua="false" sId="2">
    <oc r="D5" t="n">
      <v>-0.8375</v>
    </oc>
    <nc r="D5" t="n">
      <v>-0.8275</v>
    </nc>
  </rcc>
  <rcc rId="1972" ua="false" sId="2">
    <oc r="C6" t="n">
      <v>0.3025</v>
    </oc>
    <nc r="C6" t="n">
      <v>0.3075</v>
    </nc>
  </rcc>
  <rcc rId="1973" ua="false" sId="2">
    <oc r="D6" t="n">
      <v>-0.9725</v>
    </oc>
    <nc r="D6" t="n">
      <v>-0.9525</v>
    </nc>
  </rcc>
  <rcc rId="1974" ua="false" sId="2">
    <oc r="C7" t="n">
      <v>0.33</v>
    </oc>
    <nc r="C7" t="n">
      <v>0.3325</v>
    </nc>
  </rcc>
  <rcc rId="1975" ua="false" sId="2">
    <oc r="C8" t="n">
      <v>0.37</v>
    </oc>
    <nc r="C8" t="n">
      <v>0.3725</v>
    </nc>
  </rcc>
  <rcc rId="1976" ua="false" sId="2">
    <oc r="D8" t="n">
      <v>-1.355</v>
    </oc>
    <nc r="D8" t="n">
      <v>-1.3425</v>
    </nc>
  </rcc>
  <rcc rId="1977" ua="false" sId="2">
    <oc r="C9" t="n">
      <v>0.3975</v>
    </oc>
    <nc r="C9" t="n">
      <v>0.4</v>
    </nc>
  </rcc>
  <rcc rId="1978" ua="false" sId="2">
    <oc r="D9" t="n">
      <v>-1.4375</v>
    </oc>
    <nc r="D9" t="n">
      <v>-1.44</v>
    </nc>
  </rcc>
  <rcc rId="1979" ua="false" sId="2">
    <oc r="C10" t="n">
      <v>0.42</v>
    </oc>
    <nc r="C10" t="n">
      <v>0.425</v>
    </nc>
  </rcc>
  <rcc rId="1980" ua="false" sId="2">
    <oc r="D10" t="n">
      <v>-1.5</v>
    </oc>
    <nc r="D10" t="n">
      <v>-1.51</v>
    </nc>
  </rcc>
  <rcc rId="1981" ua="false" sId="2">
    <oc r="C11" t="n">
      <v>0.4525</v>
    </oc>
    <nc r="C11" t="n">
      <v>0.455</v>
    </nc>
  </rcc>
  <rcc rId="1982" ua="false" sId="2">
    <oc r="D11" t="n">
      <v>-1.5875</v>
    </oc>
    <nc r="D11" t="n">
      <v>-1.59</v>
    </nc>
  </rcc>
  <rcc rId="1983" ua="false" sId="3">
    <oc r="C2" t="n">
      <v>0.19</v>
    </oc>
    <nc r="C2" t="n">
      <v>0.2</v>
    </nc>
  </rcc>
  <rcc rId="1984" ua="false" sId="3">
    <oc r="D2" t="n">
      <v>-0.25</v>
    </oc>
    <nc r="D2" t="n">
      <v>-0.295</v>
    </nc>
  </rcc>
  <rcc rId="1985" ua="false" sId="3">
    <oc r="C3" t="n">
      <v>0.185</v>
    </oc>
    <nc r="C3" t="n">
      <v>0.19</v>
    </nc>
  </rcc>
  <rcc rId="1986" ua="false" sId="3">
    <oc r="D3" t="n">
      <v>-0.25</v>
    </oc>
    <nc r="D3" t="n">
      <v>-0.29</v>
    </nc>
  </rcc>
  <rcc rId="1987" ua="false" sId="3">
    <oc r="C4" t="n">
      <v>0.2</v>
    </oc>
    <nc r="C4" t="n">
      <v>0.21</v>
    </nc>
  </rcc>
  <rcc rId="1988" ua="false" sId="3">
    <oc r="D4" t="n">
      <v>-0.345</v>
    </oc>
    <nc r="D4" t="n">
      <v>-0.37</v>
    </nc>
  </rcc>
  <rcc rId="1989" ua="false" sId="3">
    <oc r="C5" t="n">
      <v>0.2075</v>
    </oc>
    <nc r="C5" t="n">
      <v>0.22</v>
    </nc>
  </rcc>
  <rcc rId="1990" ua="false" sId="3">
    <oc r="D5" t="n">
      <v>-0.4225</v>
    </oc>
    <nc r="D5" t="n">
      <v>-0.43</v>
    </nc>
  </rcc>
  <rcc rId="1991" ua="false" sId="3">
    <oc r="C6" t="n">
      <v>0.25</v>
    </oc>
    <nc r="C6" t="n">
      <v>0.26</v>
    </nc>
  </rcc>
  <rcc rId="1992" ua="false" sId="3">
    <oc r="D6" t="n">
      <v>-0.5325</v>
    </oc>
    <nc r="D6" t="n">
      <v>-0.55</v>
    </nc>
  </rcc>
  <rcc rId="1993" ua="false" sId="3">
    <oc r="C7" t="n">
      <v>0.295</v>
    </oc>
    <nc r="C7" t="n">
      <v>0.305</v>
    </nc>
  </rcc>
  <rcc rId="1994" ua="false" sId="3">
    <oc r="D7" t="n">
      <v>-0.67</v>
    </oc>
    <nc r="D7" t="n">
      <v>-0.685</v>
    </nc>
  </rcc>
  <rcc rId="1995" ua="false" sId="3">
    <oc r="C8" t="n">
      <v>0.36</v>
    </oc>
    <nc r="C8" t="n">
      <v>0.375</v>
    </nc>
  </rcc>
  <rcc rId="1996" ua="false" sId="3">
    <oc r="D8" t="n">
      <v>-0.825</v>
    </oc>
    <nc r="D8" t="n">
      <v>-0.86</v>
    </nc>
  </rcc>
  <rcc rId="1997" ua="false" sId="3">
    <oc r="C9" t="n">
      <v>0.4</v>
    </oc>
    <nc r="C9" t="n">
      <v>0.415</v>
    </nc>
  </rcc>
  <rcc rId="1998" ua="false" sId="3">
    <oc r="D9" t="n">
      <v>-0.915</v>
    </oc>
    <nc r="D9" t="n">
      <v>-0.95</v>
    </nc>
  </rcc>
  <rcc rId="1999" ua="false" sId="3">
    <oc r="C10" t="n">
      <v>0.42</v>
    </oc>
    <nc r="C10" t="n">
      <v>0.44</v>
    </nc>
  </rcc>
  <rcc rId="2000" ua="false" sId="3">
    <oc r="D10" t="n">
      <v>-0.96</v>
    </oc>
    <nc r="D10" t="n">
      <v>-1.02</v>
    </nc>
  </rcc>
  <rcc rId="2001" ua="false" sId="3">
    <oc r="C11" t="n">
      <v>0.435</v>
    </oc>
    <nc r="C11" t="n">
      <v>0.45</v>
    </nc>
  </rcc>
  <rcc rId="2002" ua="false" sId="3">
    <oc r="D11" t="n">
      <v>-1.06</v>
    </oc>
    <nc r="D11" t="n">
      <v>-1.12</v>
    </nc>
  </rcc>
  <rcc rId="2003" ua="false" sId="4">
    <oc r="C2" t="n">
      <v>0.185</v>
    </oc>
    <nc r="C2" t="n">
      <v>0.1775</v>
    </nc>
  </rcc>
  <rcc rId="2004" ua="false" sId="4">
    <oc r="D2" t="n">
      <v>0.245</v>
    </oc>
    <nc r="D2" t="n">
      <v>0.2475</v>
    </nc>
  </rcc>
  <rcc rId="2005" ua="false" sId="4">
    <oc r="D3" t="n">
      <v>0.2975</v>
    </oc>
    <nc r="D3" t="n">
      <v>0.3</v>
    </nc>
  </rcc>
  <rcc rId="2006" ua="false" sId="4">
    <oc r="C4" t="n">
      <v>0.19</v>
    </oc>
    <nc r="C4" t="n">
      <v>0.195</v>
    </nc>
  </rcc>
  <rcc rId="2007" ua="false" sId="4">
    <oc r="D4" t="n">
      <v>0.305</v>
    </oc>
    <nc r="D4" t="n">
      <v>0.2925</v>
    </nc>
  </rcc>
  <rcc rId="2008" ua="false" sId="4">
    <oc r="C5" t="n">
      <v>0.195</v>
    </oc>
    <nc r="C5" t="n">
      <v>0.2</v>
    </nc>
  </rcc>
  <rcc rId="2009" ua="false" sId="4">
    <oc r="D5" t="n">
      <v>0.325</v>
    </oc>
    <nc r="D5" t="n">
      <v>0.3025</v>
    </nc>
  </rcc>
  <rcc rId="2010" ua="false" sId="4">
    <oc r="C6" t="n">
      <v>0.2225</v>
    </oc>
    <nc r="C6" t="n">
      <v>0.23</v>
    </nc>
  </rcc>
  <rcc rId="2011" ua="false" sId="4">
    <oc r="D6" t="n">
      <v>0.3525</v>
    </oc>
    <nc r="D6" t="n">
      <v>0.32</v>
    </nc>
  </rcc>
  <rcc rId="2012" ua="false" sId="4">
    <oc r="C7" t="n">
      <v>0.255</v>
    </oc>
    <nc r="C7" t="n">
      <v>0.2575</v>
    </nc>
  </rcc>
  <rcc rId="2013" ua="false" sId="4">
    <oc r="D7" t="n">
      <v>0.4025</v>
    </oc>
    <nc r="D7" t="n">
      <v>0.365</v>
    </nc>
  </rcc>
  <rcc rId="2014" ua="false" sId="4">
    <oc r="C8" t="n">
      <v>0.2975</v>
    </oc>
    <nc r="C8" t="n">
      <v>0.31</v>
    </nc>
  </rcc>
  <rcc rId="2015" ua="false" sId="4">
    <oc r="D8" t="n">
      <v>0.415</v>
    </oc>
    <nc r="D8" t="n">
      <v>0.4025</v>
    </nc>
  </rcc>
  <rcc rId="2016" ua="false" sId="4">
    <oc r="C9" t="n">
      <v>0.3525</v>
    </oc>
    <nc r="C9" t="n">
      <v>0.3675</v>
    </nc>
  </rcc>
  <rcc rId="2017" ua="false" sId="4">
    <oc r="D9" t="n">
      <v>0.405</v>
    </oc>
    <nc r="D9" t="n">
      <v>0.3475</v>
    </nc>
  </rcc>
  <rcc rId="2018" ua="false" sId="4">
    <oc r="C10" t="n">
      <v>0.3625</v>
    </oc>
    <nc r="C10" t="n">
      <v>0.365</v>
    </nc>
  </rcc>
  <rcc rId="2019" ua="false" sId="4">
    <oc r="D10" t="n">
      <v>0.4425</v>
    </oc>
    <nc r="D10" t="n">
      <v>0.3725</v>
    </nc>
  </rcc>
  <rcc rId="2020" ua="false" sId="4">
    <oc r="C11" t="n">
      <v>0.39</v>
    </oc>
    <nc r="C11" t="n">
      <v>0.4175</v>
    </nc>
  </rcc>
  <rcc rId="2021" ua="false" sId="4">
    <oc r="D11" t="n">
      <v>0.44</v>
    </oc>
    <nc r="D11" t="n">
      <v>0.3625</v>
    </nc>
  </rcc>
  <rcc rId="2022" ua="false" sId="5">
    <oc r="C2" t="n">
      <v>0.115</v>
    </oc>
    <nc r="C2" t="n">
      <v>0.13</v>
    </nc>
  </rcc>
  <rcc rId="2023" ua="false" sId="5">
    <oc r="D2" t="n">
      <v>0.2775</v>
    </oc>
    <nc r="D2" t="n">
      <v>0.305</v>
    </nc>
  </rcc>
  <rcc rId="2024" ua="false" sId="5">
    <oc r="C3" t="n">
      <v>0.1175</v>
    </oc>
    <nc r="C3" t="n">
      <v>0.1375</v>
    </nc>
  </rcc>
  <rcc rId="2025" ua="false" sId="5">
    <oc r="D3" t="n">
      <v>0.325</v>
    </oc>
    <nc r="D3" t="n">
      <v>0.3525</v>
    </nc>
  </rcc>
  <rcc rId="2026" ua="false" sId="5">
    <oc r="C4" t="n">
      <v>0.145</v>
    </oc>
    <nc r="C4" t="n">
      <v>0.1575</v>
    </nc>
  </rcc>
  <rcc rId="2027" ua="false" sId="5">
    <oc r="D4" t="n">
      <v>0.38</v>
    </oc>
    <nc r="D4" t="n">
      <v>0.3875</v>
    </nc>
  </rcc>
  <rcc rId="2028" ua="false" sId="5">
    <oc r="C5" t="n">
      <v>0.1225</v>
    </oc>
    <nc r="C5" t="n">
      <v>0.15</v>
    </nc>
  </rcc>
  <rcc rId="2029" ua="false" sId="5">
    <oc r="D5" t="n">
      <v>0.4125</v>
    </oc>
    <nc r="D5" t="n">
      <v>0.4325</v>
    </nc>
  </rcc>
  <rcc rId="2030" ua="false" sId="5">
    <oc r="C6" t="n">
      <v>0.155</v>
    </oc>
    <nc r="C6" t="n">
      <v>0.175</v>
    </nc>
  </rcc>
  <rcc rId="2031" ua="false" sId="5">
    <oc r="C7" t="n">
      <v>0.1675</v>
    </oc>
    <nc r="C7" t="n">
      <v>0.2</v>
    </nc>
  </rcc>
  <rcc rId="2032" ua="false" sId="5">
    <oc r="D7" t="n">
      <v>0.5975</v>
    </oc>
    <nc r="D7" t="n">
      <v>0.605</v>
    </nc>
  </rcc>
  <rcc rId="2033" ua="false" sId="5">
    <oc r="C8" t="n">
      <v>0.2225</v>
    </oc>
    <nc r="C8" t="n">
      <v>0.255</v>
    </nc>
  </rcc>
  <rcc rId="2034" ua="false" sId="5">
    <oc r="D8" t="n">
      <v>0.7375</v>
    </oc>
    <nc r="D8" t="n">
      <v>0.73</v>
    </nc>
  </rcc>
  <rcc rId="2035" ua="false" sId="5">
    <oc r="C9" t="n">
      <v>0.2525</v>
    </oc>
    <nc r="C9" t="n">
      <v>0.27</v>
    </nc>
  </rcc>
  <rcc rId="2036" ua="false" sId="5">
    <oc r="D9" t="n">
      <v>0.7925</v>
    </oc>
    <nc r="D9" t="n">
      <v>0.7825</v>
    </nc>
  </rcc>
  <rcc rId="2037" ua="false" sId="5">
    <oc r="C10" t="n">
      <v>0.2425</v>
    </oc>
    <nc r="C10" t="n">
      <v>0.275</v>
    </nc>
  </rcc>
  <rcc rId="2038" ua="false" sId="5">
    <oc r="D10" t="n">
      <v>0.8375</v>
    </oc>
    <nc r="D10" t="n">
      <v>0.845</v>
    </nc>
  </rcc>
  <rcc rId="2039" ua="false" sId="5">
    <oc r="D11" t="n">
      <v>0.8325</v>
    </oc>
    <nc r="D11" t="n">
      <v>0.8475</v>
    </nc>
  </rcc>
  <rcc rId="2040" ua="false" sId="11">
    <oc r="C2" t="n">
      <v>0.175</v>
    </oc>
    <nc r="C2" t="n">
      <v>0.24</v>
    </nc>
  </rcc>
  <rcc rId="2041" ua="false" sId="11">
    <oc r="D2" t="n">
      <v>-1.0625</v>
    </oc>
    <nc r="D2" t="n">
      <v>-0.87</v>
    </nc>
  </rcc>
  <rcc rId="2042" ua="false" sId="11">
    <oc r="C3" t="n">
      <v>0.1925</v>
    </oc>
    <nc r="C3" t="n">
      <v>0.24</v>
    </nc>
  </rcc>
  <rcc rId="2043" ua="false" sId="11">
    <oc r="D3" t="n">
      <v>-1.2075</v>
    </oc>
    <nc r="D3" t="n">
      <v>-1.045</v>
    </nc>
  </rcc>
  <rcc rId="2044" ua="false" sId="11">
    <oc r="C4" t="n">
      <v>0.265</v>
    </oc>
    <nc r="C4" t="n">
      <v>0.285</v>
    </nc>
  </rcc>
  <rcc rId="2045" ua="false" sId="11">
    <oc r="D4" t="n">
      <v>-1.215</v>
    </oc>
    <nc r="D4" t="n">
      <v>-1.1475</v>
    </nc>
  </rcc>
  <rcc rId="2046" ua="false" sId="11">
    <oc r="C5" t="n">
      <v>0.235</v>
    </oc>
    <nc r="C5" t="n">
      <v>0.275</v>
    </nc>
  </rcc>
  <rcc rId="2047" ua="false" sId="11">
    <oc r="D5" t="n">
      <v>-1.48</v>
    </oc>
    <nc r="D5" t="n">
      <v>-1.385</v>
    </nc>
  </rcc>
  <rcc rId="2048" ua="false" sId="11">
    <oc r="C6" t="n">
      <v>0.2875</v>
    </oc>
    <nc r="C6" t="n">
      <v>0.3225</v>
    </nc>
  </rcc>
  <rcc rId="2049" ua="false" sId="11">
    <oc r="D6" t="n">
      <v>-1.8625</v>
    </oc>
    <nc r="D6" t="n">
      <v>-1.8125</v>
    </nc>
  </rcc>
  <rcc rId="2050" ua="false" sId="11">
    <oc r="C7" t="n">
      <v>0.32</v>
    </oc>
    <nc r="C7" t="n">
      <v>0.3525</v>
    </nc>
  </rcc>
  <rcc rId="2051" ua="false" sId="11">
    <oc r="D7" t="n">
      <v>-2.115</v>
    </oc>
    <nc r="D7" t="n">
      <v>-2.1075</v>
    </nc>
  </rcc>
  <rcc rId="2052" ua="false" sId="11">
    <oc r="C8" t="n">
      <v>0.38</v>
    </oc>
    <nc r="C8" t="n">
      <v>0.405</v>
    </nc>
  </rcc>
  <rcc rId="2053" ua="false" sId="11">
    <oc r="D8" t="n">
      <v>-2.5175</v>
    </oc>
    <nc r="D8" t="n">
      <v>-2.54</v>
    </nc>
  </rcc>
  <rcc rId="2054" ua="false" sId="11">
    <oc r="C9" t="n">
      <v>0.405</v>
    </oc>
    <nc r="C9" t="n">
      <v>0.4275</v>
    </nc>
  </rcc>
  <rcc rId="2055" ua="false" sId="11">
    <oc r="D9" t="n">
      <v>-2.6775</v>
    </oc>
    <nc r="D9" t="n">
      <v>-2.7075</v>
    </nc>
  </rcc>
  <rcc rId="2056" ua="false" sId="11">
    <oc r="C10" t="n">
      <v>0.42</v>
    </oc>
    <nc r="C10" t="n">
      <v>0.44</v>
    </nc>
  </rcc>
  <rcc rId="2057" ua="false" sId="11">
    <oc r="D10" t="n">
      <v>-2.8025</v>
    </oc>
    <nc r="D10" t="n">
      <v>-2.86</v>
    </nc>
  </rcc>
  <rcc rId="2058" ua="false" sId="11">
    <oc r="C11" t="n">
      <v>0.41</v>
    </oc>
    <nc r="C11" t="n">
      <v>0.445</v>
    </nc>
  </rcc>
  <rcc rId="2059" ua="false" sId="11">
    <oc r="D11" t="n">
      <v>-3.19</v>
    </oc>
    <nc r="D11" t="n">
      <v>-3.27</v>
    </nc>
  </rcc>
  <rcc rId="2060" ua="false" sId="12">
    <oc r="C2" t="n">
      <v>0.18</v>
    </oc>
    <nc r="C2" t="n">
      <v>0.19</v>
    </nc>
  </rcc>
  <rcc rId="2061" ua="false" sId="12">
    <oc r="D2" t="n">
      <v>-0.55</v>
    </oc>
    <nc r="D2" t="n">
      <v>-0.33</v>
    </nc>
  </rcc>
  <rcc rId="2062" ua="false" sId="12">
    <oc r="C3" t="n">
      <v>0.1875</v>
    </oc>
    <nc r="C3" t="n">
      <v>0.2</v>
    </nc>
  </rcc>
  <rcc rId="2063" ua="false" sId="12">
    <oc r="D3" t="n">
      <v>-0.5925</v>
    </oc>
    <nc r="D3" t="n">
      <v>-0.425</v>
    </nc>
  </rcc>
  <rcc rId="2064" ua="false" sId="12">
    <oc r="C5" t="n">
      <v>0.2175</v>
    </oc>
    <nc r="C5" t="n">
      <v>0.2325</v>
    </nc>
  </rcc>
  <rcc rId="2065" ua="false" sId="12">
    <oc r="D5" t="n">
      <v>-0.6125</v>
    </oc>
    <nc r="D5" t="n">
      <v>-0.5025</v>
    </nc>
  </rcc>
  <rcc rId="2066" ua="false" sId="12">
    <oc r="C6" t="n">
      <v>0.255</v>
    </oc>
    <nc r="C6" t="n">
      <v>0.265</v>
    </nc>
  </rcc>
  <rcc rId="2067" ua="false" sId="12">
    <oc r="D6" t="n">
      <v>-0.7925</v>
    </oc>
    <nc r="D6" t="n">
      <v>-0.72</v>
    </nc>
  </rcc>
  <rcc rId="2068" ua="false" sId="12">
    <oc r="C7" t="n">
      <v>0.28</v>
    </oc>
    <nc r="C7" t="n">
      <v>0.285</v>
    </nc>
  </rcc>
  <rcc rId="2069" ua="false" sId="12">
    <oc r="D7" t="n">
      <v>-0.9325</v>
    </oc>
    <nc r="D7" t="n">
      <v>-0.8625</v>
    </nc>
  </rcc>
  <rcc rId="2070" ua="false" sId="12">
    <oc r="D8" t="n">
      <v>-1.1675</v>
    </oc>
    <nc r="D8" t="n">
      <v>-1.01</v>
    </nc>
  </rcc>
  <rcc rId="2071" ua="false" sId="12">
    <oc r="C9" t="n">
      <v>0.38</v>
    </oc>
    <nc r="C9" t="n">
      <v>0.39</v>
    </nc>
  </rcc>
  <rcc rId="2072" ua="false" sId="12">
    <oc r="D9" t="n">
      <v>-1.275</v>
    </oc>
    <nc r="D9" t="n">
      <v>-1.2125</v>
    </nc>
  </rcc>
  <rcc rId="2073" ua="false" sId="12">
    <oc r="C10" t="n">
      <v>0.3875</v>
    </oc>
    <nc r="C10" t="n">
      <v>0.3975</v>
    </nc>
  </rcc>
  <rcc rId="2074" ua="false" sId="12">
    <oc r="D10" t="n">
      <v>-1.3475</v>
    </oc>
    <nc r="D10" t="n">
      <v>-1.2975</v>
    </nc>
  </rcc>
  <rcc rId="2075" ua="false" sId="12">
    <oc r="C11" t="n">
      <v>0.41</v>
    </oc>
    <nc r="C11" t="n">
      <v>0.425</v>
    </nc>
  </rcc>
  <rcc rId="2076" ua="false" sId="12">
    <oc r="D11" t="n">
      <v>-1.565</v>
    </oc>
    <nc r="D11" t="n">
      <v>-1.53</v>
    </nc>
  </rcc>
  <rcc rId="2077" ua="false" sId="13">
    <oc r="C2" t="n">
      <v>0.135</v>
    </oc>
    <nc r="C2" t="n">
      <v>0.1325</v>
    </nc>
  </rcc>
  <rcc rId="2078" ua="false" sId="13">
    <oc r="D2" t="n">
      <v>-0.005</v>
    </oc>
    <nc r="D2" t="n">
      <v>-0.0325</v>
    </nc>
  </rcc>
  <rcc rId="2079" ua="false" sId="13">
    <oc r="D3" t="n">
      <v>-0.0025</v>
    </oc>
    <nc r="D3" t="n">
      <v>-0.0175</v>
    </nc>
  </rcc>
  <rcc rId="2080" ua="false" sId="13">
    <oc r="D4" t="n">
      <v>0.015</v>
    </oc>
    <nc r="D4" t="n">
      <v>-0.025</v>
    </nc>
  </rcc>
  <rcc rId="2081" ua="false" sId="13">
    <oc r="C5" t="n">
      <v>0.145</v>
    </oc>
    <nc r="C5" t="n">
      <v>0.1475</v>
    </nc>
  </rcc>
  <rcc rId="2082" ua="false" sId="13">
    <oc r="D5" t="n">
      <v>0.015</v>
    </oc>
    <nc r="D5" t="n">
      <v>-0.0025</v>
    </nc>
  </rcc>
  <rcc rId="2083" ua="false" sId="13">
    <oc r="C6" t="n">
      <v>0.18</v>
    </oc>
    <nc r="C6" t="n">
      <v>0.1825</v>
    </nc>
  </rcc>
  <rcc rId="2084" ua="false" sId="13">
    <oc r="D6" t="n">
      <v>0.055</v>
    </oc>
    <nc r="D6" t="n">
      <v>0.0375</v>
    </nc>
  </rcc>
  <rcc rId="2085" ua="false" sId="13">
    <oc r="C7" t="n">
      <v>0.1975</v>
    </oc>
    <nc r="C7" t="n">
      <v>0.2</v>
    </nc>
  </rcc>
  <rcc rId="2086" ua="false" sId="13">
    <oc r="D7" t="n">
      <v>0.0825</v>
    </oc>
    <nc r="D7" t="n">
      <v>0.08</v>
    </nc>
  </rcc>
  <rcc rId="2087" ua="false" sId="13">
    <oc r="D8" t="n">
      <v>0.15</v>
    </oc>
    <nc r="D8" t="n">
      <v>0.14</v>
    </nc>
  </rcc>
  <rcc rId="2088" ua="false" sId="13">
    <oc r="D9" t="n">
      <v>0.18</v>
    </oc>
    <nc r="D9" t="n">
      <v>0.1725</v>
    </nc>
  </rcc>
  <rcc rId="2089" ua="false" sId="13">
    <oc r="C10" t="n">
      <v>0.3175</v>
    </oc>
    <nc r="C10" t="n">
      <v>0.315</v>
    </nc>
  </rcc>
  <rcc rId="2090" ua="false" sId="13">
    <oc r="D10" t="n">
      <v>0.2</v>
    </oc>
    <nc r="D10" t="n">
      <v>0.1925</v>
    </nc>
  </rcc>
  <rcc rId="2091" ua="false" sId="13">
    <oc r="C11" t="n">
      <v>0.335</v>
    </oc>
    <nc r="C11" t="n">
      <v>0.3325</v>
    </nc>
  </rcc>
  <rcc rId="2092" ua="false" sId="13">
    <oc r="D11" t="n">
      <v>0.1125</v>
    </oc>
    <nc r="D11" t="n">
      <v>0.105</v>
    </nc>
  </rcc>
  <rcc rId="2093" ua="false" sId="14">
    <oc r="C2" t="n">
      <v>0.225</v>
    </oc>
    <nc r="C2" t="n">
      <v>0.24</v>
    </nc>
  </rcc>
  <rcc rId="2094" ua="false" sId="14">
    <oc r="D2" t="n">
      <v>-0.72</v>
    </oc>
    <nc r="D2" t="n">
      <v>-0.7525</v>
    </nc>
  </rcc>
  <rcc rId="2095" ua="false" sId="14">
    <oc r="C3" t="n">
      <v>0.24</v>
    </oc>
    <nc r="C3" t="n">
      <v>0.25</v>
    </nc>
  </rcc>
  <rcc rId="2096" ua="false" sId="14">
    <oc r="C4" t="n">
      <v>0.26</v>
    </oc>
    <nc r="C4" t="n">
      <v>0.27</v>
    </nc>
  </rcc>
  <rcc rId="2097" ua="false" sId="14">
    <oc r="D4" t="n">
      <v>-0.98</v>
    </oc>
    <nc r="D4" t="n">
      <v>-0.95</v>
    </nc>
  </rcc>
  <rcc rId="2098" ua="false" sId="14">
    <oc r="D5" t="n">
      <v>-1.05</v>
    </oc>
    <nc r="D5" t="n">
      <v>-1.005</v>
    </nc>
  </rcc>
  <rcc rId="2099" ua="false" sId="14">
    <oc r="D6" t="n">
      <v>-1.215</v>
    </oc>
    <nc r="D6" t="n">
      <v>-1.19</v>
    </nc>
  </rcc>
  <rcc rId="2100" ua="false" sId="14">
    <oc r="C7" t="n">
      <v>0.345</v>
    </oc>
    <nc r="C7" t="n">
      <v>0.35</v>
    </nc>
  </rcc>
  <rcc rId="2101" ua="false" sId="14">
    <oc r="D7" t="n">
      <v>-1.305</v>
    </oc>
    <nc r="D7" t="n">
      <v>-1.3</v>
    </nc>
  </rcc>
  <rcc rId="2102" ua="false" sId="14">
    <oc r="C8" t="n">
      <v>0.3925</v>
    </oc>
    <nc r="C8" t="n">
      <v>0.39</v>
    </nc>
  </rcc>
  <rcc rId="2103" ua="false" sId="14">
    <oc r="D8" t="n">
      <v>-1.495</v>
    </oc>
    <nc r="D8" t="n">
      <v>-1.5</v>
    </nc>
  </rcc>
  <rcc rId="2104" ua="false" sId="14">
    <oc r="D9" t="n">
      <v>-1.585</v>
    </oc>
    <nc r="D9" t="n">
      <v>-1.5825</v>
    </nc>
  </rcc>
  <rcc rId="2105" ua="false" sId="14">
    <oc r="C10" t="n">
      <v>0.445</v>
    </oc>
    <nc r="C10" t="n">
      <v>0.4375</v>
    </nc>
  </rcc>
  <rcc rId="2106" ua="false" sId="14">
    <oc r="D10" t="n">
      <v>-1.645</v>
    </oc>
    <nc r="D10" t="n">
      <v>-1.6525</v>
    </nc>
  </rcc>
  <rcc rId="2107" ua="false" sId="14">
    <oc r="C11" t="n">
      <v>0.475</v>
    </oc>
    <nc r="C11" t="n">
      <v>0.47</v>
    </nc>
  </rcc>
  <rcc rId="2108" ua="false" sId="14">
    <oc r="D11" t="n">
      <v>-1.795</v>
    </oc>
    <nc r="D11" t="n">
      <v>-1.7825</v>
    </nc>
  </rcc>
  <rcc rId="2109" ua="false" sId="15">
    <oc r="C2" t="n">
      <v>0.185</v>
    </oc>
    <nc r="C2" t="n">
      <v>0.1875</v>
    </nc>
  </rcc>
  <rcc rId="2110" ua="false" sId="15">
    <oc r="D2" t="n">
      <v>-0.3125</v>
    </oc>
    <nc r="D2" t="n">
      <v>-0.0425</v>
    </nc>
  </rcc>
  <rcc rId="2111" ua="false" sId="15">
    <oc r="C3" t="n">
      <v>0.1925</v>
    </oc>
    <nc r="C3" t="n">
      <v>0.1875</v>
    </nc>
  </rcc>
  <rcc rId="2112" ua="false" sId="15">
    <oc r="D3" t="n">
      <v>-0.3425</v>
    </oc>
    <nc r="D3" t="n">
      <v>-0.1425</v>
    </nc>
  </rcc>
  <rcc rId="2113" ua="false" sId="15">
    <oc r="C4" t="n">
      <v>0.2175</v>
    </oc>
    <nc r="C4" t="n">
      <v>0.2275</v>
    </nc>
  </rcc>
  <rcc rId="2114" ua="false" sId="15">
    <oc r="D4" t="n">
      <v>-0.4075</v>
    </oc>
    <nc r="D4" t="n">
      <v>-0.1925</v>
    </nc>
  </rcc>
  <rcc rId="2115" ua="false" sId="15">
    <oc r="D5" t="n">
      <v>-0.4175</v>
    </oc>
    <nc r="D5" t="n">
      <v>-0.25</v>
    </nc>
  </rcc>
  <rcc rId="2116" ua="false" sId="15">
    <oc r="C6" t="n">
      <v>0.2425</v>
    </oc>
    <nc r="C6" t="n">
      <v>0.2375</v>
    </nc>
  </rcc>
  <rcc rId="2117" ua="false" sId="15">
    <oc r="D6" t="n">
      <v>-0.6275</v>
    </oc>
    <nc r="D6" t="n">
      <v>-0.52</v>
    </nc>
  </rcc>
  <rcc rId="2118" ua="false" sId="15">
    <oc r="C7" t="n">
      <v>0.265</v>
    </oc>
    <nc r="C7" t="n">
      <v>0.2675</v>
    </nc>
  </rcc>
  <rcc rId="2119" ua="false" sId="15">
    <oc r="D7" t="n">
      <v>-0.825</v>
    </oc>
    <nc r="D7" t="n">
      <v>-0.715</v>
    </nc>
  </rcc>
  <rcc rId="2120" ua="false" sId="15">
    <oc r="C8" t="n">
      <v>0.32</v>
    </oc>
    <nc r="C8" t="n">
      <v>0.315</v>
    </nc>
  </rcc>
  <rcc rId="2121" ua="false" sId="15">
    <oc r="D8" t="n">
      <v>-1.13</v>
    </oc>
    <nc r="D8" t="n">
      <v>-1.065</v>
    </nc>
  </rcc>
  <rcc rId="2122" ua="false" sId="15">
    <oc r="D9" t="n">
      <v>-1.2575</v>
    </oc>
    <nc r="D9" t="n">
      <v>-1.195</v>
    </nc>
  </rcc>
  <rcc rId="2123" ua="false" sId="15">
    <oc r="C10" t="n">
      <v>0.355</v>
    </oc>
    <nc r="C10" t="n">
      <v>0.36</v>
    </nc>
  </rcc>
  <rcc rId="2124" ua="false" sId="15">
    <oc r="D10" t="n">
      <v>-1.345</v>
    </oc>
    <nc r="D10" t="n">
      <v>-1.3</v>
    </nc>
  </rcc>
  <rcc rId="2125" ua="false" sId="15">
    <oc r="C11" t="n">
      <v>0.385</v>
    </oc>
    <nc r="C11" t="n">
      <v>0.39</v>
    </nc>
  </rcc>
  <rcc rId="2126" ua="false" sId="15">
    <oc r="D11" t="n">
      <v>-1.585</v>
    </oc>
    <nc r="D11" t="n">
      <v>-1.54</v>
    </nc>
  </rcc>
  <rcc rId="2127" ua="false" sId="16">
    <oc r="C2" t="n">
      <v>0.17</v>
    </oc>
    <nc r="C2" t="n">
      <v>0.1675</v>
    </nc>
  </rcc>
  <rcc rId="2128" ua="false" sId="16">
    <oc r="D2" t="n">
      <v>0.415</v>
    </oc>
    <nc r="D2" t="n">
      <v>0.3625</v>
    </nc>
  </rcc>
  <rcc rId="2129" ua="false" sId="16">
    <oc r="C3" t="n">
      <v>0.18</v>
    </oc>
    <nc r="C3" t="n">
      <v>0.1775</v>
    </nc>
  </rcc>
  <rcc rId="2130" ua="false" sId="16">
    <oc r="D3" t="n">
      <v>0.445</v>
    </oc>
    <nc r="D3" t="n">
      <v>0.4275</v>
    </nc>
  </rcc>
  <rcc rId="2131" ua="false" sId="16">
    <oc r="C4" t="n">
      <v>0.195</v>
    </oc>
    <nc r="C4" t="n">
      <v>0.19</v>
    </nc>
  </rcc>
  <rcc rId="2132" ua="false" sId="16">
    <oc r="D4" t="n">
      <v>0.535</v>
    </oc>
    <nc r="D4" t="n">
      <v>0.47</v>
    </nc>
  </rcc>
  <rcc rId="2133" ua="false" sId="16">
    <oc r="C5" t="n">
      <v>0.215</v>
    </oc>
    <nc r="C5" t="n">
      <v>0.2125</v>
    </nc>
  </rcc>
  <rcc rId="2134" ua="false" sId="16">
    <oc r="D5" t="n">
      <v>0.67</v>
    </oc>
    <nc r="D5" t="n">
      <v>0.62</v>
    </nc>
  </rcc>
  <rcc rId="2135" ua="false" sId="16">
    <oc r="C6" t="n">
      <v>0.235</v>
    </oc>
    <nc r="C6" t="n">
      <v>0.2375</v>
    </nc>
  </rcc>
  <rcc rId="2136" ua="false" sId="16">
    <oc r="D6" t="n">
      <v>0.76</v>
    </oc>
    <nc r="D6" t="n">
      <v>0.7375</v>
    </nc>
  </rcc>
  <rcc rId="2137" ua="false" sId="16">
    <oc r="D7" t="n">
      <v>0.97</v>
    </oc>
    <nc r="D7" t="n">
      <v>0.945</v>
    </nc>
  </rcc>
  <rcc rId="2138" ua="false" sId="16">
    <oc r="C8" t="n">
      <v>0.3125</v>
    </oc>
    <nc r="C8" t="n">
      <v>0.3175</v>
    </nc>
  </rcc>
  <rcc rId="2139" ua="false" sId="16">
    <oc r="D8" t="n">
      <v>1.1175</v>
    </oc>
    <nc r="D8" t="n">
      <v>1.08</v>
    </nc>
  </rcc>
  <rcc rId="2140" ua="false" sId="16">
    <oc r="C9" t="n">
      <v>0.33</v>
    </oc>
    <nc r="C9" t="n">
      <v>0.34</v>
    </nc>
  </rcc>
  <rcc rId="2141" ua="false" sId="16">
    <oc r="D9" t="n">
      <v>1.24</v>
    </oc>
    <nc r="D9" t="n">
      <v>1.19</v>
    </nc>
  </rcc>
  <rcc rId="2142" ua="false" sId="16">
    <oc r="C10" t="n">
      <v>0.355</v>
    </oc>
    <nc r="C10" t="n">
      <v>0.37</v>
    </nc>
  </rcc>
  <rcc rId="2143" ua="false" sId="16">
    <oc r="D10" t="n">
      <v>1.33</v>
    </oc>
    <nc r="D10" t="n">
      <v>1.305</v>
    </nc>
  </rcc>
  <rcc rId="2144" ua="false" sId="10">
    <oc r="C2" t="n">
      <v>0.1775</v>
    </oc>
    <nc r="C2" t="n">
      <v>0.1375</v>
    </nc>
  </rcc>
  <rcc rId="2145" ua="false" sId="10">
    <oc r="D2" t="n">
      <v>0.2675</v>
    </oc>
    <nc r="D2" t="n">
      <v>0.2325</v>
    </nc>
  </rcc>
  <rcc rId="2146" ua="false" sId="10">
    <oc r="C3" t="n">
      <v>0.1775</v>
    </oc>
    <nc r="C3" t="n">
      <v>0.14</v>
    </nc>
  </rcc>
  <rcc rId="2147" ua="false" sId="10">
    <oc r="D3" t="n">
      <v>0.3525</v>
    </oc>
    <nc r="D3" t="n">
      <v>0.335</v>
    </nc>
  </rcc>
  <rcc rId="2148" ua="false" sId="10">
    <oc r="C4" t="n">
      <v>0.2075</v>
    </oc>
    <nc r="C4" t="n">
      <v>0.1525</v>
    </nc>
  </rcc>
  <rcc rId="2149" ua="false" sId="10">
    <oc r="D4" t="n">
      <v>0.41</v>
    </oc>
    <nc r="D4" t="n">
      <v>0.36</v>
    </nc>
  </rcc>
  <rcc rId="2150" ua="false" sId="10">
    <oc r="C5" t="n">
      <v>0.2275</v>
    </oc>
    <nc r="C5" t="n">
      <v>0.175</v>
    </nc>
  </rcc>
  <rcc rId="2151" ua="false" sId="10">
    <oc r="D5" t="n">
      <v>0.545</v>
    </oc>
    <nc r="D5" t="n">
      <v>0.455</v>
    </nc>
  </rcc>
  <rcc rId="2152" ua="false" sId="10">
    <oc r="C6" t="n">
      <v>0.255</v>
    </oc>
    <nc r="C6" t="n">
      <v>0.215</v>
    </nc>
  </rcc>
  <rcc rId="2153" ua="false" sId="10">
    <oc r="D6" t="n">
      <v>0.725</v>
    </oc>
    <nc r="D6" t="n">
      <v>0.53</v>
    </nc>
  </rcc>
  <rcc rId="2154" ua="false" sId="10">
    <oc r="C7" t="n">
      <v>0.3</v>
    </oc>
    <nc r="C7" t="n">
      <v>0.25</v>
    </nc>
  </rcc>
  <rcc rId="2155" ua="false" sId="10">
    <oc r="D7" t="n">
      <v>0.91</v>
    </oc>
    <nc r="D7" t="n">
      <v>0.7125</v>
    </nc>
  </rcc>
  <rcc rId="2156" ua="false" sId="10">
    <oc r="C8" t="n">
      <v>0.3375</v>
    </oc>
    <nc r="C8" t="n">
      <v>0.3</v>
    </nc>
  </rcc>
  <rcc rId="2157" ua="false" sId="10">
    <oc r="D8" t="n">
      <v>1.1075</v>
    </oc>
    <nc r="D8" t="n">
      <v>0.805</v>
    </nc>
  </rcc>
  <rcc rId="2158" ua="false" sId="10">
    <oc r="C9" t="n">
      <v>0.37</v>
    </oc>
    <nc r="C9" t="n">
      <v>0.32</v>
    </nc>
  </rcc>
  <rcc rId="2159" ua="false" sId="10">
    <oc r="D9" t="n">
      <v>1.1925</v>
    </oc>
    <nc r="D9" t="n">
      <v>0.9775</v>
    </nc>
  </rcc>
  <rcc rId="2160" ua="false" sId="10">
    <oc r="C10" t="n">
      <v>0.39</v>
    </oc>
    <nc r="C10" t="n">
      <v>0.3575</v>
    </nc>
  </rcc>
  <rcc rId="2161" ua="false" sId="10">
    <oc r="D10" t="n">
      <v>1.35</v>
    </oc>
    <nc r="D10" t="n">
      <v>1.1275</v>
    </nc>
  </rcc>
</revisions>
</file>

<file path=xl/revisions/revisionLog220.xml><?xml version="1.0" encoding="utf-8"?>
<revisions xmlns="http://schemas.openxmlformats.org/spreadsheetml/2006/main" xmlns:r="http://schemas.openxmlformats.org/officeDocument/2006/relationships">
  <rcc rId="2162" ua="false" sId="18">
    <oc r="G3" t="n">
      <v>7.08</v>
    </oc>
    <nc r="G3" t="n">
      <v>7.12</v>
    </nc>
  </rcc>
</revisions>
</file>

<file path=xl/revisions/revisionLog221.xml><?xml version="1.0" encoding="utf-8"?>
<revisions xmlns="http://schemas.openxmlformats.org/spreadsheetml/2006/main" xmlns:r="http://schemas.openxmlformats.org/officeDocument/2006/relationships">
  <rcc rId="2163" ua="false" sId="18">
    <oc r="H3" t="n">
      <v>10.55</v>
    </oc>
    <nc r="H3" t="n">
      <v>10.65</v>
    </nc>
  </rcc>
  <rcc rId="2164" ua="false" sId="18">
    <oc r="H2" t="n">
      <v>10.05</v>
    </oc>
    <nc r="H2" t="n">
      <v>10</v>
    </nc>
  </rcc>
  <rcc rId="2165" ua="false" sId="18">
    <oc r="H5" t="n">
      <v>0.7</v>
    </oc>
    <nc r="H5" t="n">
      <v>0.9</v>
    </nc>
  </rcc>
</revisions>
</file>

<file path=xl/revisions/revisionLog222.xml><?xml version="1.0" encoding="utf-8"?>
<revisions xmlns="http://schemas.openxmlformats.org/spreadsheetml/2006/main" xmlns:r="http://schemas.openxmlformats.org/officeDocument/2006/relationships">
  <rcc rId="2166" ua="false" sId="18">
    <oc r="J2" t="n">
      <v>11.65</v>
    </oc>
    <nc r="J2" t="n">
      <v>11.3</v>
    </nc>
  </rcc>
  <rcc rId="2167" ua="false" sId="18">
    <oc r="J5" t="n">
      <v>4.9</v>
    </oc>
    <nc r="J5" t="n">
      <v>4.2</v>
    </nc>
  </rcc>
</revisions>
</file>

<file path=xl/revisions/revisionLog223.xml><?xml version="1.0" encoding="utf-8"?>
<revisions xmlns="http://schemas.openxmlformats.org/spreadsheetml/2006/main" xmlns:r="http://schemas.openxmlformats.org/officeDocument/2006/relationships">
  <rcc rId="2168" ua="false" sId="18">
    <oc r="G2" t="n">
      <v>6.1</v>
    </oc>
    <nc r="G2" t="n">
      <v>6.25</v>
    </nc>
  </rcc>
  <rcc rId="2169" ua="false" sId="18">
    <oc r="G5" t="n">
      <v>2.1</v>
    </oc>
    <nc r="G5" t="n">
      <v>2.5</v>
    </nc>
  </rcc>
</revisions>
</file>

<file path=xl/revisions/revisionLog224.xml><?xml version="1.0" encoding="utf-8"?>
<revisions xmlns="http://schemas.openxmlformats.org/spreadsheetml/2006/main" xmlns:r="http://schemas.openxmlformats.org/officeDocument/2006/relationships">
  <rcc rId="2170" ua="false" sId="18">
    <oc r="B2" t="n">
      <v>5.3</v>
    </oc>
    <nc r="B2" t="n">
      <v>5</v>
    </nc>
  </rcc>
</revisions>
</file>

<file path=xl/revisions/revisionLog225.xml><?xml version="1.0" encoding="utf-8"?>
<revisions xmlns="http://schemas.openxmlformats.org/spreadsheetml/2006/main" xmlns:r="http://schemas.openxmlformats.org/officeDocument/2006/relationships">
  <rcc rId="2171" ua="false" sId="18">
    <oc r="F2" t="n">
      <v>4.7</v>
    </oc>
    <nc r="F2" t="n">
      <v>5</v>
    </nc>
  </rcc>
</revisions>
</file>

<file path=xl/revisions/revisionLog226.xml><?xml version="1.0" encoding="utf-8"?>
<revisions xmlns="http://schemas.openxmlformats.org/spreadsheetml/2006/main" xmlns:r="http://schemas.openxmlformats.org/officeDocument/2006/relationships">
  <rcc rId="2172" ua="false" sId="18">
    <oc r="I2" t="n">
      <v>7.55</v>
    </oc>
    <nc r="I2" t="n">
      <v>7.65</v>
    </nc>
  </rcc>
</revisions>
</file>

<file path=xl/revisions/revisionLog227.xml><?xml version="1.0" encoding="utf-8"?>
<revisions xmlns="http://schemas.openxmlformats.org/spreadsheetml/2006/main" xmlns:r="http://schemas.openxmlformats.org/officeDocument/2006/relationships">
  <rcc rId="2173" ua="false" sId="18">
    <oc r="G15" t="n">
      <v>2</v>
    </oc>
    <nc r="G15" t="n">
      <v>4</v>
    </nc>
  </rcc>
  <rcc rId="2174" ua="false" sId="18">
    <oc r="F15" t="n">
      <v>2</v>
    </oc>
    <nc r="F15" t="n">
      <v>4</v>
    </nc>
  </rcc>
  <rcc rId="2175" ua="false" sId="18">
    <oc r="F3" t="n">
      <v>7.78</v>
    </oc>
    <nc r="F3" t="n">
      <v>7.7</v>
    </nc>
  </rcc>
  <rcc rId="2176" ua="false" sId="18">
    <oc r="F2" t="n">
      <v>6.5</v>
    </oc>
    <nc r="F2" t="n">
      <v>6.25</v>
    </nc>
  </rcc>
</revisions>
</file>

<file path=xl/revisions/revisionLog228.xml><?xml version="1.0" encoding="utf-8"?>
<revisions xmlns="http://schemas.openxmlformats.org/spreadsheetml/2006/main" xmlns:r="http://schemas.openxmlformats.org/officeDocument/2006/relationships">
  <rcc rId="2177" ua="false" sId="18">
    <oc r="H2" t="n">
      <v>10</v>
    </oc>
    <nc r="H2" t="n">
      <v>10.2</v>
    </nc>
  </rcc>
  <rcc rId="2178" ua="false" sId="18">
    <oc r="H3" t="n">
      <v>10.65</v>
    </oc>
    <nc r="H3" t="n">
      <v>10.6</v>
    </nc>
  </rcc>
</revisions>
</file>

<file path=xl/revisions/revisionLog229.xml><?xml version="1.0" encoding="utf-8"?>
<revisions xmlns="http://schemas.openxmlformats.org/spreadsheetml/2006/main" xmlns:r="http://schemas.openxmlformats.org/officeDocument/2006/relationships">
  <rcc rId="2179" ua="false" sId="18">
    <oc r="H2" t="n">
      <v>10.2</v>
    </oc>
    <nc r="H2" t="n">
      <v>10.52</v>
    </nc>
  </rcc>
</revisions>
</file>

<file path=xl/revisions/revisionLog230.xml><?xml version="1.0" encoding="utf-8"?>
<revisions xmlns="http://schemas.openxmlformats.org/spreadsheetml/2006/main" xmlns:r="http://schemas.openxmlformats.org/officeDocument/2006/relationships">
  <rcc rId="2180" ua="false" sId="18">
    <oc r="L6" t="n">
      <v>4.5</v>
    </oc>
    <nc r="L6" t="n">
      <v>5</v>
    </nc>
  </rcc>
</revisions>
</file>

<file path=xl/revisions/revisionLog231.xml><?xml version="1.0" encoding="utf-8"?>
<revisions xmlns="http://schemas.openxmlformats.org/spreadsheetml/2006/main" xmlns:r="http://schemas.openxmlformats.org/officeDocument/2006/relationships">
  <rcc rId="2181" ua="false" sId="18">
    <oc r="F5" t="n">
      <v>0.2</v>
    </oc>
    <nc r="F5" t="n">
      <v>0.3</v>
    </nc>
  </rcc>
  <rcc rId="2182" ua="false" sId="18">
    <oc r="F2" t="n">
      <v>5.8</v>
    </oc>
    <nc r="F2" t="n">
      <v>6</v>
    </nc>
  </rcc>
</revisions>
</file>

<file path=xl/revisions/revisionLog232.xml><?xml version="1.0" encoding="utf-8"?>
<revisions xmlns="http://schemas.openxmlformats.org/spreadsheetml/2006/main" xmlns:r="http://schemas.openxmlformats.org/officeDocument/2006/relationships">
  <rcc rId="2183" ua="false" sId="18">
    <oc r="H2" t="n">
      <v>10.52</v>
    </oc>
    <nc r="H2" t="n">
      <v>10.45</v>
    </nc>
  </rcc>
  <rcc rId="2184" ua="false" sId="18">
    <oc r="H5" t="n">
      <v>0.9</v>
    </oc>
    <nc r="H5" t="n">
      <v>1.1</v>
    </nc>
  </rcc>
</revisions>
</file>

<file path=xl/revisions/revisionLog233.xml><?xml version="1.0" encoding="utf-8"?>
<revisions xmlns="http://schemas.openxmlformats.org/spreadsheetml/2006/main" xmlns:r="http://schemas.openxmlformats.org/officeDocument/2006/relationships">
  <rcc rId="2185" ua="false" sId="18">
    <oc r="B6" t="n">
      <v>4.5</v>
    </oc>
    <nc r="B6" t="n">
      <v>5</v>
    </nc>
  </rcc>
</revisions>
</file>

<file path=xl/revisions/revisionLog234.xml><?xml version="1.0" encoding="utf-8"?>
<revisions xmlns="http://schemas.openxmlformats.org/spreadsheetml/2006/main" xmlns:r="http://schemas.openxmlformats.org/officeDocument/2006/relationships">
  <rcc rId="2186" ua="false" sId="18">
    <oc r="G5" t="n">
      <v>2.85</v>
    </oc>
    <nc r="G5" t="n">
      <v>2.95</v>
    </nc>
  </rcc>
</revisions>
</file>

<file path=xl/revisions/revisionLog235.xml><?xml version="1.0" encoding="utf-8"?>
<revisions xmlns="http://schemas.openxmlformats.org/spreadsheetml/2006/main" xmlns:r="http://schemas.openxmlformats.org/officeDocument/2006/relationships">
  <rcc rId="2187" ua="false" sId="18">
    <oc r="J2" t="n">
      <v>10.2</v>
    </oc>
    <nc r="J2" t="n">
      <v>10.15</v>
    </nc>
  </rcc>
  <rcc rId="2188" ua="false" sId="18">
    <oc r="J5" t="n">
      <v>0.4</v>
    </oc>
    <nc r="J5" t="n">
      <v>0.6</v>
    </nc>
  </rcc>
  <rcc rId="2189" ua="false" sId="18">
    <oc r="J3" t="n">
      <v>10.4</v>
    </oc>
    <nc r="J3" t="n">
      <v>10.45</v>
    </nc>
  </rcc>
</revisions>
</file>

<file path=xl/revisions/revisionLog236.xml><?xml version="1.0" encoding="utf-8"?>
<revisions xmlns="http://schemas.openxmlformats.org/spreadsheetml/2006/main" xmlns:r="http://schemas.openxmlformats.org/officeDocument/2006/relationships">
  <rcc rId="2190" ua="false" sId="18">
    <oc r="B3" t="n">
      <v>6.7</v>
    </oc>
    <nc r="B3" t="n">
      <v>6.75</v>
    </nc>
  </rcc>
  <rcc rId="2191" ua="false" sId="18">
    <oc r="B6" t="n">
      <v>5.5</v>
    </oc>
    <nc r="B6" t="n">
      <v>5</v>
    </nc>
  </rcc>
</revisions>
</file>

<file path=xl/revisions/revisionLog237.xml><?xml version="1.0" encoding="utf-8"?>
<revisions xmlns="http://schemas.openxmlformats.org/spreadsheetml/2006/main" xmlns:r="http://schemas.openxmlformats.org/officeDocument/2006/relationships">
  <rcc rId="2192" ua="false" sId="18">
    <oc r="I5" t="n">
      <v>1</v>
    </oc>
    <nc r="I5" t="n">
      <v>0.9</v>
    </nc>
  </rcc>
  <rcc rId="2193" ua="false" sId="18">
    <oc r="I5" t="n">
      <v>0.9</v>
    </oc>
    <nc r="I5" t="n">
      <v>0.85</v>
    </nc>
  </rcc>
</revisions>
</file>

<file path=xl/revisions/revisionLog238.xml><?xml version="1.0" encoding="utf-8"?>
<revisions xmlns="http://schemas.openxmlformats.org/spreadsheetml/2006/main" xmlns:r="http://schemas.openxmlformats.org/officeDocument/2006/relationships">
  <rcc rId="2194" ua="false" sId="18">
    <oc r="J2" t="n">
      <v>10.74</v>
    </oc>
    <nc r="J2" t="n">
      <v>10.8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>
  <rcc rId="2195" ua="false" sId="18">
    <oc r="I3" t="n">
      <v>9.2</v>
    </oc>
    <nc r="I3" t="n">
      <v>9.4</v>
    </nc>
  </rcc>
  <rcc rId="2196" ua="false" sId="18">
    <oc r="I2" t="n">
      <v>8.6</v>
    </oc>
    <nc r="I2" t="n">
      <v>8.7</v>
    </nc>
  </rcc>
  <rcc rId="2197" ua="false" sId="18">
    <oc r="I5" t="n">
      <v>3.8</v>
    </oc>
    <nc r="I5" t="n">
      <v>4.2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>
  <rcc rId="2198" ua="false" sId="18">
    <oc r="F5" t="n">
      <v>-0.2</v>
    </oc>
    <nc r="F5" t="n">
      <v>0.4</v>
    </nc>
  </rcc>
  <rcc rId="2199" ua="false" sId="18">
    <oc r="F2" t="n">
      <v>6.1</v>
    </oc>
    <nc r="F2" t="n">
      <v>6.05</v>
    </nc>
  </rcc>
  <rcc rId="2200" ua="false" sId="18">
    <oc r="F3" t="n">
      <v>7.8</v>
    </oc>
    <nc r="F3" t="n">
      <v>7.7</v>
    </nc>
  </rcc>
  <rcc rId="2201" ua="false" sId="18">
    <oc r="F2" t="n">
      <v>6.05</v>
    </oc>
    <nc r="F2" t="n">
      <v>5.95</v>
    </nc>
  </rcc>
  <rcc rId="2202" ua="false" sId="18">
    <oc r="F5" t="n">
      <v>0.4</v>
    </oc>
    <nc r="F5" t="n">
      <v>0.7</v>
    </nc>
  </rcc>
</revisions>
</file>

<file path=xl/revisions/revisionLog241.xml><?xml version="1.0" encoding="utf-8"?>
<revisions xmlns="http://schemas.openxmlformats.org/spreadsheetml/2006/main" xmlns:r="http://schemas.openxmlformats.org/officeDocument/2006/relationships">
  <rcc rId="2203" ua="false" sId="18">
    <oc r="H3" t="n">
      <v>10.6</v>
    </oc>
    <nc r="H3" t="n">
      <v>10.55</v>
    </nc>
  </rcc>
  <rcc rId="2204" ua="false" sId="18">
    <oc r="H2" t="n">
      <v>10.45</v>
    </oc>
    <nc r="H2" t="n">
      <v>10.4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>
  <rcc rId="2205" ua="false" sId="18">
    <oc r="G5" t="n">
      <v>2.5</v>
    </oc>
    <nc r="G5" t="n">
      <v>3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>
  <rcc rId="2206" ua="false" sId="18">
    <oc r="F2" t="n">
      <v>6.05</v>
    </oc>
    <nc r="F2" t="n">
      <v>6.35</v>
    </nc>
  </rcc>
  <rcc rId="2207" ua="false" sId="18">
    <oc r="F3" t="n">
      <v>7.75</v>
    </oc>
    <nc r="F3" t="n">
      <v>7.8</v>
    </nc>
  </rcc>
  <rcc rId="2208" ua="false" sId="18">
    <oc r="F2" t="n">
      <v>6.35</v>
    </oc>
    <nc r="F2" t="n">
      <v>6.3</v>
    </nc>
  </rcc>
  <rcc rId="2209" ua="false" sId="18">
    <oc r="F5" t="n">
      <v>0.2</v>
    </oc>
    <nc r="F5" t="n">
      <v>0.6</v>
    </nc>
  </rcc>
</revisions>
</file>

<file path=xl/revisions/revisionLog244.xml><?xml version="1.0" encoding="utf-8"?>
<revisions xmlns="http://schemas.openxmlformats.org/spreadsheetml/2006/main" xmlns:r="http://schemas.openxmlformats.org/officeDocument/2006/relationships">
  <rcc rId="2210" ua="false" sId="18">
    <oc r="F5" t="n">
      <v>0.6</v>
    </oc>
    <nc r="F5" t="n">
      <v>0.75</v>
    </nc>
  </rcc>
</revisions>
</file>

<file path=xl/revisions/revisionLog245.xml><?xml version="1.0" encoding="utf-8"?>
<revisions xmlns="http://schemas.openxmlformats.org/spreadsheetml/2006/main" xmlns:r="http://schemas.openxmlformats.org/officeDocument/2006/relationships">
  <rcc rId="2211" ua="false" sId="18">
    <oc r="I5" t="n">
      <v>0.2</v>
    </oc>
    <nc r="I5" t="n">
      <v>0.5</v>
    </nc>
  </rcc>
  <rcc rId="2212" ua="false" sId="18">
    <oc r="I2" t="n">
      <v>8.7</v>
    </oc>
    <nc r="I2" t="n">
      <v>8.72</v>
    </nc>
  </rcc>
</revisions>
</file>

<file path=xl/revisions/revisionLog246.xml><?xml version="1.0" encoding="utf-8"?>
<revisions xmlns="http://schemas.openxmlformats.org/spreadsheetml/2006/main" xmlns:r="http://schemas.openxmlformats.org/officeDocument/2006/relationships">
  <rcc rId="2213" ua="false" sId="18">
    <oc r="G2" t="n">
      <v>5.67</v>
    </oc>
    <nc r="G2" t="n">
      <v>5.68</v>
    </nc>
  </rcc>
</revisions>
</file>

<file path=xl/revisions/revisionLog247.xml><?xml version="1.0" encoding="utf-8"?>
<revisions xmlns="http://schemas.openxmlformats.org/spreadsheetml/2006/main" xmlns:r="http://schemas.openxmlformats.org/officeDocument/2006/relationships">
  <rcc rId="2214" ua="false" sId="18">
    <oc r="F3" t="n">
      <v>7.8</v>
    </oc>
    <nc r="F3" t="n">
      <v>7.83</v>
    </nc>
  </rcc>
</revisions>
</file>

<file path=xl/revisions/revisionLog248.xml><?xml version="1.0" encoding="utf-8"?>
<revisions xmlns="http://schemas.openxmlformats.org/spreadsheetml/2006/main" xmlns:r="http://schemas.openxmlformats.org/officeDocument/2006/relationships">
  <rcc rId="2215" ua="false" sId="18">
    <oc r="B2" t="n">
      <v>5.2</v>
    </oc>
    <nc r="B2" t="n">
      <v>5.15</v>
    </nc>
  </rcc>
</revisions>
</file>

<file path=xl/revisions/revisionLog249.xml><?xml version="1.0" encoding="utf-8"?>
<revisions xmlns="http://schemas.openxmlformats.org/spreadsheetml/2006/main" xmlns:r="http://schemas.openxmlformats.org/officeDocument/2006/relationships">
  <rcc rId="2216" ua="false" sId="18">
    <oc r="I2" t="n">
      <v>7.65</v>
    </oc>
    <nc r="I2" t="n">
      <v>7.8</v>
    </nc>
  </rcc>
  <rcc rId="2217" ua="false" sId="18">
    <oc r="I3" t="n">
      <v>8.8</v>
    </oc>
    <nc r="I3" t="n">
      <v>8.85</v>
    </nc>
  </rcc>
  <rcc rId="2218" ua="false" sId="18">
    <oc r="I5" t="n">
      <v>1.1</v>
    </oc>
    <nc r="I5" t="n">
      <v>1.4</v>
    </nc>
  </rcc>
  <rcc rId="2219" ua="false" sId="18">
    <oc r="I2" t="n">
      <v>7.8</v>
    </oc>
    <nc r="I2" t="n">
      <v>7.85</v>
    </nc>
  </rcc>
</revisions>
</file>

<file path=xl/revisions/revisionLog250.xml><?xml version="1.0" encoding="utf-8"?>
<revisions xmlns="http://schemas.openxmlformats.org/spreadsheetml/2006/main" xmlns:r="http://schemas.openxmlformats.org/officeDocument/2006/relationships">
  <rcc rId="2220" ua="false" sId="18">
    <oc r="F3" t="n">
      <v>7.7</v>
    </oc>
    <nc r="F3" t="n">
      <v>7.75</v>
    </nc>
  </rcc>
  <rcc rId="2221" ua="false" sId="18">
    <oc r="F3" t="n">
      <v>7.75</v>
    </oc>
    <nc r="F3" t="n">
      <v>7.8</v>
    </nc>
  </rcc>
</revisions>
</file>

<file path=xl/revisions/revisionLog251.xml><?xml version="1.0" encoding="utf-8"?>
<revisions xmlns="http://schemas.openxmlformats.org/spreadsheetml/2006/main" xmlns:r="http://schemas.openxmlformats.org/officeDocument/2006/relationships">
  <rcc rId="2222" ua="false" sId="18">
    <oc r="H3" t="n">
      <v>11.05</v>
    </oc>
    <nc r="H3" t="n">
      <v>10.95</v>
    </nc>
  </rcc>
  <rcc rId="2223" ua="false" sId="18">
    <oc r="H5" t="n">
      <v>1.4</v>
    </oc>
    <nc r="H5" t="n">
      <v>1.8</v>
    </nc>
  </rcc>
  <rcc rId="2224" ua="false" sId="18">
    <oc r="H2" t="n">
      <v>11.85</v>
    </oc>
    <nc r="H2" t="n">
      <v>11.6</v>
    </nc>
  </rcc>
</revisions>
</file>

<file path=xl/revisions/revisionLog252.xml><?xml version="1.0" encoding="utf-8"?>
<revisions xmlns="http://schemas.openxmlformats.org/spreadsheetml/2006/main" xmlns:r="http://schemas.openxmlformats.org/officeDocument/2006/relationships">
  <rcc rId="2225" ua="false" sId="18">
    <oc r="I5" t="n">
      <v>1.4</v>
    </oc>
    <nc r="I5" t="n">
      <v>1.6</v>
    </nc>
  </rcc>
  <rcc rId="2226" ua="false" sId="18">
    <oc r="I3" t="n">
      <v>8.85</v>
    </oc>
    <nc r="I3" t="n">
      <v>8.88</v>
    </nc>
  </rcc>
</revisions>
</file>

<file path=xl/revisions/revisionLog253.xml><?xml version="1.0" encoding="utf-8"?>
<revisions xmlns="http://schemas.openxmlformats.org/spreadsheetml/2006/main" xmlns:r="http://schemas.openxmlformats.org/officeDocument/2006/relationships">
  <rcc rId="2227" ua="false" sId="18">
    <oc r="I3" t="n">
      <v>8.88</v>
    </oc>
    <nc r="I3" t="n">
      <v>8.9</v>
    </nc>
  </rcc>
</revisions>
</file>

<file path=xl/revisions/revisionLog254.xml><?xml version="1.0" encoding="utf-8"?>
<revisions xmlns="http://schemas.openxmlformats.org/spreadsheetml/2006/main" xmlns:r="http://schemas.openxmlformats.org/officeDocument/2006/relationships">
  <rcc rId="2228" ua="false" sId="18">
    <oc r="A18" t="inlineStr">
      <is>
        <r>
          <rPr>
            <sz val="11"/>
            <rFont val="Calibri"/>
            <family val="0"/>
            <charset val="1"/>
          </rPr>
          <t xml:space="preserve">03/11/2021 00:00</t>
        </r>
      </is>
    </oc>
    <nc r="A18" t="inlineStr">
      <is>
        <r>
          <rPr>
            <sz val="11"/>
            <rFont val="Calibri"/>
            <family val="0"/>
            <charset val="1"/>
          </rPr>
          <t xml:space="preserve">03/18/2021 00:00</t>
        </r>
      </is>
    </nc>
  </rcc>
</revisions>
</file>

<file path=xl/revisions/revisionLog255.xml><?xml version="1.0" encoding="utf-8"?>
<revisions xmlns="http://schemas.openxmlformats.org/spreadsheetml/2006/main" xmlns:r="http://schemas.openxmlformats.org/officeDocument/2006/relationships">
  <rcc rId="2229" ua="false" sId="18">
    <oc r="F2" t="n">
      <v>6.25</v>
    </oc>
    <nc r="F2" t="n">
      <v>6.15</v>
    </nc>
  </rcc>
  <rcc rId="2230" ua="false" sId="18">
    <oc r="F5" t="n">
      <v>0.9</v>
    </oc>
    <nc r="F5" t="n">
      <v>0.7</v>
    </nc>
  </rcc>
  <rcc rId="2231" ua="false" sId="18">
    <oc r="F15" t="n">
      <v>4</v>
    </oc>
    <nc r="F15" t="n">
      <v>6</v>
    </nc>
  </rcc>
</revisions>
</file>

<file path=xl/revisions/revisionLog256.xml><?xml version="1.0" encoding="utf-8"?>
<revisions xmlns="http://schemas.openxmlformats.org/spreadsheetml/2006/main" xmlns:r="http://schemas.openxmlformats.org/officeDocument/2006/relationships">
  <rcc rId="2232" ua="false" sId="18">
    <oc r="B3" t="n">
      <v>6.95</v>
    </oc>
    <nc r="B3" t="n">
      <v>7</v>
    </nc>
  </rcc>
</revisions>
</file>

<file path=xl/revisions/revisionLog257.xml><?xml version="1.0" encoding="utf-8"?>
<revisions xmlns="http://schemas.openxmlformats.org/spreadsheetml/2006/main" xmlns:r="http://schemas.openxmlformats.org/officeDocument/2006/relationships">
  <rcc rId="2233" ua="false" sId="18">
    <oc r="M2" t="n">
      <v>0.683</v>
    </oc>
    <nc r="M2" t="n">
      <v>0.7</v>
    </nc>
  </rcc>
</revisions>
</file>

<file path=xl/revisions/revisionLog258.xml><?xml version="1.0" encoding="utf-8"?>
<revisions xmlns="http://schemas.openxmlformats.org/spreadsheetml/2006/main" xmlns:r="http://schemas.openxmlformats.org/officeDocument/2006/relationships">
  <rcc rId="2234" ua="false" sId="18">
    <oc r="F3" t="n">
      <v>7.45</v>
    </oc>
    <nc r="F3" t="n">
      <v>7.5</v>
    </nc>
  </rcc>
  <rcc rId="2235" ua="false" sId="18">
    <oc r="F5" t="n">
      <v>0.3</v>
    </oc>
    <nc r="F5" t="n">
      <v>0.4</v>
    </nc>
  </rcc>
  <rcc rId="2236" ua="false" sId="18">
    <oc r="F2" t="n">
      <v>6</v>
    </oc>
    <nc r="F2" t="n">
      <v>6.05</v>
    </nc>
  </rcc>
</revisions>
</file>

<file path=xl/revisions/revisionLog259.xml><?xml version="1.0" encoding="utf-8"?>
<revisions xmlns="http://schemas.openxmlformats.org/spreadsheetml/2006/main" xmlns:r="http://schemas.openxmlformats.org/officeDocument/2006/relationships">
  <rcc rId="2237" ua="false" sId="18">
    <oc r="F2" t="n">
      <v>5</v>
    </oc>
    <nc r="F2" t="n">
      <v>5.3</v>
    </nc>
  </rcc>
  <rcc rId="2238" ua="false" sId="18">
    <oc r="F3" t="n">
      <v>7.5</v>
    </oc>
    <nc r="F3" t="n">
      <v>7.45</v>
    </nc>
  </rcc>
</revisions>
</file>

<file path=xl/revisions/revisionLog260.xml><?xml version="1.0" encoding="utf-8"?>
<revisions xmlns="http://schemas.openxmlformats.org/spreadsheetml/2006/main" xmlns:r="http://schemas.openxmlformats.org/officeDocument/2006/relationships">
  <rcc rId="2239" ua="false" sId="18">
    <oc r="F2" t="n">
      <v>5.95</v>
    </oc>
    <nc r="F2" t="n">
      <v>5.9</v>
    </nc>
  </rcc>
  <rcc rId="2240" ua="false" sId="18">
    <oc r="F5" t="n">
      <v>0.7</v>
    </oc>
    <nc r="F5" t="n">
      <v>0.9</v>
    </nc>
  </rcc>
</revisions>
</file>

<file path=xl/revisions/revisionLog261.xml><?xml version="1.0" encoding="utf-8"?>
<revisions xmlns="http://schemas.openxmlformats.org/spreadsheetml/2006/main" xmlns:r="http://schemas.openxmlformats.org/officeDocument/2006/relationships">
  <rcc rId="2241" ua="false" sId="18">
    <oc r="H3" t="n">
      <v>11.2</v>
    </oc>
    <nc r="H3" t="n">
      <v>11.18</v>
    </nc>
  </rcc>
  <rcc rId="2242" ua="false" sId="18">
    <oc r="H2" t="n">
      <v>11.9</v>
    </oc>
    <nc r="H2" t="n">
      <v>11.95</v>
    </nc>
  </rcc>
  <rcc rId="2243" ua="false" sId="18">
    <oc r="H3" t="n">
      <v>11.18</v>
    </oc>
    <nc r="H3" t="n">
      <v>11.15</v>
    </nc>
  </rcc>
  <rrc rId="2244" ua="false" sId="19" eol="1" ref="52:52" action="insertRow"/>
  <rcc rId="2245" ua="false" sId="19">
    <nc r="B52" t="n">
      <v>207645</v>
    </nc>
  </rcc>
  <rcc rId="2246" ua="false" sId="19">
    <nc r="A52" t="n">
      <v>44263</v>
    </nc>
  </rcc>
  <rcc rId="2247" ua="false" sId="19">
    <nc r="C52" t="n">
      <f>C51+B52</f>
    </nc>
  </rcc>
</revisions>
</file>

<file path=xl/revisions/revisionLog262.xml><?xml version="1.0" encoding="utf-8"?>
<revisions xmlns="http://schemas.openxmlformats.org/spreadsheetml/2006/main" xmlns:r="http://schemas.openxmlformats.org/officeDocument/2006/relationships">
  <rcc rId="2248" ua="false" sId="18">
    <oc r="B20" t="n">
      <v>2</v>
    </oc>
    <nc r="B20" t="n">
      <v>0</v>
    </nc>
  </rcc>
  <rcc rId="2249" ua="false" sId="18">
    <oc r="B2" t="n">
      <v>5</v>
    </oc>
    <nc r="B2" t="n">
      <v>4.9</v>
    </nc>
  </rcc>
</revisions>
</file>

<file path=xl/revisions/revisionLog263.xml><?xml version="1.0" encoding="utf-8"?>
<revisions xmlns="http://schemas.openxmlformats.org/spreadsheetml/2006/main" xmlns:r="http://schemas.openxmlformats.org/officeDocument/2006/relationships">
  <rcc rId="2250" ua="false" sId="18">
    <oc r="G2" t="n">
      <v>6.15</v>
    </oc>
    <nc r="G2" t="n">
      <v>6.2</v>
    </nc>
  </rcc>
  <rcc rId="2251" ua="false" sId="18">
    <oc r="G5" t="n">
      <v>0.9</v>
    </oc>
    <nc r="G5" t="n">
      <v>1</v>
    </nc>
  </rcc>
</revisions>
</file>

<file path=xl/revisions/revisionLog264.xml><?xml version="1.0" encoding="utf-8"?>
<revisions xmlns="http://schemas.openxmlformats.org/spreadsheetml/2006/main" xmlns:r="http://schemas.openxmlformats.org/officeDocument/2006/relationships">
  <rcc rId="2252" ua="false" sId="18">
    <oc r="J2" t="n">
      <v>10.13</v>
    </oc>
    <nc r="J2" t="n">
      <v>10</v>
    </nc>
  </rcc>
  <rcc rId="2253" ua="false" sId="18">
    <oc r="J3" t="n">
      <v>10.47</v>
    </oc>
    <nc r="J3" t="n">
      <v>10.4</v>
    </nc>
  </rcc>
</revisions>
</file>

<file path=xl/revisions/revisionLog265.xml><?xml version="1.0" encoding="utf-8"?>
<revisions xmlns="http://schemas.openxmlformats.org/spreadsheetml/2006/main" xmlns:r="http://schemas.openxmlformats.org/officeDocument/2006/relationships">
  <rcc rId="2254" ua="false" sId="19">
    <oc r="B9" t="n">
      <v>3</v>
    </oc>
    <nc r="B9" t="n">
      <v>10</v>
    </nc>
  </rcc>
</revisions>
</file>

<file path=xl/revisions/revisionLog266.xml><?xml version="1.0" encoding="utf-8"?>
<revisions xmlns="http://schemas.openxmlformats.org/spreadsheetml/2006/main" xmlns:r="http://schemas.openxmlformats.org/officeDocument/2006/relationships">
  <rcc rId="2255" ua="false" sId="18">
    <oc r="G2" t="n">
      <v>6.3</v>
    </oc>
    <nc r="G2" t="n">
      <v>6.2</v>
    </nc>
  </rcc>
</revisions>
</file>

<file path=xl/revisions/revisionLog267.xml><?xml version="1.0" encoding="utf-8"?>
<revisions xmlns="http://schemas.openxmlformats.org/spreadsheetml/2006/main" xmlns:r="http://schemas.openxmlformats.org/officeDocument/2006/relationships">
  <rcc rId="2256" ua="false" sId="18">
    <oc r="B2" t="n">
      <v>5.15</v>
    </oc>
    <nc r="B2" t="n">
      <v>5.1</v>
    </nc>
  </rcc>
</revisions>
</file>

<file path=xl/revisions/revisionLog268.xml><?xml version="1.0" encoding="utf-8"?>
<revisions xmlns="http://schemas.openxmlformats.org/spreadsheetml/2006/main" xmlns:r="http://schemas.openxmlformats.org/officeDocument/2006/relationships">
  <rcc rId="2257" ua="false" sId="18">
    <oc r="J2" t="n">
      <v>10</v>
    </oc>
    <nc r="J2" t="n">
      <v>10.3</v>
    </nc>
  </rcc>
  <rcc rId="2258" ua="false" sId="18">
    <oc r="J3" t="n">
      <v>10.4</v>
    </oc>
    <nc r="J3" t="n">
      <v>10.55</v>
    </nc>
  </rcc>
  <rcc rId="2259" ua="false" sId="18">
    <oc r="J5" t="n">
      <v>0.8</v>
    </oc>
    <nc r="J5" t="n">
      <v>1</v>
    </nc>
  </rcc>
</revisions>
</file>

<file path=xl/revisions/revisionLog269.xml><?xml version="1.0" encoding="utf-8"?>
<revisions xmlns="http://schemas.openxmlformats.org/spreadsheetml/2006/main" xmlns:r="http://schemas.openxmlformats.org/officeDocument/2006/relationships">
  <rcc rId="2260" ua="false" sId="18">
    <oc r="B2" t="n">
      <v>5.1</v>
    </oc>
    <nc r="B2" t="n">
      <v>5</v>
    </nc>
  </rcc>
  <rcc rId="2261" ua="false" sId="18">
    <oc r="B3" t="n">
      <v>7</v>
    </oc>
    <nc r="B3" t="n">
      <v>7.1</v>
    </nc>
  </rcc>
</revisions>
</file>

<file path=xl/revisions/revisionLog270.xml><?xml version="1.0" encoding="utf-8"?>
<revisions xmlns="http://schemas.openxmlformats.org/spreadsheetml/2006/main" xmlns:r="http://schemas.openxmlformats.org/officeDocument/2006/relationships">
  <rcc rId="2262" ua="false" sId="18">
    <oc r="B3" t="n">
      <v>7.1</v>
    </oc>
    <nc r="B3" t="n">
      <v>7.05</v>
    </nc>
  </rcc>
  <rcc rId="2263" ua="false" sId="18">
    <oc r="B2" t="n">
      <v>5</v>
    </oc>
    <nc r="B2" t="n">
      <v>5.05</v>
    </nc>
  </rcc>
</revisions>
</file>

<file path=xl/revisions/revisionLog271.xml><?xml version="1.0" encoding="utf-8"?>
<revisions xmlns="http://schemas.openxmlformats.org/spreadsheetml/2006/main" xmlns:r="http://schemas.openxmlformats.org/officeDocument/2006/relationships">
  <rcc rId="2264" ua="false" sId="10">
    <oc r="C4" t="n">
      <v>0.1525</v>
    </oc>
    <nc r="C4" t="n">
      <v>0.1475</v>
    </nc>
  </rcc>
  <rcc rId="2265" ua="false" sId="10">
    <oc r="D4" t="n">
      <v>0.36</v>
    </oc>
    <nc r="D4" t="n">
      <v>0.3425</v>
    </nc>
  </rcc>
  <rcc rId="2266" ua="false" sId="10">
    <oc r="D5" t="n">
      <v>0.455</v>
    </oc>
    <nc r="D5" t="n">
      <v>0.425</v>
    </nc>
  </rcc>
  <rcc rId="2267" ua="false" sId="10">
    <oc r="D6" t="n">
      <v>0.53</v>
    </oc>
    <nc r="D6" t="n">
      <v>0.495</v>
    </nc>
  </rcc>
  <rcc rId="2268" ua="false" sId="10">
    <oc r="D7" t="n">
      <v>0.7125</v>
    </oc>
    <nc r="D7" t="n">
      <v>0.7175</v>
    </nc>
  </rcc>
  <rcc rId="2269" ua="false" sId="10">
    <oc r="D8" t="n">
      <v>0.805</v>
    </oc>
    <nc r="D8" t="n">
      <v>0.8225</v>
    </nc>
  </rcc>
  <rcc rId="2270" ua="false" sId="10">
    <oc r="D9" t="n">
      <v>0.9775</v>
    </oc>
    <nc r="D9" t="n">
      <v>0.985</v>
    </nc>
  </rcc>
  <rcc rId="2271" ua="false" sId="10">
    <oc r="D10" t="n">
      <v>1.1275</v>
    </oc>
    <nc r="D10" t="n">
      <v>1.135</v>
    </nc>
  </rcc>
  <rcc rId="2272" ua="false" sId="10">
    <oc r="D2" t="n">
      <v>0.2325</v>
    </oc>
    <nc r="D2" t="n">
      <v>0.29</v>
    </nc>
  </rcc>
  <rcc rId="2273" ua="false" sId="10">
    <oc r="C3" t="n">
      <v>0.14</v>
    </oc>
    <nc r="C3" t="n">
      <v>0.1425</v>
    </nc>
  </rcc>
  <rcc rId="2274" ua="false" sId="10">
    <oc r="D3" t="n">
      <v>0.335</v>
    </oc>
    <nc r="D3" t="n">
      <v>0.315</v>
    </nc>
  </rcc>
</revisions>
</file>

<file path=xl/revisions/revisionLog272.xml><?xml version="1.0" encoding="utf-8"?>
<revisions xmlns="http://schemas.openxmlformats.org/spreadsheetml/2006/main" xmlns:r="http://schemas.openxmlformats.org/officeDocument/2006/relationships">
  <rcc rId="2275" ua="false" sId="16">
    <oc r="C2" t="n">
      <v>0.1675</v>
    </oc>
    <nc r="C2" t="n">
      <v>0.1725</v>
    </nc>
  </rcc>
  <rcc rId="2276" ua="false" sId="16">
    <oc r="D2" t="n">
      <v>0.3625</v>
    </oc>
    <nc r="D2" t="n">
      <v>0.315</v>
    </nc>
  </rcc>
  <rcc rId="2277" ua="false" sId="16">
    <oc r="C3" t="n">
      <v>0.1775</v>
    </oc>
    <nc r="C3" t="n">
      <v>0.185</v>
    </nc>
  </rcc>
  <rcc rId="2278" ua="false" sId="16">
    <oc r="D3" t="n">
      <v>0.4275</v>
    </oc>
    <nc r="D3" t="n">
      <v>0.3625</v>
    </nc>
  </rcc>
  <rcc rId="2279" ua="false" sId="16">
    <oc r="C4" t="n">
      <v>0.19</v>
    </oc>
    <nc r="C4" t="n">
      <v>0.1975</v>
    </nc>
  </rcc>
  <rcc rId="2280" ua="false" sId="16">
    <oc r="D4" t="n">
      <v>0.47</v>
    </oc>
    <nc r="D4" t="n">
      <v>0.4775</v>
    </nc>
  </rcc>
  <rcc rId="2281" ua="false" sId="16">
    <oc r="D5" t="n">
      <v>0.62</v>
    </oc>
    <nc r="D5" t="n">
      <v>0.6375</v>
    </nc>
  </rcc>
  <rcc rId="2282" ua="false" sId="16">
    <oc r="D6" t="n">
      <v>0.7375</v>
    </oc>
    <nc r="D6" t="n">
      <v>0.725</v>
    </nc>
  </rcc>
  <rcc rId="2283" ua="false" sId="16">
    <oc r="C7" t="n">
      <v>0.28</v>
    </oc>
    <nc r="C7" t="n">
      <v>0.2775</v>
    </nc>
  </rcc>
  <rcc rId="2284" ua="false" sId="16">
    <oc r="D7" t="n">
      <v>0.945</v>
    </oc>
    <nc r="D7" t="n">
      <v>0.9575</v>
    </nc>
  </rcc>
  <rcc rId="2285" ua="false" sId="16">
    <oc r="C8" t="n">
      <v>0.3175</v>
    </oc>
    <nc r="C8" t="n">
      <v>0.3025</v>
    </nc>
  </rcc>
  <rcc rId="2286" ua="false" sId="16">
    <oc r="D8" t="n">
      <v>1.08</v>
    </oc>
    <nc r="D8" t="n">
      <v>1.0725</v>
    </nc>
  </rcc>
  <rcc rId="2287" ua="false" sId="16">
    <oc r="C9" t="n">
      <v>0.34</v>
    </oc>
    <nc r="C9" t="n">
      <v>0.3225</v>
    </nc>
  </rcc>
  <rcc rId="2288" ua="false" sId="16">
    <oc r="D9" t="n">
      <v>1.19</v>
    </oc>
    <nc r="D9" t="n">
      <v>1.1775</v>
    </nc>
  </rcc>
  <rcc rId="2289" ua="false" sId="16">
    <oc r="C10" t="n">
      <v>0.37</v>
    </oc>
    <nc r="C10" t="n">
      <v>0.3525</v>
    </nc>
  </rcc>
  <rcc rId="2290" ua="false" sId="16">
    <oc r="D10" t="n">
      <v>1.305</v>
    </oc>
    <nc r="D10" t="n">
      <v>1.2875</v>
    </nc>
  </rcc>
  <rcc rId="2291" ua="false" sId="13">
    <oc r="D2" t="n">
      <v>-0.0325</v>
    </oc>
    <nc r="D2" t="n">
      <v>0.0025</v>
    </nc>
  </rcc>
  <rcc rId="2292" ua="false" sId="13">
    <oc r="D3" t="n">
      <v>-0.0175</v>
    </oc>
    <nc r="D3" t="n">
      <v>0.0025</v>
    </nc>
  </rcc>
  <rcc rId="2293" ua="false" sId="13">
    <oc r="C5" t="n">
      <v>0.1475</v>
    </oc>
    <nc r="C5" t="n">
      <v>0.145</v>
    </nc>
  </rcc>
  <rcc rId="2294" ua="false" sId="13">
    <oc r="D5" t="n">
      <v>-0.0025</v>
    </oc>
    <nc r="D5" t="n">
      <v>0.015</v>
    </nc>
  </rcc>
  <rcc rId="2295" ua="false" sId="13">
    <oc r="C6" t="n">
      <v>0.1825</v>
    </oc>
    <nc r="C6" t="n">
      <v>0.18</v>
    </nc>
  </rcc>
  <rcc rId="2296" ua="false" sId="13">
    <oc r="D6" t="n">
      <v>0.0375</v>
    </oc>
    <nc r="D6" t="n">
      <v>0.0475</v>
    </nc>
  </rcc>
  <rcc rId="2297" ua="false" sId="13">
    <oc r="C7" t="n">
      <v>0.2</v>
    </oc>
    <nc r="C7" t="n">
      <v>0.1975</v>
    </nc>
  </rcc>
  <rcc rId="2298" ua="false" sId="13">
    <oc r="D8" t="n">
      <v>0.14</v>
    </oc>
    <nc r="D8" t="n">
      <v>0.15</v>
    </nc>
  </rcc>
  <rcc rId="2299" ua="false" sId="13">
    <oc r="D9" t="n">
      <v>0.1725</v>
    </oc>
    <nc r="D9" t="n">
      <v>0.17</v>
    </nc>
  </rcc>
  <rcc rId="2300" ua="false" sId="13">
    <oc r="C10" t="n">
      <v>0.315</v>
    </oc>
    <nc r="C10" t="n">
      <v>0.3175</v>
    </nc>
  </rcc>
  <rcc rId="2301" ua="false" sId="13">
    <oc r="D10" t="n">
      <v>0.1925</v>
    </oc>
    <nc r="D10" t="n">
      <v>0.2</v>
    </nc>
  </rcc>
  <rcc rId="2302" ua="false" sId="13">
    <oc r="C11" t="n">
      <v>0.3325</v>
    </oc>
    <nc r="C11" t="n">
      <v>0.335</v>
    </nc>
  </rcc>
  <rcc rId="2303" ua="false" sId="13">
    <oc r="D11" t="n">
      <v>0.105</v>
    </oc>
    <nc r="D11" t="n">
      <v>0.1125</v>
    </nc>
  </rcc>
</revisions>
</file>

<file path=xl/revisions/revisionLog273.xml><?xml version="1.0" encoding="utf-8"?>
<revisions xmlns="http://schemas.openxmlformats.org/spreadsheetml/2006/main" xmlns:r="http://schemas.openxmlformats.org/officeDocument/2006/relationships">
  <rcc rId="2304" ua="false" sId="18">
    <oc r="J5" t="n">
      <v>-0.4</v>
    </oc>
    <nc r="J5" t="n">
      <v>0.4</v>
    </nc>
  </rcc>
  <rcc rId="2305" ua="false" sId="18">
    <oc r="J3" t="n">
      <v>10.32</v>
    </oc>
    <nc r="J3" t="n">
      <v>10.4</v>
    </nc>
  </rcc>
  <rcc rId="2306" ua="false" sId="18">
    <oc r="J2" t="n">
      <v>10</v>
    </oc>
    <nc r="J2" t="n">
      <v>10.2</v>
    </nc>
  </rcc>
</revisions>
</file>

<file path=xl/revisions/revisionLog274.xml><?xml version="1.0" encoding="utf-8"?>
<revisions xmlns="http://schemas.openxmlformats.org/spreadsheetml/2006/main" xmlns:r="http://schemas.openxmlformats.org/officeDocument/2006/relationships">
  <rcc rId="2307" ua="false" sId="19">
    <nc r="A28" t="n">
      <v>44252</v>
    </nc>
  </rcc>
  <rcc rId="2308" ua="false" sId="19">
    <nc r="B28" t="n">
      <v>72930</v>
    </nc>
  </rcc>
  <rcc rId="2309" ua="false" sId="19">
    <nc r="C28" t="n">
      <f>C27+B28</f>
    </nc>
  </rcc>
</revisions>
</file>

<file path=xl/revisions/revisionLog275.xml><?xml version="1.0" encoding="utf-8"?>
<revisions xmlns="http://schemas.openxmlformats.org/spreadsheetml/2006/main" xmlns:r="http://schemas.openxmlformats.org/officeDocument/2006/relationships">
  <rcc rId="2310" ua="false" sId="18">
    <oc r="I5" t="n">
      <v>0.9</v>
    </oc>
    <nc r="I5" t="n">
      <v>1</v>
    </nc>
  </rcc>
  <rcc rId="2311" ua="false" sId="18">
    <oc r="I3" t="n">
      <v>8.72</v>
    </oc>
    <nc r="I3" t="n">
      <v>8.78</v>
    </nc>
  </rcc>
</revisions>
</file>

<file path=xl/revisions/revisionLog276.xml><?xml version="1.0" encoding="utf-8"?>
<revisions xmlns="http://schemas.openxmlformats.org/spreadsheetml/2006/main" xmlns:r="http://schemas.openxmlformats.org/officeDocument/2006/relationships">
  <rcc rId="2312" ua="false" sId="2">
    <oc r="C2" t="n">
      <v>0.2325</v>
    </oc>
    <nc r="C2" t="n">
      <v>0.2925</v>
    </nc>
  </rcc>
  <rcc rId="2313" ua="false" sId="2">
    <oc r="D2" t="n">
      <v>-0.5625</v>
    </oc>
    <nc r="D2" t="n">
      <v>-1.0775</v>
    </nc>
  </rcc>
  <rcc rId="2314" ua="false" sId="2">
    <oc r="C3" t="n">
      <v>0.245</v>
    </oc>
    <nc r="C3" t="n">
      <v>0.295</v>
    </nc>
  </rcc>
  <rcc rId="2315" ua="false" sId="2">
    <oc r="D3" t="n">
      <v>-0.7325</v>
    </oc>
    <nc r="D3" t="n">
      <v>-1.19</v>
    </nc>
  </rcc>
  <rcc rId="2316" ua="false" sId="2">
    <oc r="C4" t="n">
      <v>0.2625</v>
    </oc>
    <nc r="C4" t="n">
      <v>0.3025</v>
    </nc>
  </rcc>
  <rcc rId="2317" ua="false" sId="2">
    <oc r="D4" t="n">
      <v>-0.8475</v>
    </oc>
    <nc r="D4" t="n">
      <v>-1.2975</v>
    </nc>
  </rcc>
  <rcc rId="2318" ua="false" sId="2">
    <oc r="C5" t="n">
      <v>0.2675</v>
    </oc>
    <nc r="C5" t="n">
      <v>0.3275</v>
    </nc>
  </rcc>
  <rcc rId="2319" ua="false" sId="2">
    <oc r="D5" t="n">
      <v>-0.8275</v>
    </oc>
    <nc r="D5" t="n">
      <v>-1.3025</v>
    </nc>
  </rcc>
  <rcc rId="2320" ua="false" sId="2">
    <oc r="C6" t="n">
      <v>0.3075</v>
    </oc>
    <nc r="C6" t="n">
      <v>0.355</v>
    </nc>
  </rcc>
  <rcc rId="2321" ua="false" sId="2">
    <oc r="D6" t="n">
      <v>-0.9525</v>
    </oc>
    <nc r="D6" t="n">
      <v>-1.4175</v>
    </nc>
  </rcc>
  <rcc rId="2322" ua="false" sId="2">
    <oc r="C7" t="n">
      <v>0.3325</v>
    </oc>
    <nc r="C7" t="n">
      <v>0.38</v>
    </nc>
  </rcc>
  <rcc rId="2323" ua="false" sId="2">
    <oc r="D7" t="n">
      <v>-1.1625</v>
    </oc>
    <nc r="D7" t="n">
      <v>-1.535</v>
    </nc>
  </rcc>
  <rcc rId="2324" ua="false" sId="2">
    <oc r="C8" t="n">
      <v>0.3725</v>
    </oc>
    <nc r="C8" t="n">
      <v>0.4075</v>
    </nc>
  </rcc>
  <rcc rId="2325" ua="false" sId="2">
    <oc r="D8" t="n">
      <v>-1.3425</v>
    </oc>
    <nc r="D8" t="n">
      <v>-1.6625</v>
    </nc>
  </rcc>
  <rcc rId="2326" ua="false" sId="2">
    <oc r="C9" t="n">
      <v>0.4</v>
    </oc>
    <nc r="C9" t="n">
      <v>0.44</v>
    </nc>
  </rcc>
  <rcc rId="2327" ua="false" sId="2">
    <oc r="D9" t="n">
      <v>-1.44</v>
    </oc>
    <nc r="D9" t="n">
      <v>-1.72</v>
    </nc>
  </rcc>
  <rcc rId="2328" ua="false" sId="2">
    <oc r="C10" t="n">
      <v>0.425</v>
    </oc>
    <nc r="C10" t="n">
      <v>0.4475</v>
    </nc>
  </rcc>
  <rcc rId="2329" ua="false" sId="2">
    <oc r="D10" t="n">
      <v>-1.51</v>
    </oc>
    <nc r="D10" t="n">
      <v>-1.8225</v>
    </nc>
  </rcc>
  <rcc rId="2330" ua="false" sId="2">
    <oc r="C11" t="n">
      <v>0.455</v>
    </oc>
    <nc r="C11" t="n">
      <v>0.47</v>
    </nc>
  </rcc>
  <rcc rId="2331" ua="false" sId="2">
    <oc r="D11" t="n">
      <v>-1.59</v>
    </oc>
    <nc r="D11" t="n">
      <v>-1.88</v>
    </nc>
  </rcc>
  <rcc rId="2332" ua="false" sId="4">
    <oc r="C2" t="n">
      <v>0.1775</v>
    </oc>
    <nc r="C2" t="n">
      <v>0.225</v>
    </nc>
  </rcc>
  <rcc rId="2333" ua="false" sId="4">
    <oc r="D2" t="n">
      <v>0.2475</v>
    </oc>
    <nc r="D2" t="n">
      <v>0.4025</v>
    </nc>
  </rcc>
  <rcc rId="2334" ua="false" sId="4">
    <oc r="C3" t="n">
      <v>0.185</v>
    </oc>
    <nc r="C3" t="n">
      <v>0.2275</v>
    </nc>
  </rcc>
  <rcc rId="2335" ua="false" sId="4">
    <oc r="D3" t="n">
      <v>0.3</v>
    </oc>
    <nc r="D3" t="n">
      <v>0.485</v>
    </nc>
  </rcc>
  <rcc rId="2336" ua="false" sId="4">
    <oc r="C4" t="n">
      <v>0.195</v>
    </oc>
    <nc r="C4" t="n">
      <v>0.235</v>
    </nc>
  </rcc>
  <rcc rId="2337" ua="false" sId="4">
    <oc r="D4" t="n">
      <v>0.2925</v>
    </oc>
    <nc r="D4" t="n">
      <v>0.525</v>
    </nc>
  </rcc>
  <rcc rId="2338" ua="false" sId="4">
    <oc r="C5" t="n">
      <v>0.2</v>
    </oc>
    <nc r="C5" t="n">
      <v>0.245</v>
    </nc>
  </rcc>
  <rcc rId="2339" ua="false" sId="4">
    <oc r="D5" t="n">
      <v>0.3025</v>
    </oc>
    <nc r="D5" t="n">
      <v>0.5875</v>
    </nc>
  </rcc>
  <rcc rId="2340" ua="false" sId="4">
    <oc r="C6" t="n">
      <v>0.23</v>
    </oc>
    <nc r="C6" t="n">
      <v>0.2675</v>
    </nc>
  </rcc>
  <rcc rId="2341" ua="false" sId="4">
    <oc r="D6" t="n">
      <v>0.32</v>
    </oc>
    <nc r="D6" t="n">
      <v>0.62</v>
    </nc>
  </rcc>
  <rcc rId="2342" ua="false" sId="4">
    <oc r="C7" t="n">
      <v>0.2575</v>
    </oc>
    <nc r="C7" t="n">
      <v>0.2925</v>
    </nc>
  </rcc>
  <rcc rId="2343" ua="false" sId="4">
    <oc r="D7" t="n">
      <v>0.365</v>
    </oc>
    <nc r="D7" t="n">
      <v>0.6125</v>
    </nc>
  </rcc>
  <rcc rId="2344" ua="false" sId="4">
    <oc r="C8" t="n">
      <v>0.31</v>
    </oc>
    <nc r="C8" t="n">
      <v>0.3325</v>
    </nc>
  </rcc>
  <rcc rId="2345" ua="false" sId="4">
    <oc r="D8" t="n">
      <v>0.4025</v>
    </oc>
    <nc r="D8" t="n">
      <v>0.61</v>
    </nc>
  </rcc>
  <rcc rId="2346" ua="false" sId="4">
    <oc r="C9" t="n">
      <v>0.3675</v>
    </oc>
    <nc r="C9" t="n">
      <v>0.3825</v>
    </nc>
  </rcc>
  <rcc rId="2347" ua="false" sId="4">
    <oc r="D9" t="n">
      <v>0.3475</v>
    </oc>
    <nc r="D9" t="n">
      <v>0.5525</v>
    </nc>
  </rcc>
  <rcc rId="2348" ua="false" sId="4">
    <oc r="C10" t="n">
      <v>0.365</v>
    </oc>
    <nc r="C10" t="n">
      <v>0.3925</v>
    </nc>
  </rcc>
  <rcc rId="2349" ua="false" sId="4">
    <oc r="D10" t="n">
      <v>0.3725</v>
    </oc>
    <nc r="D10" t="n">
      <v>0.5625</v>
    </nc>
  </rcc>
  <rcc rId="2350" ua="false" sId="4">
    <oc r="C11" t="n">
      <v>0.4175</v>
    </oc>
    <nc r="C11" t="n">
      <v>0.4</v>
    </nc>
  </rcc>
  <rcc rId="2351" ua="false" sId="4">
    <oc r="D11" t="n">
      <v>0.3625</v>
    </oc>
    <nc r="D11" t="n">
      <v>0.6</v>
    </nc>
  </rcc>
  <rcc rId="2352" ua="false" sId="3">
    <oc r="C2" t="n">
      <v>0.2</v>
    </oc>
    <nc r="C2" t="n">
      <v>0.205</v>
    </nc>
  </rcc>
  <rcc rId="2353" ua="false" sId="3">
    <oc r="D2" t="n">
      <v>-0.295</v>
    </oc>
    <nc r="D2" t="n">
      <v>-0.37</v>
    </nc>
  </rcc>
  <rcc rId="2354" ua="false" sId="3">
    <oc r="C3" t="n">
      <v>0.19</v>
    </oc>
    <nc r="C3" t="n">
      <v>0.2025</v>
    </nc>
  </rcc>
  <rcc rId="2355" ua="false" sId="3">
    <oc r="D3" t="n">
      <v>-0.29</v>
    </oc>
    <nc r="D3" t="n">
      <v>-0.3475</v>
    </nc>
  </rcc>
  <rcc rId="2356" ua="false" sId="3">
    <oc r="C4" t="n">
      <v>0.21</v>
    </oc>
    <nc r="C4" t="n">
      <v>0.255</v>
    </nc>
  </rcc>
  <rcc rId="2357" ua="false" sId="3">
    <oc r="D4" t="n">
      <v>-0.37</v>
    </oc>
    <nc r="D4" t="n">
      <v>-0.48</v>
    </nc>
  </rcc>
  <rcc rId="2358" ua="false" sId="3">
    <oc r="D5" t="n">
      <v>-0.43</v>
    </oc>
    <nc r="D5" t="n">
      <v>-0.475</v>
    </nc>
  </rcc>
  <rcc rId="2359" ua="false" sId="3">
    <oc r="C6" t="n">
      <v>0.26</v>
    </oc>
    <nc r="C6" t="n">
      <v>0.2625</v>
    </nc>
  </rcc>
  <rcc rId="2360" ua="false" sId="3">
    <oc r="D6" t="n">
      <v>-0.55</v>
    </oc>
    <nc r="D6" t="n">
      <v>-0.5975</v>
    </nc>
  </rcc>
  <rcc rId="2361" ua="false" sId="3">
    <oc r="D7" t="n">
      <v>-0.685</v>
    </oc>
    <nc r="D7" t="n">
      <v>-0.73</v>
    </nc>
  </rcc>
  <rcc rId="2362" ua="false" sId="3">
    <oc r="D8" t="n">
      <v>-0.86</v>
    </oc>
    <nc r="D8" t="n">
      <v>-0.91</v>
    </nc>
  </rcc>
  <rcc rId="2363" ua="false" sId="3">
    <oc r="D9" t="n">
      <v>-0.95</v>
    </oc>
    <nc r="D9" t="n">
      <v>-1.0025</v>
    </nc>
  </rcc>
  <rcc rId="2364" ua="false" sId="3">
    <oc r="C10" t="n">
      <v>0.44</v>
    </oc>
    <nc r="C10" t="n">
      <v>0.4425</v>
    </nc>
  </rcc>
  <rcc rId="2365" ua="false" sId="3">
    <oc r="D10" t="n">
      <v>-1.02</v>
    </oc>
    <nc r="D10" t="n">
      <v>-1.0775</v>
    </nc>
  </rcc>
  <rcc rId="2366" ua="false" sId="3">
    <oc r="D11" t="n">
      <v>-1.12</v>
    </oc>
    <nc r="D11" t="n">
      <v>-1.2025</v>
    </nc>
  </rcc>
  <rcc rId="2367" ua="false" sId="5">
    <oc r="C2" t="n">
      <v>0.13</v>
    </oc>
    <nc r="C2" t="n">
      <v>0.14</v>
    </nc>
  </rcc>
  <rcc rId="2368" ua="false" sId="5">
    <oc r="D2" t="n">
      <v>0.305</v>
    </oc>
    <nc r="D2" t="n">
      <v>0.425</v>
    </nc>
  </rcc>
  <rcc rId="2369" ua="false" sId="5">
    <oc r="C3" t="n">
      <v>0.1375</v>
    </oc>
    <nc r="C3" t="n">
      <v>0.14</v>
    </nc>
  </rcc>
  <rcc rId="2370" ua="false" sId="5">
    <oc r="D3" t="n">
      <v>0.3525</v>
    </oc>
    <nc r="D3" t="n">
      <v>0.455</v>
    </nc>
  </rcc>
  <rcc rId="2371" ua="false" sId="5">
    <oc r="C4" t="n">
      <v>0.1575</v>
    </oc>
    <nc r="C4" t="n">
      <v>0.1725</v>
    </nc>
  </rcc>
  <rcc rId="2372" ua="false" sId="5">
    <oc r="D4" t="n">
      <v>0.3875</v>
    </oc>
    <nc r="D4" t="n">
      <v>0.5275</v>
    </nc>
  </rcc>
  <rcc rId="2373" ua="false" sId="5">
    <oc r="C5" t="n">
      <v>0.15</v>
    </oc>
    <nc r="C5" t="n">
      <v>0.1575</v>
    </nc>
  </rcc>
  <rcc rId="2374" ua="false" sId="5">
    <oc r="D5" t="n">
      <v>0.4325</v>
    </oc>
    <nc r="D5" t="n">
      <v>0.5325</v>
    </nc>
  </rcc>
  <rcc rId="2375" ua="false" sId="5">
    <oc r="C6" t="n">
      <v>0.175</v>
    </oc>
    <nc r="C6" t="n">
      <v>0.185</v>
    </nc>
  </rcc>
  <rcc rId="2376" ua="false" sId="5">
    <oc r="D6" t="n">
      <v>0.515</v>
    </oc>
    <nc r="D6" t="n">
      <v>0.6025</v>
    </nc>
  </rcc>
  <rcc rId="2377" ua="false" sId="5">
    <oc r="D7" t="n">
      <v>0.605</v>
    </oc>
    <nc r="D7" t="n">
      <v>0.67</v>
    </nc>
  </rcc>
  <rcc rId="2378" ua="false" sId="5">
    <oc r="D8" t="n">
      <v>0.73</v>
    </oc>
    <nc r="D8" t="n">
      <v>0.795</v>
    </nc>
  </rcc>
  <rcc rId="2379" ua="false" sId="5">
    <oc r="C9" t="n">
      <v>0.27</v>
    </oc>
    <nc r="C9" t="n">
      <v>0.28</v>
    </nc>
  </rcc>
  <rcc rId="2380" ua="false" sId="5">
    <oc r="D9" t="n">
      <v>0.7825</v>
    </oc>
    <nc r="D9" t="n">
      <v>0.825</v>
    </nc>
  </rcc>
  <rcc rId="2381" ua="false" sId="5">
    <oc r="C10" t="n">
      <v>0.275</v>
    </oc>
    <nc r="C10" t="n">
      <v>0.2775</v>
    </nc>
  </rcc>
  <rcc rId="2382" ua="false" sId="5">
    <oc r="D10" t="n">
      <v>0.845</v>
    </oc>
    <nc r="D10" t="n">
      <v>0.895</v>
    </nc>
  </rcc>
  <rcc rId="2383" ua="false" sId="5">
    <oc r="C11" t="n">
      <v>0.3225</v>
    </oc>
    <nc r="C11" t="n">
      <v>0.3275</v>
    </nc>
  </rcc>
  <rcc rId="2384" ua="false" sId="5">
    <oc r="D11" t="n">
      <v>0.8475</v>
    </oc>
    <nc r="D11" t="n">
      <v>0.8925</v>
    </nc>
  </rcc>
  <rcc rId="2385" ua="false" sId="10">
    <oc r="C2" t="n">
      <v>0.1375</v>
    </oc>
    <nc r="C2" t="n">
      <v>0.14</v>
    </nc>
  </rcc>
  <rcc rId="2386" ua="false" sId="10">
    <oc r="D2" t="n">
      <v>0.29</v>
    </oc>
    <nc r="D2" t="n">
      <v>0.345</v>
    </nc>
  </rcc>
  <rcc rId="2387" ua="false" sId="10">
    <oc r="C3" t="n">
      <v>0.1425</v>
    </oc>
    <nc r="C3" t="n">
      <v>0.1375</v>
    </nc>
  </rcc>
  <rcc rId="2388" ua="false" sId="10">
    <oc r="D3" t="n">
      <v>0.315</v>
    </oc>
    <nc r="D3" t="n">
      <v>0.42</v>
    </nc>
  </rcc>
  <rcc rId="2389" ua="false" sId="10">
    <oc r="C4" t="n">
      <v>0.1475</v>
    </oc>
    <nc r="C4" t="n">
      <v>0.155</v>
    </nc>
  </rcc>
  <rcc rId="2390" ua="false" sId="10">
    <oc r="D4" t="n">
      <v>0.3425</v>
    </oc>
    <nc r="D4" t="n">
      <v>0.385</v>
    </nc>
  </rcc>
  <rcc rId="2391" ua="false" sId="10">
    <oc r="D5" t="n">
      <v>0.425</v>
    </oc>
    <nc r="D5" t="n">
      <v>0.46</v>
    </nc>
  </rcc>
  <rcc rId="2392" ua="false" sId="10">
    <oc r="C6" t="n">
      <v>0.215</v>
    </oc>
    <nc r="C6" t="n">
      <v>0.2175</v>
    </nc>
  </rcc>
  <rcc rId="2393" ua="false" sId="10">
    <oc r="D6" t="n">
      <v>0.495</v>
    </oc>
    <nc r="D6" t="n">
      <v>0.5275</v>
    </nc>
  </rcc>
  <rcc rId="2394" ua="false" sId="10">
    <oc r="C7" t="n">
      <v>0.25</v>
    </oc>
    <nc r="C7" t="n">
      <v>0.255</v>
    </nc>
  </rcc>
  <rcc rId="2395" ua="false" sId="10">
    <oc r="D7" t="n">
      <v>0.7175</v>
    </oc>
    <nc r="D7" t="n">
      <v>0.7275</v>
    </nc>
  </rcc>
  <rcc rId="2396" ua="false" sId="10">
    <oc r="C8" t="n">
      <v>0.3</v>
    </oc>
    <nc r="C8" t="n">
      <v>0.31</v>
    </nc>
  </rcc>
  <rcc rId="2397" ua="false" sId="10">
    <oc r="D8" t="n">
      <v>0.8225</v>
    </oc>
    <nc r="D8" t="n">
      <v>0.8775</v>
    </nc>
  </rcc>
  <rcc rId="2398" ua="false" sId="10">
    <oc r="C9" t="n">
      <v>0.32</v>
    </oc>
    <nc r="C9" t="n">
      <v>0.325</v>
    </nc>
  </rcc>
  <rcc rId="2399" ua="false" sId="10">
    <oc r="D9" t="n">
      <v>0.985</v>
    </oc>
    <nc r="D9" t="n">
      <v>1.0375</v>
    </nc>
  </rcc>
  <rcc rId="2400" ua="false" sId="10">
    <oc r="C10" t="n">
      <v>0.3575</v>
    </oc>
    <nc r="C10" t="n">
      <v>0.36</v>
    </nc>
  </rcc>
  <rcc rId="2401" ua="false" sId="10">
    <oc r="D10" t="n">
      <v>1.135</v>
    </oc>
    <nc r="D10" t="n">
      <v>1.125</v>
    </nc>
  </rcc>
  <rcc rId="2402" ua="false" sId="11">
    <oc r="C2" t="n">
      <v>0.24</v>
    </oc>
    <nc r="C2" t="n">
      <v>0.21</v>
    </nc>
  </rcc>
  <rcc rId="2403" ua="false" sId="11">
    <oc r="D2" t="n">
      <v>-0.87</v>
    </oc>
    <nc r="D2" t="n">
      <v>-0.9</v>
    </nc>
  </rcc>
  <rcc rId="2404" ua="false" sId="11">
    <oc r="C3" t="n">
      <v>0.24</v>
    </oc>
    <nc r="C3" t="n">
      <v>0.2275</v>
    </nc>
  </rcc>
  <rcc rId="2405" ua="false" sId="11">
    <oc r="D3" t="n">
      <v>-1.045</v>
    </oc>
    <nc r="D3" t="n">
      <v>-1.1125</v>
    </nc>
  </rcc>
  <rcc rId="2406" ua="false" sId="11">
    <oc r="C4" t="n">
      <v>0.285</v>
    </oc>
    <nc r="C4" t="n">
      <v>0.365</v>
    </nc>
  </rcc>
  <rcc rId="2407" ua="false" sId="11">
    <oc r="D4" t="n">
      <v>-1.1475</v>
    </oc>
    <nc r="D4" t="n">
      <v>-1.01</v>
    </nc>
  </rcc>
  <rcc rId="2408" ua="false" sId="11">
    <oc r="C5" t="n">
      <v>0.275</v>
    </oc>
    <nc r="C5" t="n">
      <v>0.2525</v>
    </nc>
  </rcc>
  <rcc rId="2409" ua="false" sId="11">
    <oc r="D5" t="n">
      <v>-1.385</v>
    </oc>
    <nc r="D5" t="n">
      <v>-1.43</v>
    </nc>
  </rcc>
  <rcc rId="2410" ua="false" sId="11">
    <oc r="C6" t="n">
      <v>0.3225</v>
    </oc>
    <nc r="C6" t="n">
      <v>0.29</v>
    </nc>
  </rcc>
  <rcc rId="2411" ua="false" sId="11">
    <oc r="D6" t="n">
      <v>-1.8125</v>
    </oc>
    <nc r="D6" t="n">
      <v>-1.8625</v>
    </nc>
  </rcc>
  <rcc rId="2412" ua="false" sId="11">
    <oc r="C7" t="n">
      <v>0.3525</v>
    </oc>
    <nc r="C7" t="n">
      <v>0.31</v>
    </nc>
  </rcc>
  <rcc rId="2413" ua="false" sId="11">
    <oc r="D7" t="n">
      <v>-2.1075</v>
    </oc>
    <nc r="D7" t="n">
      <v>-2.1275</v>
    </nc>
  </rcc>
  <rcc rId="2414" ua="false" sId="11">
    <oc r="C8" t="n">
      <v>0.405</v>
    </oc>
    <nc r="C8" t="n">
      <v>0.3625</v>
    </nc>
  </rcc>
  <rcc rId="2415" ua="false" sId="11">
    <oc r="D8" t="n">
      <v>-2.54</v>
    </oc>
    <nc r="D8" t="n">
      <v>-2.52</v>
    </nc>
  </rcc>
  <rcc rId="2416" ua="false" sId="11">
    <oc r="C9" t="n">
      <v>0.4275</v>
    </oc>
    <nc r="C9" t="n">
      <v>0.395</v>
    </nc>
  </rcc>
  <rcc rId="2417" ua="false" sId="11">
    <oc r="D9" t="n">
      <v>-2.7075</v>
    </oc>
    <nc r="D9" t="n">
      <v>-2.705</v>
    </nc>
  </rcc>
  <rcc rId="2418" ua="false" sId="11">
    <oc r="C10" t="n">
      <v>0.44</v>
    </oc>
    <nc r="C10" t="n">
      <v>0.4175</v>
    </nc>
  </rcc>
  <rcc rId="2419" ua="false" sId="11">
    <oc r="D10" t="n">
      <v>-2.86</v>
    </oc>
    <nc r="D10" t="n">
      <v>-2.9025</v>
    </nc>
  </rcc>
  <rcc rId="2420" ua="false" sId="11">
    <oc r="C11" t="n">
      <v>0.445</v>
    </oc>
    <nc r="C11" t="n">
      <v>0.405</v>
    </nc>
  </rcc>
  <rcc rId="2421" ua="false" sId="11">
    <oc r="D11" t="n">
      <v>-3.27</v>
    </oc>
    <nc r="D11" t="n">
      <v>-3.29</v>
    </nc>
  </rcc>
  <rcc rId="2422" ua="false" sId="12">
    <oc r="C2" t="n">
      <v>0.19</v>
    </oc>
    <nc r="C2" t="n">
      <v>0.2225</v>
    </nc>
  </rcc>
  <rcc rId="2423" ua="false" sId="12">
    <oc r="D2" t="n">
      <v>-0.33</v>
    </oc>
    <nc r="D2" t="n">
      <v>-0.4325</v>
    </nc>
  </rcc>
  <rcc rId="2424" ua="false" sId="12">
    <oc r="C3" t="n">
      <v>0.2</v>
    </oc>
    <nc r="C3" t="n">
      <v>0.2325</v>
    </nc>
  </rcc>
  <rcc rId="2425" ua="false" sId="12">
    <oc r="D3" t="n">
      <v>-0.425</v>
    </oc>
    <nc r="D3" t="n">
      <v>-0.4475</v>
    </nc>
  </rcc>
  <rcc rId="2426" ua="false" sId="12">
    <oc r="C4" t="n">
      <v>0.185</v>
    </oc>
    <nc r="C4" t="n">
      <v>0.22</v>
    </nc>
  </rcc>
  <rcc rId="2427" ua="false" sId="12">
    <oc r="D4" t="n">
      <v>-0.785</v>
    </oc>
    <nc r="D4" t="n">
      <v>-0.535</v>
    </nc>
  </rcc>
  <rcc rId="2428" ua="false" sId="12">
    <oc r="C5" t="n">
      <v>0.2325</v>
    </oc>
    <nc r="C5" t="n">
      <v>0.2575</v>
    </nc>
  </rcc>
  <rcc rId="2429" ua="false" sId="12">
    <oc r="D5" t="n">
      <v>-0.5025</v>
    </oc>
    <nc r="D5" t="n">
      <v>-0.49</v>
    </nc>
  </rcc>
  <rcc rId="2430" ua="false" sId="12">
    <oc r="C6" t="n">
      <v>0.265</v>
    </oc>
    <nc r="C6" t="n">
      <v>0.28</v>
    </nc>
  </rcc>
  <rcc rId="2431" ua="false" sId="12">
    <oc r="D6" t="n">
      <v>-0.72</v>
    </oc>
    <nc r="D6" t="n">
      <v>-0.67</v>
    </nc>
  </rcc>
  <rcc rId="2432" ua="false" sId="12">
    <oc r="C7" t="n">
      <v>0.285</v>
    </oc>
    <nc r="C7" t="n">
      <v>0.3075</v>
    </nc>
  </rcc>
  <rcc rId="2433" ua="false" sId="12">
    <oc r="D7" t="n">
      <v>-0.8625</v>
    </oc>
    <nc r="D7" t="n">
      <v>-0.835</v>
    </nc>
  </rcc>
  <rcc rId="2434" ua="false" sId="12">
    <oc r="C8" t="n">
      <v>0.34</v>
    </oc>
    <nc r="C8" t="n">
      <v>0.3575</v>
    </nc>
  </rcc>
  <rcc rId="2435" ua="false" sId="12">
    <oc r="D8" t="n">
      <v>-1.01</v>
    </oc>
    <nc r="D8" t="n">
      <v>-0.9925</v>
    </nc>
  </rcc>
  <rcc rId="2436" ua="false" sId="12">
    <oc r="C9" t="n">
      <v>0.39</v>
    </oc>
    <nc r="C9" t="n">
      <v>0.395</v>
    </nc>
  </rcc>
  <rcc rId="2437" ua="false" sId="12">
    <oc r="C10" t="n">
      <v>0.3975</v>
    </oc>
    <nc r="C10" t="n">
      <v>0.4025</v>
    </nc>
  </rcc>
  <rcc rId="2438" ua="false" sId="12">
    <oc r="D10" t="n">
      <v>-1.2975</v>
    </oc>
    <nc r="D10" t="n">
      <v>-1.29</v>
    </nc>
  </rcc>
  <rcc rId="2439" ua="false" sId="12">
    <oc r="C11" t="n">
      <v>0.425</v>
    </oc>
    <nc r="C11" t="n">
      <v>0.435</v>
    </nc>
  </rcc>
  <rcc rId="2440" ua="false" sId="12">
    <oc r="D11" t="n">
      <v>-1.53</v>
    </oc>
    <nc r="D11" t="n">
      <v>-1.59</v>
    </nc>
  </rcc>
  <rcc rId="2441" ua="false" sId="13">
    <oc r="C2" t="n">
      <v>0.1325</v>
    </oc>
    <nc r="C2" t="n">
      <v>0.15</v>
    </nc>
  </rcc>
  <rcc rId="2442" ua="false" sId="13">
    <oc r="D2" t="n">
      <v>0.0025</v>
    </oc>
    <nc r="D2" t="n">
      <v>-0.015</v>
    </nc>
  </rcc>
  <rcc rId="2443" ua="false" sId="13">
    <oc r="C3" t="n">
      <v>0.1375</v>
    </oc>
    <nc r="C3" t="n">
      <v>0.15</v>
    </nc>
  </rcc>
  <rcc rId="2444" ua="false" sId="13">
    <oc r="D3" t="n">
      <v>0.0025</v>
    </oc>
    <nc r="D3" t="n">
      <v>0.005</v>
    </nc>
  </rcc>
  <rcc rId="2445" ua="false" sId="13">
    <oc r="C4" t="n">
      <v>0.155</v>
    </oc>
    <nc r="C4" t="n">
      <v>0.19</v>
    </nc>
  </rcc>
  <rcc rId="2446" ua="false" sId="13">
    <oc r="D4" t="n">
      <v>-0.025</v>
    </oc>
    <nc r="D4" t="n">
      <v>-0.065</v>
    </nc>
  </rcc>
  <rcc rId="2447" ua="false" sId="13">
    <oc r="C5" t="n">
      <v>0.145</v>
    </oc>
    <nc r="C5" t="n">
      <v>0.155</v>
    </nc>
  </rcc>
  <rcc rId="2448" ua="false" sId="13">
    <oc r="D5" t="n">
      <v>0.015</v>
    </oc>
    <nc r="D5" t="n">
      <v>0.06</v>
    </nc>
  </rcc>
  <rcc rId="2449" ua="false" sId="13">
    <oc r="C6" t="n">
      <v>0.18</v>
    </oc>
    <nc r="C6" t="n">
      <v>0.185</v>
    </nc>
  </rcc>
  <rcc rId="2450" ua="false" sId="13">
    <oc r="D6" t="n">
      <v>0.0475</v>
    </oc>
    <nc r="D6" t="n">
      <v>0.1</v>
    </nc>
  </rcc>
  <rcc rId="2451" ua="false" sId="13">
    <oc r="C7" t="n">
      <v>0.1975</v>
    </oc>
    <nc r="C7" t="n">
      <v>0.205</v>
    </nc>
  </rcc>
  <rcc rId="2452" ua="false" sId="13">
    <oc r="D7" t="n">
      <v>0.08</v>
    </oc>
    <nc r="D7" t="n">
      <v>0.13</v>
    </nc>
  </rcc>
  <rcc rId="2453" ua="false" sId="13">
    <oc r="C8" t="n">
      <v>0.2575</v>
    </oc>
    <nc r="C8" t="n">
      <v>0.265</v>
    </nc>
  </rcc>
  <rcc rId="2454" ua="false" sId="13">
    <oc r="D8" t="n">
      <v>0.15</v>
    </oc>
    <nc r="D8" t="n">
      <v>0.1775</v>
    </nc>
  </rcc>
  <rcc rId="2455" ua="false" sId="13">
    <oc r="C9" t="n">
      <v>0.295</v>
    </oc>
    <nc r="C9" t="n">
      <v>0.3025</v>
    </nc>
  </rcc>
  <rcc rId="2456" ua="false" sId="13">
    <oc r="D9" t="n">
      <v>0.17</v>
    </oc>
    <nc r="D9" t="n">
      <v>0.2125</v>
    </nc>
  </rcc>
  <rcc rId="2457" ua="false" sId="13">
    <oc r="C10" t="n">
      <v>0.3175</v>
    </oc>
    <nc r="C10" t="n">
      <v>0.3225</v>
    </nc>
  </rcc>
  <rcc rId="2458" ua="false" sId="13">
    <oc r="D10" t="n">
      <v>0.2</v>
    </oc>
    <nc r="D10" t="n">
      <v>0.23</v>
    </nc>
  </rcc>
  <rcc rId="2459" ua="false" sId="13">
    <oc r="C11" t="n">
      <v>0.335</v>
    </oc>
    <nc r="C11" t="n">
      <v>0.3425</v>
    </nc>
  </rcc>
  <rcc rId="2460" ua="false" sId="13">
    <oc r="D11" t="n">
      <v>0.1125</v>
    </oc>
    <nc r="D11" t="n">
      <v>0.125</v>
    </nc>
  </rcc>
  <rcc rId="2461" ua="false" sId="14">
    <oc r="C2" t="n">
      <v>0.24</v>
    </oc>
    <nc r="C2" t="n">
      <v>0.3025</v>
    </nc>
  </rcc>
  <rcc rId="2462" ua="false" sId="14">
    <oc r="D2" t="n">
      <v>-0.7525</v>
    </oc>
    <nc r="D2" t="n">
      <v>-1.3475</v>
    </nc>
  </rcc>
  <rcc rId="2463" ua="false" sId="14">
    <oc r="C3" t="n">
      <v>0.25</v>
    </oc>
    <nc r="C3" t="n">
      <v>0.3025</v>
    </nc>
  </rcc>
  <rcc rId="2464" ua="false" sId="14">
    <oc r="D3" t="n">
      <v>-0.875</v>
    </oc>
    <nc r="D3" t="n">
      <v>-1.3225</v>
    </nc>
  </rcc>
  <rcc rId="2465" ua="false" sId="14">
    <oc r="C4" t="n">
      <v>0.27</v>
    </oc>
    <nc r="C4" t="n">
      <v>0.31</v>
    </nc>
  </rcc>
  <rcc rId="2466" ua="false" sId="14">
    <oc r="D4" t="n">
      <v>-0.95</v>
    </oc>
    <nc r="D4" t="n">
      <v>-1.47</v>
    </nc>
  </rcc>
  <rcc rId="2467" ua="false" sId="14">
    <oc r="C5" t="n">
      <v>0.28</v>
    </oc>
    <nc r="C5" t="n">
      <v>0.3425</v>
    </nc>
  </rcc>
  <rcc rId="2468" ua="false" sId="14">
    <oc r="D5" t="n">
      <v>-1.005</v>
    </oc>
    <nc r="D5" t="n">
      <v>-1.4525</v>
    </nc>
  </rcc>
  <rcc rId="2469" ua="false" sId="14">
    <oc r="C6" t="n">
      <v>0.32</v>
    </oc>
    <nc r="C6" t="n">
      <v>0.3775</v>
    </nc>
  </rcc>
  <rcc rId="2470" ua="false" sId="14">
    <oc r="D6" t="n">
      <v>-1.19</v>
    </oc>
    <nc r="D6" t="n">
      <v>-1.5725</v>
    </nc>
  </rcc>
  <rcc rId="2471" ua="false" sId="14">
    <oc r="C7" t="n">
      <v>0.35</v>
    </oc>
    <nc r="C7" t="n">
      <v>0.4025</v>
    </nc>
  </rcc>
  <rcc rId="2472" ua="false" sId="14">
    <oc r="D7" t="n">
      <v>-1.3</v>
    </oc>
    <nc r="D7" t="n">
      <v>-1.65</v>
    </nc>
  </rcc>
  <rcc rId="2473" ua="false" sId="14">
    <oc r="C8" t="n">
      <v>0.39</v>
    </oc>
    <nc r="C8" t="n">
      <v>0.4375</v>
    </nc>
  </rcc>
  <rcc rId="2474" ua="false" sId="14">
    <oc r="D8" t="n">
      <v>-1.5</v>
    </oc>
    <nc r="D8" t="n">
      <v>-1.78</v>
    </nc>
  </rcc>
  <rcc rId="2475" ua="false" sId="14">
    <oc r="C9" t="n">
      <v>0.425</v>
    </oc>
    <nc r="C9" t="n">
      <v>0.46</v>
    </nc>
  </rcc>
  <rcc rId="2476" ua="false" sId="14">
    <oc r="D9" t="n">
      <v>-1.5825</v>
    </oc>
    <nc r="D9" t="n">
      <v>-1.815</v>
    </nc>
  </rcc>
  <rcc rId="2477" ua="false" sId="14">
    <oc r="C10" t="n">
      <v>0.4375</v>
    </oc>
    <nc r="C10" t="n">
      <v>0.4725</v>
    </nc>
  </rcc>
  <rcc rId="2478" ua="false" sId="14">
    <oc r="D10" t="n">
      <v>-1.6525</v>
    </oc>
    <nc r="D10" t="n">
      <v>-1.9075</v>
    </nc>
  </rcc>
  <rcc rId="2479" ua="false" sId="14">
    <oc r="C11" t="n">
      <v>0.47</v>
    </oc>
    <nc r="C11" t="n">
      <v>0.4875</v>
    </nc>
  </rcc>
  <rcc rId="2480" ua="false" sId="14">
    <oc r="D11" t="n">
      <v>-1.7825</v>
    </oc>
    <nc r="D11" t="n">
      <v>-2.0175</v>
    </nc>
  </rcc>
  <rcc rId="2481" ua="false" sId="15">
    <oc r="C2" t="n">
      <v>0.1875</v>
    </oc>
    <nc r="C2" t="n">
      <v>0.22</v>
    </nc>
  </rcc>
  <rcc rId="2482" ua="false" sId="15">
    <oc r="D2" t="n">
      <v>-0.0425</v>
    </oc>
    <nc r="D2" t="n">
      <v>0.035</v>
    </nc>
  </rcc>
  <rcc rId="2483" ua="false" sId="15">
    <oc r="C3" t="n">
      <v>0.1875</v>
    </oc>
    <nc r="C3" t="n">
      <v>0.225</v>
    </nc>
  </rcc>
  <rcc rId="2484" ua="false" sId="15">
    <oc r="D3" t="n">
      <v>-0.1425</v>
    </oc>
    <nc r="D3" t="n">
      <v>-0.045</v>
    </nc>
  </rcc>
  <rcc rId="2485" ua="false" sId="15">
    <oc r="C4" t="n">
      <v>0.2275</v>
    </oc>
    <nc r="C4" t="n">
      <v>0.2775</v>
    </nc>
  </rcc>
  <rcc rId="2486" ua="false" sId="15">
    <oc r="D4" t="n">
      <v>-0.1925</v>
    </oc>
    <nc r="D4" t="n">
      <v>-0.1125</v>
    </nc>
  </rcc>
  <rcc rId="2487" ua="false" sId="15">
    <oc r="C5" t="n">
      <v>0.205</v>
    </oc>
    <nc r="C5" t="n">
      <v>0.23</v>
    </nc>
  </rcc>
  <rcc rId="2488" ua="false" sId="15">
    <oc r="D5" t="n">
      <v>-0.25</v>
    </oc>
    <nc r="D5" t="n">
      <v>-0.22</v>
    </nc>
  </rcc>
  <rcc rId="2489" ua="false" sId="15">
    <oc r="C6" t="n">
      <v>0.2375</v>
    </oc>
    <nc r="C6" t="n">
      <v>0.2525</v>
    </nc>
  </rcc>
  <rcc rId="2490" ua="false" sId="15">
    <oc r="D6" t="n">
      <v>-0.52</v>
    </oc>
    <nc r="D6" t="n">
      <v>-0.4675</v>
    </nc>
  </rcc>
  <rcc rId="2491" ua="false" sId="15">
    <oc r="C7" t="n">
      <v>0.2675</v>
    </oc>
    <nc r="C7" t="n">
      <v>0.2825</v>
    </nc>
  </rcc>
  <rcc rId="2492" ua="false" sId="15">
    <oc r="D7" t="n">
      <v>-0.715</v>
    </oc>
    <nc r="D7" t="n">
      <v>-0.685</v>
    </nc>
  </rcc>
  <rcc rId="2493" ua="false" sId="15">
    <oc r="C8" t="n">
      <v>0.315</v>
    </oc>
    <nc r="C8" t="n">
      <v>0.33</v>
    </nc>
  </rcc>
  <rcc rId="2494" ua="false" sId="15">
    <oc r="D8" t="n">
      <v>-1.065</v>
    </oc>
    <nc r="D8" t="n">
      <v>-1.025</v>
    </nc>
  </rcc>
  <rcc rId="2495" ua="false" sId="15">
    <oc r="C9" t="n">
      <v>0.35</v>
    </oc>
    <nc r="C9" t="n">
      <v>0.3625</v>
    </nc>
  </rcc>
  <rcc rId="2496" ua="false" sId="15">
    <oc r="D9" t="n">
      <v>-1.195</v>
    </oc>
    <nc r="D9" t="n">
      <v>-1.1825</v>
    </nc>
  </rcc>
  <rcc rId="2497" ua="false" sId="15">
    <oc r="C10" t="n">
      <v>0.36</v>
    </oc>
    <nc r="C10" t="n">
      <v>0.365</v>
    </nc>
  </rcc>
  <rcc rId="2498" ua="false" sId="15">
    <oc r="D10" t="n">
      <v>-1.3</v>
    </oc>
    <nc r="D10" t="n">
      <v>-1.2875</v>
    </nc>
  </rcc>
  <rcc rId="2499" ua="false" sId="15">
    <oc r="C11" t="n">
      <v>0.39</v>
    </oc>
    <nc r="C11" t="n">
      <v>0.3925</v>
    </nc>
  </rcc>
  <rcc rId="2500" ua="false" sId="15">
    <oc r="D11" t="n">
      <v>-1.54</v>
    </oc>
    <nc r="D11" t="n">
      <v>-1.5375</v>
    </nc>
  </rcc>
  <rcc rId="2501" ua="false" sId="16">
    <oc r="C4" t="n">
      <v>0.1975</v>
    </oc>
    <nc r="C4" t="n">
      <v>0.195</v>
    </nc>
  </rcc>
  <rcc rId="2502" ua="false" sId="16">
    <oc r="D4" t="n">
      <v>0.4775</v>
    </oc>
    <nc r="D4" t="n">
      <v>0.54</v>
    </nc>
  </rcc>
  <rcc rId="2503" ua="false" sId="16">
    <oc r="D5" t="n">
      <v>0.6375</v>
    </oc>
    <nc r="D5" t="n">
      <v>0.6675</v>
    </nc>
  </rcc>
  <rcc rId="2504" ua="false" sId="16">
    <oc r="C6" t="n">
      <v>0.2375</v>
    </oc>
    <nc r="C6" t="n">
      <v>0.2325</v>
    </nc>
  </rcc>
  <rcc rId="2505" ua="false" sId="16">
    <oc r="D6" t="n">
      <v>0.725</v>
    </oc>
    <nc r="D6" t="n">
      <v>0.7725</v>
    </nc>
  </rcc>
  <rcc rId="2506" ua="false" sId="16">
    <oc r="C7" t="n">
      <v>0.2775</v>
    </oc>
    <nc r="C7" t="n">
      <v>0.2825</v>
    </nc>
  </rcc>
  <rcc rId="2507" ua="false" sId="16">
    <oc r="D7" t="n">
      <v>0.9575</v>
    </oc>
    <nc r="D7" t="n">
      <v>1.0025</v>
    </nc>
  </rcc>
  <rcc rId="2508" ua="false" sId="16">
    <oc r="C8" t="n">
      <v>0.3025</v>
    </oc>
    <nc r="C8" t="n">
      <v>0.3125</v>
    </nc>
  </rcc>
  <rcc rId="2509" ua="false" sId="16">
    <oc r="D8" t="n">
      <v>1.0725</v>
    </oc>
    <nc r="D8" t="n">
      <v>1.1175</v>
    </nc>
  </rcc>
  <rcc rId="2510" ua="false" sId="16">
    <oc r="C9" t="n">
      <v>0.3225</v>
    </oc>
    <nc r="C9" t="n">
      <v>0.3325</v>
    </nc>
  </rcc>
  <rcc rId="2511" ua="false" sId="16">
    <oc r="D9" t="n">
      <v>1.1775</v>
    </oc>
    <nc r="D9" t="n">
      <v>1.2025</v>
    </nc>
  </rcc>
  <rcc rId="2512" ua="false" sId="16">
    <oc r="C10" t="n">
      <v>0.3525</v>
    </oc>
    <nc r="C10" t="n">
      <v>0.3625</v>
    </nc>
  </rcc>
  <rcc rId="2513" ua="false" sId="16">
    <oc r="C2" t="n">
      <v>0.1725</v>
    </oc>
    <nc r="C2" t="n">
      <v>0.1775</v>
    </nc>
  </rcc>
  <rcc rId="2514" ua="false" sId="16">
    <oc r="D2" t="n">
      <v>0.315</v>
    </oc>
    <nc r="D2" t="n">
      <v>0.4475</v>
    </nc>
  </rcc>
  <rcc rId="2515" ua="false" sId="16">
    <oc r="C3" t="n">
      <v>0.185</v>
    </oc>
    <nc r="C3" t="n">
      <v>0.19</v>
    </nc>
  </rcc>
  <rcc rId="2516" ua="false" sId="16">
    <oc r="D3" t="n">
      <v>0.3625</v>
    </oc>
    <nc r="D3" t="n">
      <v>0.48</v>
    </nc>
  </rcc>
</revisions>
</file>

<file path=xl/revisions/revisionLog277.xml><?xml version="1.0" encoding="utf-8"?>
<revisions xmlns="http://schemas.openxmlformats.org/spreadsheetml/2006/main" xmlns:r="http://schemas.openxmlformats.org/officeDocument/2006/relationships">
  <rcc rId="2517" ua="false" sId="18">
    <oc r="F2" t="n">
      <v>5.3</v>
    </oc>
    <nc r="F2" t="n">
      <v>5.45</v>
    </nc>
  </rcc>
</revisions>
</file>

<file path=xl/revisions/revisionLog278.xml><?xml version="1.0" encoding="utf-8"?>
<revisions xmlns="http://schemas.openxmlformats.org/spreadsheetml/2006/main" xmlns:r="http://schemas.openxmlformats.org/officeDocument/2006/relationships">
  <rcc rId="2518" ua="false" sId="18">
    <oc r="I2" t="n">
      <v>6.55</v>
    </oc>
    <nc r="I2" t="n">
      <v>6.6</v>
    </nc>
  </rcc>
  <rcc rId="2519" ua="false" sId="18">
    <oc r="I3" t="n">
      <v>8.6</v>
    </oc>
    <nc r="I3" t="n">
      <v>8.65</v>
    </nc>
  </rcc>
</revisions>
</file>

<file path=xl/revisions/revisionLog279.xml><?xml version="1.0" encoding="utf-8"?>
<revisions xmlns="http://schemas.openxmlformats.org/spreadsheetml/2006/main" xmlns:r="http://schemas.openxmlformats.org/officeDocument/2006/relationships">
  <rcc rId="2520" ua="false" sId="18">
    <oc r="I5" t="n">
      <v>1.1</v>
    </oc>
    <nc r="I5" t="n">
      <v>0.8</v>
    </nc>
  </rcc>
  <rcc rId="2521" ua="false" sId="18">
    <oc r="I2" t="n">
      <v>7.45</v>
    </oc>
    <nc r="I2" t="n">
      <v>7.55</v>
    </nc>
  </rcc>
  <rcc rId="2522" ua="false" sId="18">
    <oc r="I3" t="n">
      <v>8.68</v>
    </oc>
    <nc r="I3" t="n">
      <v>8.72</v>
    </nc>
  </rcc>
</revisions>
</file>

<file path=xl/revisions/revisionLog280.xml><?xml version="1.0" encoding="utf-8"?>
<revisions xmlns="http://schemas.openxmlformats.org/spreadsheetml/2006/main" xmlns:r="http://schemas.openxmlformats.org/officeDocument/2006/relationships">
  <rcc rId="2523" ua="false" sId="18">
    <oc r="J5" t="n">
      <v>0.45</v>
    </oc>
    <nc r="J5" t="n">
      <v>0.8</v>
    </nc>
  </rcc>
</revisions>
</file>

<file path=xl/revisions/revisionLog281.xml><?xml version="1.0" encoding="utf-8"?>
<revisions xmlns="http://schemas.openxmlformats.org/spreadsheetml/2006/main" xmlns:r="http://schemas.openxmlformats.org/officeDocument/2006/relationships">
  <rcc rId="2524" ua="false" sId="2">
    <oc r="D2" t="n">
      <v>-0.5475</v>
    </oc>
    <nc r="D2" t="n">
      <v>-0.5925</v>
    </nc>
  </rcc>
  <rcc rId="2525" ua="false" sId="2">
    <oc r="C3" t="n">
      <v>0.245</v>
    </oc>
    <nc r="C3" t="n">
      <v>0.2525</v>
    </nc>
  </rcc>
  <rcc rId="2526" ua="false" sId="2">
    <oc r="D3" t="n">
      <v>-0.73</v>
    </oc>
    <nc r="D3" t="n">
      <v>-0.7825</v>
    </nc>
  </rcc>
  <rcc rId="2527" ua="false" sId="2">
    <oc r="D4" t="n">
      <v>-0.7525</v>
    </oc>
    <nc r="D4" t="n">
      <v>-0.7975</v>
    </nc>
  </rcc>
  <rcc rId="2528" ua="false" sId="2">
    <oc r="C5" t="n">
      <v>0.275</v>
    </oc>
    <nc r="C5" t="n">
      <v>0.28</v>
    </nc>
  </rcc>
  <rcc rId="2529" ua="false" sId="2">
    <oc r="D5" t="n">
      <v>-0.83</v>
    </oc>
    <nc r="D5" t="n">
      <v>-0.865</v>
    </nc>
  </rcc>
  <rcc rId="2530" ua="false" sId="2">
    <oc r="D6" t="n">
      <v>-0.9775</v>
    </oc>
    <nc r="D6" t="n">
      <v>-0.9925</v>
    </nc>
  </rcc>
  <rcc rId="2531" ua="false" sId="2">
    <oc r="D7" t="n">
      <v>-1.09</v>
    </oc>
    <nc r="D7" t="n">
      <v>-1.11</v>
    </nc>
  </rcc>
  <rcc rId="2532" ua="false" sId="2">
    <oc r="D8" t="n">
      <v>-1.28</v>
    </oc>
    <nc r="D8" t="n">
      <v>-1.29</v>
    </nc>
  </rcc>
  <rcc rId="2533" ua="false" sId="2">
    <oc r="C9" t="n">
      <v>0.4</v>
    </oc>
    <nc r="C9" t="n">
      <v>0.395</v>
    </nc>
  </rcc>
  <rcc rId="2534" ua="false" sId="2">
    <oc r="D9" t="n">
      <v>-1.3525</v>
    </oc>
    <nc r="D9" t="n">
      <v>-1.355</v>
    </nc>
  </rcc>
  <rcc rId="2535" ua="false" sId="2">
    <oc r="C10" t="n">
      <v>0.4275</v>
    </oc>
    <nc r="C10" t="n">
      <v>0.425</v>
    </nc>
  </rcc>
  <rcc rId="2536" ua="false" sId="2">
    <oc r="D10" t="n">
      <v>-1.4075</v>
    </oc>
    <nc r="D10" t="n">
      <v>-1.41</v>
    </nc>
  </rcc>
  <rcc rId="2537" ua="false" sId="2">
    <oc r="C11" t="n">
      <v>0.455</v>
    </oc>
    <nc r="C11" t="n">
      <v>0.4525</v>
    </nc>
  </rcc>
  <rcc rId="2538" ua="false" sId="2">
    <oc r="D11" t="n">
      <v>-1.545</v>
    </oc>
    <nc r="D11" t="n">
      <v>-1.5425</v>
    </nc>
  </rcc>
  <rcc rId="2539" ua="false" sId="3">
    <oc r="C2" t="n">
      <v>0.18</v>
    </oc>
    <nc r="C2" t="n">
      <v>0.175</v>
    </nc>
  </rcc>
  <rcc rId="2540" ua="false" sId="3">
    <oc r="D2" t="n">
      <v>-0.255</v>
    </oc>
    <nc r="D2" t="n">
      <v>-0.315</v>
    </nc>
  </rcc>
  <rcc rId="2541" ua="false" sId="3">
    <oc r="D3" t="n">
      <v>-0.3275</v>
    </oc>
    <nc r="D3" t="n">
      <v>-0.295</v>
    </nc>
  </rcc>
  <rcc rId="2542" ua="false" sId="3">
    <oc r="C4" t="n">
      <v>0.19</v>
    </oc>
    <nc r="C4" t="n">
      <v>0.17</v>
    </nc>
  </rcc>
  <rcc rId="2543" ua="false" sId="3">
    <oc r="D4" t="n">
      <v>-0.41</v>
    </oc>
    <nc r="D4" t="n">
      <v>-0.465</v>
    </nc>
  </rcc>
  <rcc rId="2544" ua="false" sId="3">
    <oc r="D5" t="n">
      <v>-0.46</v>
    </oc>
    <nc r="D5" t="n">
      <v>-0.48</v>
    </nc>
  </rcc>
  <rcc rId="2545" ua="false" sId="3">
    <oc r="C6" t="n">
      <v>0.2425</v>
    </oc>
    <nc r="C6" t="n">
      <v>0.24</v>
    </nc>
  </rcc>
  <rcc rId="2546" ua="false" sId="3">
    <oc r="D6" t="n">
      <v>-0.56</v>
    </oc>
    <nc r="D6" t="n">
      <v>-0.59</v>
    </nc>
  </rcc>
  <rcc rId="2547" ua="false" sId="3">
    <oc r="C7" t="n">
      <v>0.285</v>
    </oc>
    <nc r="C7" t="n">
      <v>0.2775</v>
    </nc>
  </rcc>
  <rcc rId="2548" ua="false" sId="3">
    <oc r="D7" t="n">
      <v>-0.66</v>
    </oc>
    <nc r="D7" t="n">
      <v>-0.6875</v>
    </nc>
  </rcc>
  <rcc rId="2549" ua="false" sId="3">
    <oc r="C8" t="n">
      <v>0.3525</v>
    </oc>
    <nc r="C8" t="n">
      <v>0.345</v>
    </nc>
  </rcc>
  <rcc rId="2550" ua="false" sId="3">
    <oc r="D8" t="n">
      <v>-0.7825</v>
    </oc>
    <nc r="D8" t="n">
      <v>-0.8125</v>
    </nc>
  </rcc>
  <rcc rId="2551" ua="false" sId="3">
    <oc r="C9" t="n">
      <v>0.395</v>
    </oc>
    <nc r="C9" t="n">
      <v>0.3875</v>
    </nc>
  </rcc>
  <rcc rId="2552" ua="false" sId="3">
    <oc r="D9" t="n">
      <v>-0.8625</v>
    </oc>
    <nc r="D9" t="n">
      <v>-0.8875</v>
    </nc>
  </rcc>
  <rcc rId="2553" ua="false" sId="3">
    <oc r="C10" t="n">
      <v>0.4175</v>
    </oc>
    <nc r="C10" t="n">
      <v>0.4025</v>
    </nc>
  </rcc>
  <rcc rId="2554" ua="false" sId="3">
    <oc r="D10" t="n">
      <v>-0.9325</v>
    </oc>
    <nc r="D10" t="n">
      <v>-0.9625</v>
    </nc>
  </rcc>
  <rcc rId="2555" ua="false" sId="3">
    <oc r="C11" t="n">
      <v>0.4375</v>
    </oc>
    <nc r="C11" t="n">
      <v>0.4225</v>
    </nc>
  </rcc>
  <rcc rId="2556" ua="false" sId="3">
    <oc r="D11" t="n">
      <v>-1.1075</v>
    </oc>
    <nc r="D11" t="n">
      <v>-1.1175</v>
    </nc>
  </rcc>
  <rcc rId="2557" ua="false" sId="4">
    <oc r="C2" t="n">
      <v>0.1825</v>
    </oc>
    <nc r="C2" t="n">
      <v>0.195</v>
    </nc>
  </rcc>
  <rcc rId="2558" ua="false" sId="4">
    <oc r="D2" t="n">
      <v>0.2025</v>
    </oc>
    <nc r="D2" t="n">
      <v>0.235</v>
    </nc>
  </rcc>
  <rcc rId="2559" ua="false" sId="4">
    <oc r="C3" t="n">
      <v>0.195</v>
    </oc>
    <nc r="C3" t="n">
      <v>0.1975</v>
    </nc>
  </rcc>
  <rcc rId="2560" ua="false" sId="4">
    <oc r="D3" t="n">
      <v>0.28</v>
    </oc>
    <nc r="D3" t="n">
      <v>0.3125</v>
    </nc>
  </rcc>
  <rcc rId="2561" ua="false" sId="4">
    <oc r="C4" t="n">
      <v>0.2</v>
    </oc>
    <nc r="C4" t="n">
      <v>0.205</v>
    </nc>
  </rcc>
  <rcc rId="2562" ua="false" sId="4">
    <oc r="D4" t="n">
      <v>0.29</v>
    </oc>
    <nc r="D4" t="n">
      <v>0.3125</v>
    </nc>
  </rcc>
  <rcc rId="2563" ua="false" sId="4">
    <oc r="C5" t="n">
      <v>0.2025</v>
    </oc>
    <nc r="C5" t="n">
      <v>0.2075</v>
    </nc>
  </rcc>
  <rcc rId="2564" ua="false" sId="4">
    <oc r="D5" t="n">
      <v>0.3</v>
    </oc>
    <nc r="D5" t="n">
      <v>0.32</v>
    </nc>
  </rcc>
  <rcc rId="2565" ua="false" sId="4">
    <oc r="C6" t="n">
      <v>0.2325</v>
    </oc>
    <nc r="C6" t="n">
      <v>0.2375</v>
    </nc>
  </rcc>
  <rcc rId="2566" ua="false" sId="4">
    <oc r="D6" t="n">
      <v>0.335</v>
    </oc>
    <nc r="D6" t="n">
      <v>0.3275</v>
    </nc>
  </rcc>
  <rcc rId="2567" ua="false" sId="4">
    <oc r="C8" t="n">
      <v>0.3175</v>
    </oc>
    <nc r="C8" t="n">
      <v>0.32</v>
    </nc>
  </rcc>
  <rcc rId="2568" ua="false" sId="4">
    <oc r="D8" t="n">
      <v>0.42</v>
    </oc>
    <nc r="D8" t="n">
      <v>0.41</v>
    </nc>
  </rcc>
  <rcc rId="2569" ua="false" sId="4">
    <oc r="C9" t="n">
      <v>0.3675</v>
    </oc>
    <nc r="C9" t="n">
      <v>0.3775</v>
    </nc>
  </rcc>
  <rcc rId="2570" ua="false" sId="4">
    <oc r="D9" t="n">
      <v>0.3775</v>
    </oc>
    <nc r="D9" t="n">
      <v>0.375</v>
    </nc>
  </rcc>
  <rcc rId="2571" ua="false" sId="4">
    <oc r="C10" t="n">
      <v>0.3825</v>
    </oc>
    <nc r="C10" t="n">
      <v>0.3875</v>
    </nc>
  </rcc>
  <rcc rId="2572" ua="false" sId="4">
    <oc r="D10" t="n">
      <v>0.4275</v>
    </oc>
    <nc r="D10" t="n">
      <v>0.4225</v>
    </nc>
  </rcc>
  <rcc rId="2573" ua="false" sId="4">
    <oc r="C11" t="n">
      <v>0.39</v>
    </oc>
    <nc r="C11" t="n">
      <v>0.3925</v>
    </nc>
  </rcc>
  <rcc rId="2574" ua="false" sId="4">
    <oc r="D11" t="n">
      <v>0.47</v>
    </oc>
    <nc r="D11" t="n">
      <v>0.4625</v>
    </nc>
  </rcc>
  <rcc rId="2575" ua="false" sId="5">
    <oc r="C2" t="n">
      <v>0.125</v>
    </oc>
    <nc r="C2" t="n">
      <v>0.11</v>
    </nc>
  </rcc>
  <rcc rId="2576" ua="false" sId="5">
    <oc r="D2" t="n">
      <v>0.24</v>
    </oc>
    <nc r="D2" t="n">
      <v>0.285</v>
    </nc>
  </rcc>
  <rcc rId="2577" ua="false" sId="5">
    <oc r="C3" t="n">
      <v>0.125</v>
    </oc>
    <nc r="C3" t="n">
      <v>0.1125</v>
    </nc>
  </rcc>
  <rcc rId="2578" ua="false" sId="5">
    <oc r="D3" t="n">
      <v>0.33</v>
    </oc>
    <nc r="D3" t="n">
      <v>0.3375</v>
    </nc>
  </rcc>
  <rcc rId="2579" ua="false" sId="5">
    <oc r="D4" t="n">
      <v>0.395</v>
    </oc>
    <nc r="D4" t="n">
      <v>0.3975</v>
    </nc>
  </rcc>
  <rcc rId="2580" ua="false" sId="5">
    <oc r="C5" t="n">
      <v>0.14</v>
    </oc>
    <nc r="C5" t="n">
      <v>0.115</v>
    </nc>
  </rcc>
  <rcc rId="2581" ua="false" sId="5">
    <oc r="D5" t="n">
      <v>0.405</v>
    </oc>
    <nc r="D5" t="n">
      <v>0.4175</v>
    </nc>
  </rcc>
  <rcc rId="2582" ua="false" sId="5">
    <oc r="C6" t="n">
      <v>0.165</v>
    </oc>
    <nc r="C6" t="n">
      <v>0.15</v>
    </nc>
  </rcc>
  <rcc rId="2583" ua="false" sId="5">
    <oc r="D6" t="n">
      <v>0.5</v>
    </oc>
    <nc r="D6" t="n">
      <v>0.51</v>
    </nc>
  </rcc>
  <rcc rId="2584" ua="false" sId="5">
    <oc r="C7" t="n">
      <v>0.19</v>
    </oc>
    <nc r="C7" t="n">
      <v>0.165</v>
    </nc>
  </rcc>
  <rcc rId="2585" ua="false" sId="5">
    <oc r="D7" t="n">
      <v>0.585</v>
    </oc>
    <nc r="D7" t="n">
      <v>0.6075</v>
    </nc>
  </rcc>
  <rcc rId="2586" ua="false" sId="5">
    <oc r="C8" t="n">
      <v>0.2375</v>
    </oc>
    <nc r="C8" t="n">
      <v>0.2175</v>
    </nc>
  </rcc>
  <rcc rId="2587" ua="false" sId="5">
    <oc r="D8" t="n">
      <v>0.6975</v>
    </oc>
    <nc r="D8" t="n">
      <v>0.71</v>
    </nc>
  </rcc>
  <rcc rId="2588" ua="false" sId="5">
    <oc r="C9" t="n">
      <v>0.2725</v>
    </oc>
    <nc r="C9" t="n">
      <v>0.2475</v>
    </nc>
  </rcc>
  <rcc rId="2589" ua="false" sId="5">
    <oc r="D9" t="n">
      <v>0.7525</v>
    </oc>
    <nc r="D9" t="n">
      <v>0.7625</v>
    </nc>
  </rcc>
  <rcc rId="2590" ua="false" sId="5">
    <oc r="C10" t="n">
      <v>0.2575</v>
    </oc>
    <nc r="C10" t="n">
      <v>0.24</v>
    </nc>
  </rcc>
  <rcc rId="2591" ua="false" sId="5">
    <oc r="D10" t="n">
      <v>0.7975</v>
    </oc>
    <nc r="D10" t="n">
      <v>0.8125</v>
    </nc>
  </rcc>
  <rcc rId="2592" ua="false" sId="5">
    <oc r="C11" t="n">
      <v>0.325</v>
    </oc>
    <nc r="C11" t="n">
      <v>0.3225</v>
    </nc>
  </rcc>
  <rcc rId="2593" ua="false" sId="5">
    <oc r="D11" t="n">
      <v>0.81</v>
    </oc>
    <nc r="D11" t="n">
      <v>0.8175</v>
    </nc>
  </rcc>
  <rcc rId="2594" ua="false" sId="11">
    <oc r="C2" t="n">
      <v>0.19</v>
    </oc>
    <nc r="C2" t="n">
      <v>0.1675</v>
    </nc>
  </rcc>
  <rcc rId="2595" ua="false" sId="11">
    <oc r="D2" t="n">
      <v>-0.6225</v>
    </oc>
    <nc r="D2" t="n">
      <v>-0.5675</v>
    </nc>
  </rcc>
  <rcc rId="2596" ua="false" sId="11">
    <oc r="C3" t="n">
      <v>0.205</v>
    </oc>
    <nc r="C3" t="n">
      <v>0.1775</v>
    </nc>
  </rcc>
  <rcc rId="2597" ua="false" sId="11">
    <oc r="D3" t="n">
      <v>-0.8425</v>
    </oc>
    <nc r="D3" t="n">
      <v>-0.765</v>
    </nc>
  </rcc>
  <rcc rId="2598" ua="false" sId="11">
    <oc r="D4" t="n">
      <v>-1.0525</v>
    </oc>
    <nc r="D4" t="n">
      <v>-0.975</v>
    </nc>
  </rcc>
  <rcc rId="2599" ua="false" sId="11">
    <oc r="C5" t="n">
      <v>0.2375</v>
    </oc>
    <nc r="C5" t="n">
      <v>0.2075</v>
    </nc>
  </rcc>
  <rcc rId="2600" ua="false" sId="11">
    <oc r="D5" t="n">
      <v>-1.0925</v>
    </oc>
    <nc r="D5" t="n">
      <v>-1.0175</v>
    </nc>
  </rcc>
  <rcc rId="2601" ua="false" sId="11">
    <oc r="C6" t="n">
      <v>0.2875</v>
    </oc>
    <nc r="C6" t="n">
      <v>0.2675</v>
    </nc>
  </rcc>
  <rcc rId="2602" ua="false" sId="11">
    <oc r="D6" t="n">
      <v>-1.5025</v>
    </oc>
    <nc r="D6" t="n">
      <v>-1.4025</v>
    </nc>
  </rcc>
  <rcc rId="2603" ua="false" sId="11">
    <oc r="C7" t="n">
      <v>0.3175</v>
    </oc>
    <nc r="C7" t="n">
      <v>0.3025</v>
    </nc>
  </rcc>
  <rcc rId="2604" ua="false" sId="11">
    <oc r="D7" t="n">
      <v>-1.8225</v>
    </oc>
    <nc r="D7" t="n">
      <v>-1.7475</v>
    </nc>
  </rcc>
  <rcc rId="2605" ua="false" sId="11">
    <oc r="C8" t="n">
      <v>0.365</v>
    </oc>
    <nc r="C8" t="n">
      <v>0.3625</v>
    </nc>
  </rcc>
  <rcc rId="2606" ua="false" sId="11">
    <oc r="D8" t="n">
      <v>-2.2325</v>
    </oc>
    <nc r="D8" t="n">
      <v>-2.1675</v>
    </nc>
  </rcc>
  <rcc rId="2607" ua="false" sId="11">
    <oc r="C9" t="n">
      <v>0.3975</v>
    </oc>
    <nc r="C9" t="n">
      <v>0.3925</v>
    </nc>
  </rcc>
  <rcc rId="2608" ua="false" sId="11">
    <oc r="D9" t="n">
      <v>-2.4575</v>
    </oc>
    <nc r="D9" t="n">
      <v>-2.39</v>
    </nc>
  </rcc>
  <rcc rId="2609" ua="false" sId="11">
    <oc r="D10" t="n">
      <v>-2.65</v>
    </oc>
    <nc r="D10" t="n">
      <v>-2.565</v>
    </nc>
  </rcc>
  <rcc rId="2610" ua="false" sId="11">
    <oc r="D11" t="n">
      <v>-3.065</v>
    </oc>
    <nc r="D11" t="n">
      <v>-2.995</v>
    </nc>
  </rcc>
  <rcc rId="2611" ua="false" sId="12">
    <oc r="C2" t="n">
      <v>0.16</v>
    </oc>
    <nc r="C2" t="n">
      <v>0.175</v>
    </nc>
  </rcc>
  <rcc rId="2612" ua="false" sId="12">
    <oc r="D2" t="n">
      <v>-0.255</v>
    </oc>
    <nc r="D2" t="n">
      <v>-0.14</v>
    </nc>
  </rcc>
  <rcc rId="2613" ua="false" sId="12">
    <oc r="C3" t="n">
      <v>0.165</v>
    </oc>
    <nc r="C3" t="n">
      <v>0.1875</v>
    </nc>
  </rcc>
  <rcc rId="2614" ua="false" sId="12">
    <oc r="D3" t="n">
      <v>-0.34</v>
    </oc>
    <nc r="D3" t="n">
      <v>-0.2175</v>
    </nc>
  </rcc>
  <rcc rId="2615" ua="false" sId="12">
    <oc r="C4" t="n">
      <v>0.16</v>
    </oc>
    <nc r="C4" t="n">
      <v>0.17</v>
    </nc>
  </rcc>
  <rcc rId="2616" ua="false" sId="12">
    <oc r="D4" t="n">
      <v>-0.525</v>
    </oc>
    <nc r="D4" t="n">
      <v>-0.42</v>
    </nc>
  </rcc>
  <rcc rId="2617" ua="false" sId="12">
    <oc r="C5" t="n">
      <v>0.1925</v>
    </oc>
    <nc r="C5" t="n">
      <v>0.2075</v>
    </nc>
  </rcc>
  <rcc rId="2618" ua="false" sId="12">
    <oc r="D5" t="n">
      <v>-0.4525</v>
    </oc>
    <nc r="D5" t="n">
      <v>-0.3275</v>
    </nc>
  </rcc>
  <rcc rId="2619" ua="false" sId="12">
    <oc r="C6" t="n">
      <v>0.23</v>
    </oc>
    <nc r="C6" t="n">
      <v>0.24</v>
    </nc>
  </rcc>
  <rcc rId="2620" ua="false" sId="12">
    <oc r="D6" t="n">
      <v>-0.6125</v>
    </oc>
    <nc r="D6" t="n">
      <v>-0.525</v>
    </nc>
  </rcc>
  <rcc rId="2621" ua="false" sId="12">
    <oc r="C7" t="n">
      <v>0.255</v>
    </oc>
    <nc r="C7" t="n">
      <v>0.265</v>
    </nc>
  </rcc>
  <rcc rId="2622" ua="false" sId="12">
    <oc r="D7" t="n">
      <v>-0.8025</v>
    </oc>
    <nc r="D7" t="n">
      <v>-0.7</v>
    </nc>
  </rcc>
  <rcc rId="2623" ua="false" sId="12">
    <oc r="C8" t="n">
      <v>0.32</v>
    </oc>
    <nc r="C8" t="n">
      <v>0.335</v>
    </nc>
  </rcc>
  <rcc rId="2624" ua="false" sId="12">
    <oc r="D8" t="n">
      <v>-1.01</v>
    </oc>
    <nc r="D8" t="n">
      <v>-0.91</v>
    </nc>
  </rcc>
  <rcc rId="2625" ua="false" sId="12">
    <oc r="C9" t="n">
      <v>0.365</v>
    </oc>
    <nc r="C9" t="n">
      <v>0.38</v>
    </nc>
  </rcc>
  <rcc rId="2626" ua="false" sId="12">
    <oc r="D9" t="n">
      <v>-1.14</v>
    </oc>
    <nc r="D9" t="n">
      <v>-1.0725</v>
    </nc>
  </rcc>
  <rcc rId="2627" ua="false" sId="12">
    <oc r="C10" t="n">
      <v>0.3675</v>
    </oc>
    <nc r="C10" t="n">
      <v>0.3875</v>
    </nc>
  </rcc>
  <rcc rId="2628" ua="false" sId="12">
    <oc r="D10" t="n">
      <v>-1.2125</v>
    </oc>
    <nc r="D10" t="n">
      <v>-1.1625</v>
    </nc>
  </rcc>
  <rcc rId="2629" ua="false" sId="12">
    <oc r="C11" t="n">
      <v>0.4</v>
    </oc>
    <nc r="C11" t="n">
      <v>0.415</v>
    </nc>
  </rcc>
  <rcc rId="2630" ua="false" sId="13">
    <oc r="C2" t="n">
      <v>0.135</v>
    </oc>
    <nc r="C2" t="n">
      <v>0.1325</v>
    </nc>
  </rcc>
  <rcc rId="2631" ua="false" sId="13">
    <oc r="D2" t="n">
      <v>0.065</v>
    </oc>
    <nc r="D2" t="n">
      <v>0.0125</v>
    </nc>
  </rcc>
  <rcc rId="2632" ua="false" sId="13">
    <oc r="C3" t="n">
      <v>0.135</v>
    </oc>
    <nc r="C3" t="n">
      <v>0.1375</v>
    </nc>
  </rcc>
  <rcc rId="2633" ua="false" sId="13">
    <oc r="D3" t="n">
      <v>0.065</v>
    </oc>
    <nc r="D3" t="n">
      <v>0.0275</v>
    </nc>
  </rcc>
  <rcc rId="2634" ua="false" sId="13">
    <oc r="D4" t="n">
      <v>0.095</v>
    </oc>
    <nc r="D4" t="n">
      <v>0.045</v>
    </nc>
  </rcc>
  <rcc rId="2635" ua="false" sId="13">
    <oc r="D5" t="n">
      <v>0.075</v>
    </oc>
    <nc r="D5" t="n">
      <v>0.045</v>
    </nc>
  </rcc>
  <rcc rId="2636" ua="false" sId="13">
    <oc r="C6" t="n">
      <v>0.175</v>
    </oc>
    <nc r="C6" t="n">
      <v>0.1775</v>
    </nc>
  </rcc>
  <rcc rId="2637" ua="false" sId="13">
    <oc r="D6" t="n">
      <v>0.1175</v>
    </oc>
    <nc r="D6" t="n">
      <v>0.1025</v>
    </nc>
  </rcc>
  <rcc rId="2638" ua="false" sId="13">
    <oc r="C7" t="n">
      <v>0.2025</v>
    </oc>
    <nc r="C7" t="n">
      <v>0.205</v>
    </nc>
  </rcc>
  <rcc rId="2639" ua="false" sId="13">
    <oc r="D7" t="n">
      <v>0.1575</v>
    </oc>
    <nc r="D7" t="n">
      <v>0.15</v>
    </nc>
  </rcc>
  <rcc rId="2640" ua="false" sId="13">
    <oc r="C8" t="n">
      <v>0.2575</v>
    </oc>
    <nc r="C8" t="n">
      <v>0.26</v>
    </nc>
  </rcc>
  <rcc rId="2641" ua="false" sId="13">
    <oc r="D8" t="n">
      <v>0.2175</v>
    </oc>
    <nc r="D8" t="n">
      <v>0.205</v>
    </nc>
  </rcc>
  <rcc rId="2642" ua="false" sId="13">
    <oc r="D9" t="n">
      <v>0.255</v>
    </oc>
    <nc r="D9" t="n">
      <v>0.2525</v>
    </nc>
  </rcc>
  <rcc rId="2643" ua="false" sId="13">
    <oc r="C11" t="n">
      <v>0.33</v>
    </oc>
    <nc r="C11" t="n">
      <v>0.325</v>
    </nc>
  </rcc>
  <rcc rId="2644" ua="false" sId="13">
    <oc r="D11" t="n">
      <v>0.2125</v>
    </oc>
    <nc r="D11" t="n">
      <v>0.21</v>
    </nc>
  </rcc>
  <rcc rId="2645" ua="false" sId="14">
    <oc r="C2" t="n">
      <v>0.21</v>
    </oc>
    <nc r="C2" t="n">
      <v>0.22</v>
    </nc>
  </rcc>
  <rcc rId="2646" ua="false" sId="14">
    <oc r="D2" t="n">
      <v>-0.62</v>
    </oc>
    <nc r="D2" t="n">
      <v>-0.72</v>
    </nc>
  </rcc>
  <rcc rId="2647" ua="false" sId="14">
    <oc r="C3" t="n">
      <v>0.23</v>
    </oc>
    <nc r="C3" t="n">
      <v>0.24</v>
    </nc>
  </rcc>
  <rcc rId="2648" ua="false" sId="14">
    <oc r="D3" t="n">
      <v>-0.72</v>
    </oc>
    <nc r="D3" t="n">
      <v>-0.825</v>
    </nc>
  </rcc>
  <rcc rId="2649" ua="false" sId="14">
    <oc r="D4" t="n">
      <v>-0.815</v>
    </oc>
    <nc r="D4" t="n">
      <v>-0.86</v>
    </nc>
  </rcc>
  <rcc rId="2650" ua="false" sId="14">
    <oc r="C5" t="n">
      <v>0.2675</v>
    </oc>
    <nc r="C5" t="n">
      <v>0.2725</v>
    </nc>
  </rcc>
  <rcc rId="2651" ua="false" sId="14">
    <oc r="D5" t="n">
      <v>-0.8875</v>
    </oc>
    <nc r="D5" t="n">
      <v>-0.9425</v>
    </nc>
  </rcc>
  <rcc rId="2652" ua="false" sId="14">
    <oc r="D6" t="n">
      <v>-1.05</v>
    </oc>
    <nc r="D6" t="n">
      <v>-1.1</v>
    </nc>
  </rcc>
  <rcc rId="2653" ua="false" sId="14">
    <oc r="D7" t="n">
      <v>-1.15</v>
    </oc>
    <nc r="D7" t="n">
      <v>-1.2</v>
    </nc>
  </rcc>
  <rcc rId="2654" ua="false" sId="14">
    <oc r="D8" t="n">
      <v>-1.34</v>
    </oc>
    <nc r="D8" t="n">
      <v>-1.385</v>
    </nc>
  </rcc>
  <rcc rId="2655" ua="false" sId="14">
    <oc r="C9" t="n">
      <v>0.415</v>
    </oc>
    <nc r="C9" t="n">
      <v>0.41</v>
    </nc>
  </rcc>
  <rcc rId="2656" ua="false" sId="14">
    <oc r="D9" t="n">
      <v>-1.44</v>
    </oc>
    <nc r="D9" t="n">
      <v>-1.46</v>
    </nc>
  </rcc>
  <rcc rId="2657" ua="false" sId="14">
    <oc r="C10" t="n">
      <v>0.4325</v>
    </oc>
    <nc r="C10" t="n">
      <v>0.43</v>
    </nc>
  </rcc>
  <rcc rId="2658" ua="false" sId="14">
    <oc r="D10" t="n">
      <v>-1.4975</v>
    </oc>
    <nc r="D10" t="n">
      <v>-1.515</v>
    </nc>
  </rcc>
  <rcc rId="2659" ua="false" sId="14">
    <oc r="C11" t="n">
      <v>0.475</v>
    </oc>
    <nc r="C11" t="n">
      <v>0.47</v>
    </nc>
  </rcc>
  <rcc rId="2660" ua="false" sId="14">
    <oc r="D11" t="n">
      <v>-1.665</v>
    </oc>
    <nc r="D11" t="n">
      <v>-1.67</v>
    </nc>
  </rcc>
  <rcc rId="2661" ua="false" sId="15">
    <oc r="C2" t="n">
      <v>0.1775</v>
    </oc>
    <nc r="C2" t="n">
      <v>0.1875</v>
    </nc>
  </rcc>
  <rcc rId="2662" ua="false" sId="15">
    <oc r="D2" t="n">
      <v>0.1775</v>
    </oc>
    <nc r="D2" t="n">
      <v>0.3125</v>
    </nc>
  </rcc>
  <rcc rId="2663" ua="false" sId="15">
    <oc r="C3" t="n">
      <v>0.1825</v>
    </oc>
    <nc r="C3" t="n">
      <v>0.185</v>
    </nc>
  </rcc>
  <rcc rId="2664" ua="false" sId="15">
    <oc r="D3" t="n">
      <v>0.0425</v>
    </oc>
    <nc r="D3" t="n">
      <v>0.185</v>
    </nc>
  </rcc>
  <rcc rId="2665" ua="false" sId="15">
    <oc r="C4" t="n">
      <v>0.2075</v>
    </oc>
    <nc r="C4" t="n">
      <v>0.22</v>
    </nc>
  </rcc>
  <rcc rId="2666" ua="false" sId="15">
    <oc r="D4" t="n">
      <v>-0.0875</v>
    </oc>
    <nc r="D4" t="n">
      <v>0.1075</v>
    </nc>
  </rcc>
  <rcc rId="2667" ua="false" sId="15">
    <oc r="D5" t="n">
      <v>-0.145</v>
    </oc>
    <nc r="D5" t="n">
      <v>-0.02</v>
    </nc>
  </rcc>
  <rcc rId="2668" ua="false" sId="15">
    <oc r="C6" t="n">
      <v>0.2075</v>
    </oc>
    <nc r="C6" t="n">
      <v>0.2125</v>
    </nc>
  </rcc>
  <rcc rId="2669" ua="false" sId="15">
    <oc r="D6" t="n">
      <v>-0.4025</v>
    </oc>
    <nc r="D6" t="n">
      <v>-0.285</v>
    </nc>
  </rcc>
  <rcc rId="2670" ua="false" sId="15">
    <oc r="C7" t="n">
      <v>0.23</v>
    </oc>
    <nc r="C7" t="n">
      <v>0.235</v>
    </nc>
  </rcc>
  <rcc rId="2671" ua="false" sId="15">
    <oc r="D7" t="n">
      <v>-0.6</v>
    </oc>
    <nc r="D7" t="n">
      <v>-0.525</v>
    </nc>
  </rcc>
  <rcc rId="2672" ua="false" sId="15">
    <oc r="C8" t="n">
      <v>0.27</v>
    </oc>
    <nc r="C8" t="n">
      <v>0.2875</v>
    </nc>
  </rcc>
  <rcc rId="2673" ua="false" sId="15">
    <oc r="D8" t="n">
      <v>-0.925</v>
    </oc>
    <nc r="D8" t="n">
      <v>-0.8575</v>
    </nc>
  </rcc>
  <rcc rId="2674" ua="false" sId="15">
    <oc r="C9" t="n">
      <v>0.3075</v>
    </oc>
    <nc r="C9" t="n">
      <v>0.32</v>
    </nc>
  </rcc>
  <rcc rId="2675" ua="false" sId="15">
    <oc r="D9" t="n">
      <v>-1.0875</v>
    </oc>
    <nc r="D9" t="n">
      <v>-1.0175</v>
    </nc>
  </rcc>
  <rcc rId="2676" ua="false" sId="15">
    <oc r="C10" t="n">
      <v>0.32</v>
    </oc>
    <nc r="C10" t="n">
      <v>0.335</v>
    </nc>
  </rcc>
  <rcc rId="2677" ua="false" sId="15">
    <oc r="D10" t="n">
      <v>-1.1725</v>
    </oc>
    <nc r="D10" t="n">
      <v>-1.135</v>
    </nc>
  </rcc>
  <rcc rId="2678" ua="false" sId="15">
    <oc r="C11" t="n">
      <v>0.375</v>
    </oc>
    <nc r="C11" t="n">
      <v>0.37</v>
    </nc>
  </rcc>
  <rcc rId="2679" ua="false" sId="15">
    <oc r="D11" t="n">
      <v>-1.42</v>
    </oc>
    <nc r="D11" t="n">
      <v>-1.4</v>
    </nc>
  </rcc>
</revisions>
</file>

<file path=xl/revisions/revisionLog282.xml><?xml version="1.0" encoding="utf-8"?>
<revisions xmlns="http://schemas.openxmlformats.org/spreadsheetml/2006/main" xmlns:r="http://schemas.openxmlformats.org/officeDocument/2006/relationships">
  <rcc rId="2680" ua="false" sId="18">
    <oc r="G5" t="n">
      <v>0.35</v>
    </oc>
    <nc r="G5" t="n">
      <v>1.2</v>
    </nc>
  </rcc>
  <rcc rId="2681" ua="false" sId="18">
    <oc r="G2" t="n">
      <v>6.15</v>
    </oc>
    <nc r="G2" t="n">
      <v>6.5</v>
    </nc>
  </rcc>
  <rcc rId="2682" ua="false" sId="18">
    <oc r="G3" t="n">
      <v>7.12</v>
    </oc>
    <nc r="G3" t="n">
      <v>7.3</v>
    </nc>
  </rcc>
</revisions>
</file>

<file path=xl/revisions/revisionLog283.xml><?xml version="1.0" encoding="utf-8"?>
<revisions xmlns="http://schemas.openxmlformats.org/spreadsheetml/2006/main" xmlns:r="http://schemas.openxmlformats.org/officeDocument/2006/relationships">
  <rcc rId="2683" ua="false" sId="18">
    <oc r="B2" t="n">
      <v>5.05</v>
    </oc>
    <nc r="B2" t="n">
      <v>6.1</v>
    </nc>
  </rcc>
  <rcc rId="2684" ua="false" sId="18">
    <oc r="B5" t="n">
      <v>-0.2</v>
    </oc>
    <nc r="B5" t="n">
      <v>1</v>
    </nc>
  </rcc>
  <rcc rId="2685" ua="false" sId="18">
    <oc r="B2" t="n">
      <v>6.1</v>
    </oc>
    <nc r="B2" t="n">
      <v>6</v>
    </nc>
  </rcc>
</revisions>
</file>

<file path=xl/revisions/revisionLog284.xml><?xml version="1.0" encoding="utf-8"?>
<revisions xmlns="http://schemas.openxmlformats.org/spreadsheetml/2006/main" xmlns:r="http://schemas.openxmlformats.org/officeDocument/2006/relationships">
  <rcc rId="2686" ua="false" sId="18">
    <oc r="H2" t="n">
      <v>10.05</v>
    </oc>
    <nc r="H2" t="n">
      <v>10.2</v>
    </nc>
  </rcc>
  <rcc rId="2687" ua="false" sId="18">
    <oc r="H3" t="n">
      <v>10.3</v>
    </oc>
    <nc r="H3" t="n">
      <v>10.4</v>
    </nc>
  </rcc>
  <rcc rId="2688" ua="false" sId="18">
    <oc r="H5" t="n">
      <v>0.2</v>
    </oc>
    <nc r="H5" t="n">
      <v>0.4</v>
    </nc>
  </rcc>
</revisions>
</file>

<file path=xl/revisions/revisionLog285.xml><?xml version="1.0" encoding="utf-8"?>
<revisions xmlns="http://schemas.openxmlformats.org/spreadsheetml/2006/main" xmlns:r="http://schemas.openxmlformats.org/officeDocument/2006/relationships">
  <rcc rId="2689" ua="false" sId="18">
    <oc r="F5" t="n">
      <v>0.9</v>
    </oc>
    <nc r="F5" t="n">
      <v>0.75</v>
    </nc>
  </rcc>
</revisions>
</file>

<file path=xl/revisions/revisionLog286.xml><?xml version="1.0" encoding="utf-8"?>
<revisions xmlns="http://schemas.openxmlformats.org/spreadsheetml/2006/main" xmlns:r="http://schemas.openxmlformats.org/officeDocument/2006/relationships">
  <rcc rId="2690" ua="false" sId="18">
    <oc r="G3" t="n">
      <v>7.3</v>
    </oc>
    <nc r="G3" t="n">
      <v>7.45</v>
    </nc>
  </rcc>
  <rcc rId="2691" ua="false" sId="18">
    <oc r="G2" t="n">
      <v>6.5</v>
    </oc>
    <nc r="G2" t="n">
      <v>6.9</v>
    </nc>
  </rcc>
</revisions>
</file>

<file path=xl/revisions/revisionLog287.xml><?xml version="1.0" encoding="utf-8"?>
<revisions xmlns="http://schemas.openxmlformats.org/spreadsheetml/2006/main" xmlns:r="http://schemas.openxmlformats.org/officeDocument/2006/relationships">
  <rcc rId="2692" ua="false" sId="18">
    <oc r="J2" t="n">
      <v>10.25</v>
    </oc>
    <nc r="J2" t="n">
      <v>11.3</v>
    </nc>
  </rcc>
  <rcc rId="2693" ua="false" sId="18">
    <oc r="J3" t="n">
      <v>10.55</v>
    </oc>
    <nc r="J3" t="n">
      <v>11</v>
    </nc>
  </rcc>
  <rcc rId="2694" ua="false" sId="18">
    <oc r="J5" t="n">
      <v>1.1</v>
    </oc>
    <nc r="J5" t="n">
      <v>2.8</v>
    </nc>
  </rcc>
</revisions>
</file>

<file path=xl/revisions/revisionLog288.xml><?xml version="1.0" encoding="utf-8"?>
<revisions xmlns="http://schemas.openxmlformats.org/spreadsheetml/2006/main" xmlns:r="http://schemas.openxmlformats.org/officeDocument/2006/relationships">
  <rcc rId="2695" ua="false" sId="18">
    <oc r="F5" t="n">
      <v>0.3</v>
    </oc>
    <nc r="F5" t="n">
      <v>0.6</v>
    </nc>
  </rcc>
  <rcc rId="2696" ua="false" sId="18">
    <oc r="F2" t="n">
      <v>6</v>
    </oc>
    <nc r="F2" t="n">
      <v>6.15</v>
    </nc>
  </rcc>
  <rcc rId="2697" ua="false" sId="18">
    <oc r="F3" t="n">
      <v>7.525</v>
    </oc>
    <nc r="F3" t="n">
      <v>7.55</v>
    </nc>
  </rcc>
</revisions>
</file>

<file path=xl/revisions/revisionLog289.xml><?xml version="1.0" encoding="utf-8"?>
<revisions xmlns="http://schemas.openxmlformats.org/spreadsheetml/2006/main" xmlns:r="http://schemas.openxmlformats.org/officeDocument/2006/relationships">
  <rcc rId="2698" ua="false" sId="18">
    <oc r="F2" t="n">
      <v>6.15</v>
    </oc>
    <nc r="F2" t="n">
      <v>6.1</v>
    </nc>
  </rcc>
</revisions>
</file>

<file path=xl/revisions/revisionLog290.xml><?xml version="1.0" encoding="utf-8"?>
<revisions xmlns="http://schemas.openxmlformats.org/spreadsheetml/2006/main" xmlns:r="http://schemas.openxmlformats.org/officeDocument/2006/relationships">
  <rcc rId="2699" ua="false" sId="18">
    <oc r="B2" t="n">
      <v>5</v>
    </oc>
    <nc r="B2" t="n">
      <v>5.1</v>
    </nc>
  </rcc>
  <rcc rId="2700" ua="false" sId="18">
    <oc r="B5" t="n">
      <v>0.35</v>
    </oc>
    <nc r="B5" t="n">
      <v>0</v>
    </nc>
  </rcc>
</revisions>
</file>

<file path=xl/revisions/revisionLog291.xml><?xml version="1.0" encoding="utf-8"?>
<revisions xmlns="http://schemas.openxmlformats.org/spreadsheetml/2006/main" xmlns:r="http://schemas.openxmlformats.org/officeDocument/2006/relationships">
  <rcc rId="2701" ua="false" sId="18">
    <oc r="B3" t="n">
      <v>6.75</v>
    </oc>
    <nc r="B3" t="n">
      <v>6.7</v>
    </nc>
  </rcc>
  <rcc rId="2702" ua="false" sId="18">
    <oc r="B6" t="n">
      <v>5</v>
    </oc>
    <nc r="B6" t="n">
      <v>5.5</v>
    </nc>
  </rcc>
</revisions>
</file>

<file path=xl/revisions/revisionLog292.xml><?xml version="1.0" encoding="utf-8"?>
<revisions xmlns="http://schemas.openxmlformats.org/spreadsheetml/2006/main" xmlns:r="http://schemas.openxmlformats.org/officeDocument/2006/relationships">
  <rcc rId="2703" ua="false" sId="18">
    <oc r="I5" t="n">
      <v>1.6</v>
    </oc>
    <nc r="I5" t="n">
      <v>3</v>
    </nc>
  </rcc>
  <rcc rId="2704" ua="false" sId="18">
    <oc r="I3" t="n">
      <v>8.9</v>
    </oc>
    <nc r="I3" t="n">
      <v>9.2</v>
    </nc>
  </rcc>
  <rcc rId="2705" ua="false" sId="18">
    <oc r="I2" t="n">
      <v>7.85</v>
    </oc>
    <nc r="I2" t="n">
      <v>8.3</v>
    </nc>
  </rcc>
</revisions>
</file>

<file path=xl/revisions/revisionLog293.xml><?xml version="1.0" encoding="utf-8"?>
<revisions xmlns="http://schemas.openxmlformats.org/spreadsheetml/2006/main" xmlns:r="http://schemas.openxmlformats.org/officeDocument/2006/relationships">
  <rcc rId="2706" ua="false" sId="18">
    <oc r="F2" t="n">
      <v>6.32</v>
    </oc>
    <nc r="F2" t="n">
      <v>6.6</v>
    </nc>
  </rcc>
</revisions>
</file>

<file path=xl/revisions/revisionLog294.xml><?xml version="1.0" encoding="utf-8"?>
<revisions xmlns="http://schemas.openxmlformats.org/spreadsheetml/2006/main" xmlns:r="http://schemas.openxmlformats.org/officeDocument/2006/relationships">
  <rcc rId="2707" ua="false" sId="19">
    <oc r="B9" t="n">
      <v>0</v>
    </oc>
    <nc r="B9" t="n">
      <v>10</v>
    </nc>
  </rcc>
</revisions>
</file>

<file path=xl/revisions/revisionLog295.xml><?xml version="1.0" encoding="utf-8"?>
<revisions xmlns="http://schemas.openxmlformats.org/spreadsheetml/2006/main" xmlns:r="http://schemas.openxmlformats.org/officeDocument/2006/relationships">
  <rcc rId="2708" ua="false" sId="19">
    <oc r="B9" t="n">
      <v>10</v>
    </oc>
    <nc r="B9" t="n">
      <v>0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>
  <rcc rId="2709" ua="false" sId="18">
    <oc r="F2" t="n">
      <v>6.85</v>
    </oc>
    <nc r="F2" t="n">
      <v>6.91</v>
    </nc>
  </rcc>
</revisions>
</file>

<file path=xl/revisions/revisionLog297.xml><?xml version="1.0" encoding="utf-8"?>
<revisions xmlns="http://schemas.openxmlformats.org/spreadsheetml/2006/main" xmlns:r="http://schemas.openxmlformats.org/officeDocument/2006/relationships">
  <rcc rId="2710" ua="false" sId="18">
    <oc r="F2" t="n">
      <v>5.45</v>
    </oc>
    <nc r="F2" t="n">
      <v>5.52</v>
    </nc>
  </rcc>
</revisions>
</file>

<file path=xl/revisions/revisionLog298.xml><?xml version="1.0" encoding="utf-8"?>
<revisions xmlns="http://schemas.openxmlformats.org/spreadsheetml/2006/main" xmlns:r="http://schemas.openxmlformats.org/officeDocument/2006/relationships">
  <rcc rId="2711" ua="false" sId="18">
    <oc r="G17" t="n">
      <v>5</v>
    </oc>
    <nc r="G17" t="n">
      <v>5.5</v>
    </nc>
  </rcc>
  <rcc rId="2712" ua="false" sId="18">
    <oc r="G5" t="n">
      <v>0.7</v>
    </oc>
    <nc r="G5" t="n">
      <v>0.6</v>
    </nc>
  </rcc>
</revisions>
</file>

<file path=xl/revisions/revisionLog299.xml><?xml version="1.0" encoding="utf-8"?>
<revisions xmlns="http://schemas.openxmlformats.org/spreadsheetml/2006/main" xmlns:r="http://schemas.openxmlformats.org/officeDocument/2006/relationships">
  <rcc rId="2713" ua="false" sId="18">
    <oc r="F2" t="n">
      <v>5.9</v>
    </oc>
    <nc r="F2" t="n">
      <v>5.8</v>
    </nc>
  </rcc>
  <rcc rId="2714" ua="false" sId="18">
    <oc r="F3" t="n">
      <v>7.8</v>
    </oc>
    <nc r="F3" t="n">
      <v>7.75</v>
    </nc>
  </rcc>
  <rcc rId="2715" ua="false" sId="18">
    <oc r="F2" t="n">
      <v>5.8</v>
    </oc>
    <nc r="F2" t="n">
      <v>5.85</v>
    </nc>
  </rcc>
  <rcc rId="2716" ua="false" sId="18">
    <oc r="F3" t="n">
      <v>7.75</v>
    </oc>
    <nc r="F3" t="n">
      <v>7.8</v>
    </nc>
  </rcc>
</revisions>
</file>

<file path=xl/revisions/revisionLog300.xml><?xml version="1.0" encoding="utf-8"?>
<revisions xmlns="http://schemas.openxmlformats.org/spreadsheetml/2006/main" xmlns:r="http://schemas.openxmlformats.org/officeDocument/2006/relationships">
  <rcc rId="2717" ua="false" sId="18">
    <oc r="J5" t="n">
      <v>4.2</v>
    </oc>
    <nc r="J5" t="n">
      <v>4.1</v>
    </nc>
  </rcc>
</revisions>
</file>

<file path=xl/revisions/revisionLog301.xml><?xml version="1.0" encoding="utf-8"?>
<revisions xmlns="http://schemas.openxmlformats.org/spreadsheetml/2006/main" xmlns:r="http://schemas.openxmlformats.org/officeDocument/2006/relationships">
  <rcc rId="2718" ua="false" sId="19">
    <nc r="A63" t="n">
      <v>44264</v>
    </nc>
  </rcc>
  <rcc rId="2719" ua="false" sId="19">
    <nc r="B63" t="n">
      <v>217531</v>
    </nc>
  </rcc>
  <rcc rId="2720" ua="false" sId="19">
    <nc r="C63" t="n">
      <f>C62+B63</f>
    </nc>
  </rcc>
</revisions>
</file>

<file path=xl/revisions/revisionLog302.xml><?xml version="1.0" encoding="utf-8"?>
<revisions xmlns="http://schemas.openxmlformats.org/spreadsheetml/2006/main" xmlns:r="http://schemas.openxmlformats.org/officeDocument/2006/relationships">
  <rcc rId="2721" ua="false" sId="18">
    <oc r="H5" t="n">
      <v>4.2</v>
    </oc>
    <nc r="H5" t="n">
      <v>3.5</v>
    </nc>
  </rcc>
</revisions>
</file>

<file path=xl/revisions/revisionLog303.xml><?xml version="1.0" encoding="utf-8"?>
<revisions xmlns="http://schemas.openxmlformats.org/spreadsheetml/2006/main" xmlns:r="http://schemas.openxmlformats.org/officeDocument/2006/relationships">
  <rcc rId="2722" ua="false" sId="18">
    <oc r="F5" t="n">
      <v>1</v>
    </oc>
    <nc r="F5" t="n">
      <v>0.7</v>
    </nc>
  </rcc>
</revisions>
</file>

<file path=xl/revisions/revisionLog304.xml><?xml version="1.0" encoding="utf-8"?>
<revisions xmlns="http://schemas.openxmlformats.org/spreadsheetml/2006/main" xmlns:r="http://schemas.openxmlformats.org/officeDocument/2006/relationships">
  <rcc rId="2723" ua="false" sId="19">
    <nc r="B38" t="n">
      <v>53944</v>
    </nc>
  </rcc>
  <rcc rId="2724" ua="false" sId="19">
    <nc r="C38" t="n">
      <f>C36+B38</f>
    </nc>
  </rcc>
</revisions>
</file>

<file path=xl/revisions/revisionLog305.xml><?xml version="1.0" encoding="utf-8"?>
<revisions xmlns="http://schemas.openxmlformats.org/spreadsheetml/2006/main" xmlns:r="http://schemas.openxmlformats.org/officeDocument/2006/relationships">
  <rcc rId="2725" ua="false" sId="2">
    <oc r="C2" t="n">
      <v>0.3125</v>
    </oc>
    <nc r="C2" t="n">
      <v>0.275</v>
    </nc>
  </rcc>
  <rcc rId="2726" ua="false" sId="2">
    <oc r="D2" t="n">
      <v>-1.6675</v>
    </oc>
    <nc r="D2" t="n">
      <v>-1.3775</v>
    </nc>
  </rcc>
  <rcc rId="2727" ua="false" sId="2">
    <oc r="C3" t="n">
      <v>0.32</v>
    </oc>
    <nc r="C3" t="n">
      <v>0.295</v>
    </nc>
  </rcc>
  <rcc rId="2728" ua="false" sId="2">
    <oc r="D3" t="n">
      <v>-1.74</v>
    </oc>
    <nc r="D3" t="n">
      <v>-1.43</v>
    </nc>
  </rcc>
  <rcc rId="2729" ua="false" sId="2">
    <oc r="C4" t="n">
      <v>0.3625</v>
    </oc>
    <nc r="C4" t="n">
      <v>0.3375</v>
    </nc>
  </rcc>
  <rcc rId="2730" ua="false" sId="2">
    <oc r="D4" t="n">
      <v>-1.9475</v>
    </oc>
    <nc r="D4" t="n">
      <v>-1.45</v>
    </nc>
  </rcc>
  <rcc rId="2731" ua="false" sId="2">
    <oc r="C5" t="n">
      <v>0.335</v>
    </oc>
    <nc r="C5" t="n">
      <v>0.33</v>
    </nc>
  </rcc>
  <rcc rId="2732" ua="false" sId="2">
    <oc r="D5" t="n">
      <v>-1.845</v>
    </oc>
    <nc r="D5" t="n">
      <v>-1.52</v>
    </nc>
  </rcc>
  <rcc rId="2733" ua="false" sId="2">
    <oc r="C6" t="n">
      <v>0.37</v>
    </oc>
    <nc r="C6" t="n">
      <v>0.3625</v>
    </nc>
  </rcc>
  <rcc rId="2734" ua="false" sId="2">
    <oc r="D6" t="n">
      <v>-1.965</v>
    </oc>
    <nc r="D6" t="n">
      <v>-1.535</v>
    </nc>
  </rcc>
  <rcc rId="2735" ua="false" sId="2">
    <oc r="C7" t="n">
      <v>0.39</v>
    </oc>
    <nc r="C7" t="n">
      <v>0.395</v>
    </nc>
  </rcc>
  <rcc rId="2736" ua="false" sId="2">
    <oc r="D7" t="n">
      <v>-2.015</v>
    </oc>
    <nc r="D7" t="n">
      <v>-1.7075</v>
    </nc>
  </rcc>
  <rcc rId="2737" ua="false" sId="2">
    <oc r="C8" t="n">
      <v>0.415</v>
    </oc>
    <nc r="C8" t="n">
      <v>0.4175</v>
    </nc>
  </rcc>
  <rcc rId="2738" ua="false" sId="2">
    <oc r="D8" t="n">
      <v>-2.01</v>
    </oc>
    <nc r="D8" t="n">
      <v>-1.7775</v>
    </nc>
  </rcc>
  <rcc rId="2739" ua="false" sId="2">
    <oc r="C9" t="n">
      <v>0.43</v>
    </oc>
    <nc r="C9" t="n">
      <v>0.4425</v>
    </nc>
  </rcc>
  <rcc rId="2740" ua="false" sId="2">
    <oc r="D9" t="n">
      <v>-2.025</v>
    </oc>
    <nc r="D9" t="n">
      <v>-1.805</v>
    </nc>
  </rcc>
  <rcc rId="2741" ua="false" sId="2">
    <oc r="C10" t="n">
      <v>0.445</v>
    </oc>
    <nc r="C10" t="n">
      <v>0.4625</v>
    </nc>
  </rcc>
  <rcc rId="2742" ua="false" sId="2">
    <oc r="D10" t="n">
      <v>-2.06</v>
    </oc>
    <nc r="D10" t="n">
      <v>-1.885</v>
    </nc>
  </rcc>
  <rcc rId="2743" ua="false" sId="2">
    <oc r="C11" t="n">
      <v>0.455</v>
    </oc>
    <nc r="C11" t="n">
      <v>0.4625</v>
    </nc>
  </rcc>
  <rcc rId="2744" ua="false" sId="2">
    <oc r="D11" t="n">
      <v>-2.0775</v>
    </oc>
    <nc r="D11" t="n">
      <v>-1.9875</v>
    </nc>
  </rcc>
  <rcc rId="2745" ua="false" sId="3">
    <oc r="C2" t="n">
      <v>0.22</v>
    </oc>
    <nc r="C2" t="n">
      <v>0.21</v>
    </nc>
  </rcc>
  <rcc rId="2746" ua="false" sId="3">
    <oc r="D2" t="n">
      <v>-0.7825</v>
    </oc>
    <nc r="D2" t="n">
      <v>-0.7</v>
    </nc>
  </rcc>
  <rcc rId="2747" ua="false" sId="3">
    <oc r="C3" t="n">
      <v>0.235</v>
    </oc>
    <nc r="C3" t="n">
      <v>0.22</v>
    </nc>
  </rcc>
  <rcc rId="2748" ua="false" sId="3">
    <oc r="D3" t="n">
      <v>-0.77</v>
    </oc>
    <nc r="D3" t="n">
      <v>-0.71</v>
    </nc>
  </rcc>
  <rcc rId="2749" ua="false" sId="3">
    <oc r="C4" t="n">
      <v>0.235</v>
    </oc>
    <nc r="C4" t="n">
      <v>0.245</v>
    </nc>
  </rcc>
  <rcc rId="2750" ua="false" sId="3">
    <oc r="D4" t="n">
      <v>-0.81</v>
    </oc>
    <nc r="D4" t="n">
      <v>-0.69</v>
    </nc>
  </rcc>
  <rcc rId="2751" ua="false" sId="3">
    <oc r="C5" t="n">
      <v>0.2575</v>
    </oc>
    <nc r="C5" t="n">
      <v>0.2425</v>
    </nc>
  </rcc>
  <rcc rId="2752" ua="false" sId="3">
    <oc r="D5" t="n">
      <v>-0.82</v>
    </oc>
    <nc r="D5" t="n">
      <v>-0.795</v>
    </nc>
  </rcc>
  <rcc rId="2753" ua="false" sId="3">
    <oc r="C6" t="n">
      <v>0.295</v>
    </oc>
    <nc r="C6" t="n">
      <v>0.275</v>
    </nc>
  </rcc>
  <rcc rId="2754" ua="false" sId="3">
    <oc r="D6" t="n">
      <v>-0.865</v>
    </oc>
    <nc r="D6" t="n">
      <v>-0.8525</v>
    </nc>
  </rcc>
  <rcc rId="2755" ua="false" sId="3">
    <oc r="C7" t="n">
      <v>0.34</v>
    </oc>
    <nc r="C7" t="n">
      <v>0.32</v>
    </nc>
  </rcc>
  <rcc rId="2756" ua="false" sId="3">
    <oc r="D7" t="n">
      <v>-0.9375</v>
    </oc>
    <nc r="D7" t="n">
      <v>-0.92</v>
    </nc>
  </rcc>
  <rcc rId="2757" ua="false" sId="3">
    <oc r="C8" t="n">
      <v>0.405</v>
    </oc>
    <nc r="C8" t="n">
      <v>0.3825</v>
    </nc>
  </rcc>
  <rcc rId="2758" ua="false" sId="3">
    <oc r="D8" t="n">
      <v>-1.045</v>
    </oc>
    <nc r="D8" t="n">
      <v>-1.0475</v>
    </nc>
  </rcc>
  <rcc rId="2759" ua="false" sId="3">
    <oc r="C9" t="n">
      <v>0.4425</v>
    </oc>
    <nc r="C9" t="n">
      <v>0.415</v>
    </nc>
  </rcc>
  <rcc rId="2760" ua="false" sId="3">
    <oc r="D9" t="n">
      <v>-1.12</v>
    </oc>
    <nc r="D9" t="n">
      <v>-1.11</v>
    </nc>
  </rcc>
  <rcc rId="2761" ua="false" sId="3">
    <oc r="C10" t="n">
      <v>0.465</v>
    </oc>
    <nc r="C10" t="n">
      <v>0.43</v>
    </nc>
  </rcc>
  <rcc rId="2762" ua="false" sId="3">
    <oc r="D10" t="n">
      <v>-1.18</v>
    </oc>
    <nc r="D10" t="n">
      <v>-1.175</v>
    </nc>
  </rcc>
  <rcc rId="2763" ua="false" sId="3">
    <oc r="C11" t="n">
      <v>0.4775</v>
    </oc>
    <nc r="C11" t="n">
      <v>0.44</v>
    </nc>
  </rcc>
  <rcc rId="2764" ua="false" sId="3">
    <oc r="D11" t="n">
      <v>-1.2675</v>
    </oc>
    <nc r="D11" t="n">
      <v>-1.26</v>
    </nc>
  </rcc>
  <rcc rId="2765" ua="false" sId="4">
    <oc r="C2" t="n">
      <v>0.2575</v>
    </oc>
    <nc r="C2" t="n">
      <v>0.225</v>
    </nc>
  </rcc>
  <rcc rId="2766" ua="false" sId="4">
    <oc r="D2" t="n">
      <v>0.6775</v>
    </oc>
    <nc r="D2" t="n">
      <v>0.64</v>
    </nc>
  </rcc>
  <rcc rId="2767" ua="false" sId="4">
    <oc r="C3" t="n">
      <v>0.2525</v>
    </oc>
    <nc r="C3" t="n">
      <v>0.2225</v>
    </nc>
  </rcc>
  <rcc rId="2768" ua="false" sId="4">
    <oc r="D3" t="n">
      <v>0.7</v>
    </oc>
    <nc r="D3" t="n">
      <v>0.6375</v>
    </nc>
  </rcc>
  <rcc rId="2769" ua="false" sId="4">
    <oc r="C4" t="n">
      <v>0.2525</v>
    </oc>
    <nc r="C4" t="n">
      <v>0.225</v>
    </nc>
  </rcc>
  <rcc rId="2770" ua="false" sId="4">
    <oc r="D4" t="n">
      <v>0.705</v>
    </oc>
    <nc r="D4" t="n">
      <v>0.6425</v>
    </nc>
  </rcc>
  <rcc rId="2771" ua="false" sId="4">
    <oc r="C5" t="n">
      <v>0.26</v>
    </oc>
    <nc r="C5" t="n">
      <v>0.2325</v>
    </nc>
  </rcc>
  <rcc rId="2772" ua="false" sId="4">
    <oc r="D5" t="n">
      <v>0.75</v>
    </oc>
    <nc r="D5" t="n">
      <v>0.67</v>
    </nc>
  </rcc>
  <rcc rId="2773" ua="false" sId="4">
    <oc r="C6" t="n">
      <v>0.285</v>
    </oc>
    <nc r="C6" t="n">
      <v>0.2625</v>
    </nc>
  </rcc>
  <rcc rId="2774" ua="false" sId="4">
    <oc r="D6" t="n">
      <v>0.76</v>
    </oc>
    <nc r="D6" t="n">
      <v>0.7275</v>
    </nc>
  </rcc>
  <rcc rId="2775" ua="false" sId="4">
    <oc r="C7" t="n">
      <v>0.3175</v>
    </oc>
    <nc r="C7" t="n">
      <v>0.3</v>
    </nc>
  </rcc>
  <rcc rId="2776" ua="false" sId="4">
    <oc r="D7" t="n">
      <v>0.7925</v>
    </oc>
    <nc r="D7" t="n">
      <v>0.7475</v>
    </nc>
  </rcc>
  <rcc rId="2777" ua="false" sId="4">
    <oc r="C8" t="n">
      <v>0.36</v>
    </oc>
    <nc r="C8" t="n">
      <v>0.345</v>
    </nc>
  </rcc>
  <rcc rId="2778" ua="false" sId="4">
    <oc r="D8" t="n">
      <v>0.8025</v>
    </oc>
    <nc r="D8" t="n">
      <v>0.7825</v>
    </nc>
  </rcc>
  <rcc rId="2779" ua="false" sId="4">
    <oc r="C9" t="n">
      <v>0.4275</v>
    </oc>
    <nc r="C9" t="n">
      <v>0.405</v>
    </nc>
  </rcc>
  <rcc rId="2780" ua="false" sId="4">
    <oc r="D9" t="n">
      <v>0.78</v>
    </oc>
    <nc r="D9" t="n">
      <v>0.79</v>
    </nc>
  </rcc>
  <rcc rId="2781" ua="false" sId="4">
    <oc r="C10" t="n">
      <v>0.425</v>
    </oc>
    <nc r="C10" t="n">
      <v>0.405</v>
    </nc>
  </rcc>
  <rcc rId="2782" ua="false" sId="4">
    <oc r="D10" t="n">
      <v>0.775</v>
    </oc>
    <nc r="D10" t="n">
      <v>0.745</v>
    </nc>
  </rcc>
  <rcc rId="2783" ua="false" sId="4">
    <oc r="C11" t="n">
      <v>0.43</v>
    </oc>
    <nc r="C11" t="n">
      <v>0.425</v>
    </nc>
  </rcc>
  <rcc rId="2784" ua="false" sId="4">
    <oc r="D11" t="n">
      <v>0.795</v>
    </oc>
    <nc r="D11" t="n">
      <v>0.815</v>
    </nc>
  </rcc>
  <rcc rId="2785" ua="false" sId="5">
    <oc r="C2" t="n">
      <v>0.1375</v>
    </oc>
    <nc r="C2" t="n">
      <v>0.135</v>
    </nc>
  </rcc>
  <rcc rId="2786" ua="false" sId="5">
    <oc r="D2" t="n">
      <v>0.61</v>
    </oc>
    <nc r="D2" t="n">
      <v>0.53</v>
    </nc>
  </rcc>
  <rcc rId="2787" ua="false" sId="5">
    <oc r="C3" t="n">
      <v>0.14</v>
    </oc>
    <nc r="C3" t="n">
      <v>0.145</v>
    </nc>
  </rcc>
  <rcc rId="2788" ua="false" sId="5">
    <oc r="D3" t="n">
      <v>0.6575</v>
    </oc>
    <nc r="D3" t="n">
      <v>0.59</v>
    </nc>
  </rcc>
  <rcc rId="2789" ua="false" sId="5">
    <oc r="C4" t="n">
      <v>0.1875</v>
    </oc>
    <nc r="C4" t="n">
      <v>0.175</v>
    </nc>
  </rcc>
  <rcc rId="2790" ua="false" sId="5">
    <oc r="D4" t="n">
      <v>0.575</v>
    </oc>
    <nc r="D4" t="n">
      <v>0.6075</v>
    </nc>
  </rcc>
  <rcc rId="2791" ua="false" sId="5">
    <oc r="C5" t="n">
      <v>0.15</v>
    </oc>
    <nc r="C5" t="n">
      <v>0.155</v>
    </nc>
  </rcc>
  <rcc rId="2792" ua="false" sId="5">
    <oc r="D5" t="n">
      <v>0.7525</v>
    </oc>
    <nc r="D5" t="n">
      <v>0.68</v>
    </nc>
  </rcc>
  <rcc rId="2793" ua="false" sId="5">
    <oc r="C6" t="n">
      <v>0.175</v>
    </oc>
    <nc r="C6" t="n">
      <v>0.18</v>
    </nc>
  </rcc>
  <rcc rId="2794" ua="false" sId="5">
    <oc r="D6" t="n">
      <v>0.8025</v>
    </oc>
    <nc r="D6" t="n">
      <v>0.7375</v>
    </nc>
  </rcc>
  <rcc rId="2795" ua="false" sId="5">
    <oc r="C7" t="n">
      <v>0.195</v>
    </oc>
    <nc r="C7" t="n">
      <v>0.2025</v>
    </nc>
  </rcc>
  <rcc rId="2796" ua="false" sId="5">
    <oc r="D7" t="n">
      <v>0.86</v>
    </oc>
    <nc r="D7" t="n">
      <v>0.795</v>
    </nc>
  </rcc>
  <rcc rId="2797" ua="false" sId="5">
    <oc r="C8" t="n">
      <v>0.245</v>
    </oc>
    <nc r="C8" t="n">
      <v>0.25</v>
    </nc>
  </rcc>
  <rcc rId="2798" ua="false" sId="5">
    <oc r="D8" t="n">
      <v>0.955</v>
    </oc>
    <nc r="D8" t="n">
      <v>0.8925</v>
    </nc>
  </rcc>
  <rcc rId="2799" ua="false" sId="5">
    <oc r="C9" t="n">
      <v>0.2675</v>
    </oc>
    <nc r="C9" t="n">
      <v>0.28</v>
    </nc>
  </rcc>
  <rcc rId="2800" ua="false" sId="5">
    <oc r="D9" t="n">
      <v>0.9675</v>
    </oc>
    <nc r="D9" t="n">
      <v>0.925</v>
    </nc>
  </rcc>
  <rcc rId="2801" ua="false" sId="5">
    <oc r="C10" t="n">
      <v>0.26</v>
    </oc>
    <nc r="C10" t="n">
      <v>0.2675</v>
    </nc>
  </rcc>
  <rcc rId="2802" ua="false" sId="5">
    <oc r="D10" t="n">
      <v>1.0675</v>
    </oc>
    <nc r="D10" t="n">
      <v>0.9975</v>
    </nc>
  </rcc>
  <rcc rId="2803" ua="false" sId="5">
    <oc r="C11" t="n">
      <v>0.36</v>
    </oc>
    <nc r="C11" t="n">
      <v>0.345</v>
    </nc>
  </rcc>
  <rcc rId="2804" ua="false" sId="5">
    <oc r="D11" t="n">
      <v>1.005</v>
    </oc>
    <nc r="D11" t="n">
      <v>0.98</v>
    </nc>
  </rcc>
  <rcc rId="2805" ua="false" sId="10">
    <oc r="C2" t="n">
      <v>0.1425</v>
    </oc>
    <nc r="C2" t="n">
      <v>0.1375</v>
    </nc>
  </rcc>
  <rcc rId="2806" ua="false" sId="10">
    <oc r="D2" t="n">
      <v>-0.09</v>
    </oc>
    <nc r="D2" t="n">
      <v>0.1775</v>
    </nc>
  </rcc>
  <rcc rId="2807" ua="false" sId="10">
    <oc r="C3" t="n">
      <v>0.1375</v>
    </oc>
    <nc r="C3" t="n">
      <v>0.135</v>
    </nc>
  </rcc>
  <rcc rId="2808" ua="false" sId="10">
    <oc r="D3" t="n">
      <v>0.0975</v>
    </oc>
    <nc r="D3" t="n">
      <v>0.1</v>
    </nc>
  </rcc>
  <rcc rId="2809" ua="false" sId="10">
    <oc r="C4" t="n">
      <v>0.1675</v>
    </oc>
    <nc r="C4" t="n">
      <v>0.16</v>
    </nc>
  </rcc>
  <rcc rId="2810" ua="false" sId="10">
    <oc r="D4" t="n">
      <v>0.23</v>
    </oc>
    <nc r="D4" t="n">
      <v>0.285</v>
    </nc>
  </rcc>
  <rcc rId="2811" ua="false" sId="10">
    <oc r="C5" t="n">
      <v>0.19</v>
    </oc>
    <nc r="C5" t="n">
      <v>0.185</v>
    </nc>
  </rcc>
  <rcc rId="2812" ua="false" sId="10">
    <oc r="D5" t="n">
      <v>0.33</v>
    </oc>
    <nc r="D5" t="n">
      <v>0.4275</v>
    </nc>
  </rcc>
  <rcc rId="2813" ua="false" sId="10">
    <oc r="C6" t="n">
      <v>0.23</v>
    </oc>
    <nc r="C6" t="n">
      <v>0.2325</v>
    </nc>
  </rcc>
  <rcc rId="2814" ua="false" sId="10">
    <oc r="D6" t="n">
      <v>0.47</v>
    </oc>
    <nc r="D6" t="n">
      <v>0.5275</v>
    </nc>
  </rcc>
  <rcc rId="2815" ua="false" sId="10">
    <oc r="D7" t="n">
      <v>0.7275</v>
    </oc>
    <nc r="D7" t="n">
      <v>0.7</v>
    </nc>
  </rcc>
  <rcc rId="2816" ua="false" sId="10">
    <oc r="C8" t="n">
      <v>0.3175</v>
    </oc>
    <nc r="C8" t="n">
      <v>0.3125</v>
    </nc>
  </rcc>
  <rcc rId="2817" ua="false" sId="10">
    <oc r="D8" t="n">
      <v>0.8675</v>
    </oc>
    <nc r="D8" t="n">
      <v>0.8575</v>
    </nc>
  </rcc>
  <rcc rId="2818" ua="false" sId="10">
    <oc r="C9" t="n">
      <v>0.335</v>
    </oc>
    <nc r="C9" t="n">
      <v>0.33</v>
    </nc>
  </rcc>
  <rcc rId="2819" ua="false" sId="10">
    <oc r="D9" t="n">
      <v>0.965</v>
    </oc>
    <nc r="D9" t="n">
      <v>0.9675</v>
    </nc>
  </rcc>
  <rcc rId="2820" ua="false" sId="10">
    <oc r="C10" t="n">
      <v>0.36</v>
    </oc>
    <nc r="C10" t="n">
      <v>0.355</v>
    </nc>
  </rcc>
  <rcc rId="2821" ua="false" sId="10">
    <oc r="D10" t="n">
      <v>1.115</v>
    </oc>
    <nc r="D10" t="n">
      <v>1.0925</v>
    </nc>
  </rcc>
  <rcc rId="2822" ua="false" sId="11">
    <oc r="C2" t="n">
      <v>0.3275</v>
    </oc>
    <nc r="C2" t="n">
      <v>0.2475</v>
    </nc>
  </rcc>
  <rcc rId="2823" ua="false" sId="11">
    <oc r="D2" t="n">
      <v>-1.995</v>
    </oc>
    <nc r="D2" t="n">
      <v>-1.4375</v>
    </nc>
  </rcc>
  <rcc rId="2824" ua="false" sId="11">
    <oc r="C3" t="n">
      <v>0.3075</v>
    </oc>
    <nc r="C3" t="n">
      <v>0.26</v>
    </nc>
  </rcc>
  <rcc rId="2825" ua="false" sId="11">
    <oc r="D3" t="n">
      <v>-2.0025</v>
    </oc>
    <nc r="D3" t="n">
      <v>-1.555</v>
    </nc>
  </rcc>
  <rcc rId="2826" ua="false" sId="11">
    <oc r="C4" t="n">
      <v>0.4125</v>
    </oc>
    <nc r="C4" t="n">
      <v>0.365</v>
    </nc>
  </rcc>
  <rcc rId="2827" ua="false" sId="11">
    <oc r="D4" t="n">
      <v>-2.005</v>
    </oc>
    <nc r="D4" t="n">
      <v>-1.7025</v>
    </nc>
  </rcc>
  <rcc rId="2828" ua="false" sId="11">
    <oc r="C5" t="n">
      <v>0.32</v>
    </oc>
    <nc r="C5" t="n">
      <v>0.295</v>
    </nc>
  </rcc>
  <rcc rId="2829" ua="false" sId="11">
    <oc r="D5" t="n">
      <v>-2.1775</v>
    </oc>
    <nc r="D5" t="n">
      <v>-1.8575</v>
    </nc>
  </rcc>
  <rcc rId="2830" ua="false" sId="11">
    <oc r="C6" t="n">
      <v>0.355</v>
    </oc>
    <nc r="C6" t="n">
      <v>0.345</v>
    </nc>
  </rcc>
  <rcc rId="2831" ua="false" sId="11">
    <oc r="D6" t="n">
      <v>-2.45</v>
    </oc>
    <nc r="D6" t="n">
      <v>-2.235</v>
    </nc>
  </rcc>
  <rcc rId="2832" ua="false" sId="11">
    <oc r="C7" t="n">
      <v>0.385</v>
    </oc>
    <nc r="C7" t="n">
      <v>0.3825</v>
    </nc>
  </rcc>
  <rcc rId="2833" ua="false" sId="11">
    <oc r="D7" t="n">
      <v>-2.7075</v>
    </oc>
    <nc r="D7" t="n">
      <v>-2.5225</v>
    </nc>
  </rcc>
  <rcc rId="2834" ua="false" sId="11">
    <oc r="C8" t="n">
      <v>0.4625</v>
    </oc>
    <nc r="C8" t="n">
      <v>0.45</v>
    </nc>
  </rcc>
  <rcc rId="2835" ua="false" sId="11">
    <oc r="D8" t="n">
      <v>-3.04</v>
    </oc>
    <nc r="D8" t="n">
      <v>-2.9275</v>
    </nc>
  </rcc>
  <rcc rId="2836" ua="false" sId="11">
    <oc r="C9" t="n">
      <v>0.5025</v>
    </oc>
    <nc r="C9" t="n">
      <v>0.4725</v>
    </nc>
  </rcc>
  <rcc rId="2837" ua="false" sId="11">
    <oc r="D9" t="n">
      <v>-3.19</v>
    </oc>
    <nc r="D9" t="n">
      <v>-3.0975</v>
    </nc>
  </rcc>
  <rcc rId="2838" ua="false" sId="11">
    <oc r="C10" t="n">
      <v>0.5425</v>
    </oc>
    <nc r="C10" t="n">
      <v>0.49</v>
    </nc>
  </rcc>
  <rcc rId="2839" ua="false" sId="11">
    <oc r="D10" t="n">
      <v>-3.375</v>
    </oc>
    <nc r="D10" t="n">
      <v>-3.2575</v>
    </nc>
  </rcc>
  <rcc rId="2840" ua="false" sId="11">
    <oc r="C11" t="n">
      <v>0.5175</v>
    </oc>
    <nc r="C11" t="n">
      <v>0.4875</v>
    </nc>
  </rcc>
  <rcc rId="2841" ua="false" sId="11">
    <oc r="D11" t="n">
      <v>-3.7375</v>
    </oc>
    <nc r="D11" t="n">
      <v>-3.6225</v>
    </nc>
  </rcc>
  <rcc rId="2842" ua="false" sId="12">
    <oc r="C2" t="n">
      <v>0.24</v>
    </oc>
    <nc r="C2" t="n">
      <v>0.21</v>
    </nc>
  </rcc>
  <rcc rId="2843" ua="false" sId="12">
    <oc r="D2" t="n">
      <v>-0.835</v>
    </oc>
    <nc r="D2" t="n">
      <v>-0.36</v>
    </nc>
  </rcc>
  <rcc rId="2844" ua="false" sId="12">
    <oc r="C3" t="n">
      <v>0.2475</v>
    </oc>
    <nc r="C3" t="n">
      <v>0.2175</v>
    </nc>
  </rcc>
  <rcc rId="2845" ua="false" sId="12">
    <oc r="D3" t="n">
      <v>-0.7825</v>
    </oc>
    <nc r="D3" t="n">
      <v>-0.4525</v>
    </nc>
  </rcc>
  <rcc rId="2846" ua="false" sId="12">
    <oc r="C4" t="n">
      <v>0.25</v>
    </oc>
    <nc r="C4" t="n">
      <v>0.21</v>
    </nc>
  </rcc>
  <rcc rId="2847" ua="false" sId="12">
    <oc r="D4" t="n">
      <v>-0.51</v>
    </oc>
    <nc r="D4" t="n">
      <v>-0.41</v>
    </nc>
  </rcc>
  <rcc rId="2848" ua="false" sId="12">
    <oc r="C5" t="n">
      <v>0.27</v>
    </oc>
    <nc r="C5" t="n">
      <v>0.25</v>
    </nc>
  </rcc>
  <rcc rId="2849" ua="false" sId="12">
    <oc r="D5" t="n">
      <v>-0.74</v>
    </oc>
    <nc r="D5" t="n">
      <v>-0.535</v>
    </nc>
  </rcc>
  <rcc rId="2850" ua="false" sId="12">
    <oc r="C6" t="n">
      <v>0.295</v>
    </oc>
    <nc r="C6" t="n">
      <v>0.28</v>
    </nc>
  </rcc>
  <rcc rId="2851" ua="false" sId="12">
    <oc r="D6" t="n">
      <v>-0.875</v>
    </oc>
    <nc r="D6" t="n">
      <v>-0.73</v>
    </nc>
  </rcc>
  <rcc rId="2852" ua="false" sId="12">
    <oc r="C7" t="n">
      <v>0.3325</v>
    </oc>
    <nc r="C7" t="n">
      <v>0.3175</v>
    </nc>
  </rcc>
  <rcc rId="2853" ua="false" sId="12">
    <oc r="D7" t="n">
      <v>-1.0275</v>
    </oc>
    <nc r="D7" t="n">
      <v>-0.9225</v>
    </nc>
  </rcc>
  <rcc rId="2854" ua="false" sId="12">
    <oc r="C8" t="n">
      <v>0.3825</v>
    </oc>
    <nc r="C8" t="n">
      <v>0.3675</v>
    </nc>
  </rcc>
  <rcc rId="2855" ua="false" sId="12">
    <oc r="D8" t="n">
      <v>-1.1225</v>
    </oc>
    <nc r="D8" t="n">
      <v>-1.0575</v>
    </nc>
  </rcc>
  <rcc rId="2856" ua="false" sId="12">
    <oc r="C9" t="n">
      <v>0.4225</v>
    </oc>
    <nc r="C9" t="n">
      <v>0.4125</v>
    </nc>
  </rcc>
  <rcc rId="2857" ua="false" sId="12">
    <oc r="D9" t="n">
      <v>-1.3375</v>
    </oc>
    <nc r="D9" t="n">
      <v>-1.3175</v>
    </nc>
  </rcc>
  <rcc rId="2858" ua="false" sId="12">
    <oc r="C10" t="n">
      <v>0.4325</v>
    </oc>
    <nc r="C10" t="n">
      <v>0.4175</v>
    </nc>
  </rcc>
  <rcc rId="2859" ua="false" sId="12">
    <oc r="D10" t="n">
      <v>-1.4425</v>
    </oc>
    <nc r="D10" t="n">
      <v>-1.4175</v>
    </nc>
  </rcc>
  <rcc rId="2860" ua="false" sId="12">
    <oc r="C11" t="n">
      <v>0.47</v>
    </oc>
    <nc r="C11" t="n">
      <v>0.45</v>
    </nc>
  </rcc>
  <rcc rId="2861" ua="false" sId="13">
    <oc r="C2" t="n">
      <v>0.1675</v>
    </oc>
    <nc r="C2" t="n">
      <v>0.1375</v>
    </nc>
  </rcc>
  <rcc rId="2862" ua="false" sId="13">
    <oc r="D2" t="n">
      <v>-0.3375</v>
    </oc>
    <nc r="D2" t="n">
      <v>-0.225</v>
    </nc>
  </rcc>
  <rcc rId="2863" ua="false" sId="13">
    <oc r="C3" t="n">
      <v>0.175</v>
    </oc>
    <nc r="C3" t="n">
      <v>0.1475</v>
    </nc>
  </rcc>
  <rcc rId="2864" ua="false" sId="13">
    <oc r="D3" t="n">
      <v>-0.275</v>
    </oc>
    <nc r="D3" t="n">
      <v>-0.2325</v>
    </nc>
  </rcc>
  <rcc rId="2865" ua="false" sId="13">
    <oc r="C4" t="n">
      <v>0.1775</v>
    </oc>
    <nc r="C4" t="n">
      <v>0.175</v>
    </nc>
  </rcc>
  <rcc rId="2866" ua="false" sId="13">
    <oc r="D4" t="n">
      <v>-0.2575</v>
    </oc>
    <nc r="D4" t="n">
      <v>-0.205</v>
    </nc>
  </rcc>
  <rcc rId="2867" ua="false" sId="13">
    <oc r="C5" t="n">
      <v>0.19</v>
    </oc>
    <nc r="C5" t="n">
      <v>0.165</v>
    </nc>
  </rcc>
  <rcc rId="2868" ua="false" sId="13">
    <oc r="D5" t="n">
      <v>-0.255</v>
    </oc>
    <nc r="D5" t="n">
      <v>-0.23</v>
    </nc>
  </rcc>
  <rcc rId="2869" ua="false" sId="13">
    <oc r="C6" t="n">
      <v>0.2125</v>
    </oc>
    <nc r="C6" t="n">
      <v>0.19</v>
    </nc>
  </rcc>
  <rcc rId="2870" ua="false" sId="13">
    <oc r="D6" t="n">
      <v>-0.1925</v>
    </oc>
    <nc r="D6" t="n">
      <v>-0.175</v>
    </nc>
  </rcc>
  <rcc rId="2871" ua="false" sId="13">
    <oc r="C7" t="n">
      <v>0.24</v>
    </oc>
    <nc r="C7" t="n">
      <v>0.215</v>
    </nc>
  </rcc>
  <rcc rId="2872" ua="false" sId="13">
    <oc r="D7" t="n">
      <v>-0.0825</v>
    </oc>
    <nc r="D7" t="n">
      <v>-0.105</v>
    </nc>
  </rcc>
  <rcc rId="2873" ua="false" sId="13">
    <oc r="C8" t="n">
      <v>0.3075</v>
    </oc>
    <nc r="C8" t="n">
      <v>0.275</v>
    </nc>
  </rcc>
  <rcc rId="2874" ua="false" sId="13">
    <oc r="D8" t="n">
      <v>0.015</v>
    </oc>
    <nc r="D8" t="n">
      <v>0.0025</v>
    </nc>
  </rcc>
  <rcc rId="2875" ua="false" sId="13">
    <oc r="C9" t="n">
      <v>0.33</v>
    </oc>
    <nc r="C9" t="n">
      <v>0.305</v>
    </nc>
  </rcc>
  <rcc rId="2876" ua="false" sId="13">
    <oc r="D9" t="n">
      <v>0.055</v>
    </oc>
    <nc r="D9" t="n">
      <v>0.0575</v>
    </nc>
  </rcc>
  <rcc rId="2877" ua="false" sId="13">
    <oc r="C10" t="n">
      <v>0.3575</v>
    </oc>
    <nc r="C10" t="n">
      <v>0.32</v>
    </nc>
  </rcc>
  <rcc rId="2878" ua="false" sId="13">
    <oc r="C11" t="n">
      <v>0.36</v>
    </oc>
    <nc r="C11" t="n">
      <v>0.35</v>
    </nc>
  </rcc>
  <rcc rId="2879" ua="false" sId="13">
    <oc r="D11" t="n">
      <v>0.0125</v>
    </oc>
    <nc r="D11" t="n">
      <v>-0.01</v>
    </nc>
  </rcc>
  <rcc rId="2880" ua="false" sId="14">
    <oc r="C2" t="n">
      <v>0.365</v>
    </oc>
    <nc r="C2" t="n">
      <v>0.28</v>
    </nc>
  </rcc>
  <rcc rId="2881" ua="false" sId="14">
    <oc r="D2" t="n">
      <v>-2</v>
    </oc>
    <nc r="D2" t="n">
      <v>-1.4025</v>
    </nc>
  </rcc>
  <rcc rId="2882" ua="false" sId="14">
    <oc r="C3" t="n">
      <v>0.3825</v>
    </oc>
    <nc r="C3" t="n">
      <v>0.3</v>
    </nc>
  </rcc>
  <rcc rId="2883" ua="false" sId="14">
    <oc r="D3" t="n">
      <v>-2.0375</v>
    </oc>
    <nc r="D3" t="n">
      <v>-1.4875</v>
    </nc>
  </rcc>
  <rcc rId="2884" ua="false" sId="14">
    <oc r="C4" t="n">
      <v>0.365</v>
    </oc>
    <nc r="C4" t="n">
      <v>0.315</v>
    </nc>
  </rcc>
  <rcc rId="2885" ua="false" sId="14">
    <oc r="D4" t="n">
      <v>-2.035</v>
    </oc>
    <nc r="D4" t="n">
      <v>-1.53</v>
    </nc>
  </rcc>
  <rcc rId="2886" ua="false" sId="14">
    <oc r="C5" t="n">
      <v>0.4425</v>
    </oc>
    <nc r="C5" t="n">
      <v>0.3475</v>
    </nc>
  </rcc>
  <rcc rId="2887" ua="false" sId="14">
    <oc r="D5" t="n">
      <v>-2.1975</v>
    </oc>
    <nc r="D5" t="n">
      <v>-1.6025</v>
    </nc>
  </rcc>
  <rcc rId="2888" ua="false" sId="14">
    <oc r="C6" t="n">
      <v>0.4625</v>
    </oc>
    <nc r="C6" t="n">
      <v>0.38</v>
    </nc>
  </rcc>
  <rcc rId="2889" ua="false" sId="14">
    <oc r="D6" t="n">
      <v>-2.1975</v>
    </oc>
    <nc r="D6" t="n">
      <v>-1.665</v>
    </nc>
  </rcc>
  <rcc rId="2890" ua="false" sId="14">
    <oc r="C7" t="n">
      <v>0.485</v>
    </oc>
    <nc r="C7" t="n">
      <v>0.41</v>
    </nc>
  </rcc>
  <rcc rId="2891" ua="false" sId="14">
    <oc r="D7" t="n">
      <v>-2.235</v>
    </oc>
    <nc r="D7" t="n">
      <v>-1.7425</v>
    </nc>
  </rcc>
  <rcc rId="2892" ua="false" sId="14">
    <oc r="C8" t="n">
      <v>0.4875</v>
    </oc>
    <nc r="C8" t="n">
      <v>0.4375</v>
    </nc>
  </rcc>
  <rcc rId="2893" ua="false" sId="14">
    <oc r="D8" t="n">
      <v>-2.2075</v>
    </oc>
    <nc r="D8" t="n">
      <v>-1.835</v>
    </nc>
  </rcc>
  <rcc rId="2894" ua="false" sId="14">
    <oc r="C9" t="n">
      <v>0.515</v>
    </oc>
    <nc r="C9" t="n">
      <v>0.46</v>
    </nc>
  </rcc>
  <rcc rId="2895" ua="false" sId="14">
    <oc r="D9" t="n">
      <v>-2.1975</v>
    </oc>
    <nc r="D9" t="n">
      <v>-1.905</v>
    </nc>
  </rcc>
  <rcc rId="2896" ua="false" sId="14">
    <oc r="C10" t="n">
      <v>0.51</v>
    </oc>
    <nc r="C10" t="n">
      <v>0.47</v>
    </nc>
  </rcc>
  <rcc rId="2897" ua="false" sId="14">
    <oc r="D10" t="n">
      <v>-2.2</v>
    </oc>
    <nc r="D10" t="n">
      <v>-1.9525</v>
    </nc>
  </rcc>
  <rcc rId="2898" ua="false" sId="14">
    <oc r="C11" t="n">
      <v>0.51</v>
    </oc>
    <nc r="C11" t="n">
      <v>0.49</v>
    </nc>
  </rcc>
  <rcc rId="2899" ua="false" sId="14">
    <oc r="D11" t="n">
      <v>-2.25</v>
    </oc>
    <nc r="D11" t="n">
      <v>-2.0875</v>
    </nc>
  </rcc>
  <rcc rId="2900" ua="false" sId="15">
    <oc r="C2" t="n">
      <v>0.2575</v>
    </oc>
    <nc r="C2" t="n">
      <v>0.2125</v>
    </nc>
  </rcc>
  <rcc rId="2901" ua="false" sId="15">
    <oc r="D2" t="n">
      <v>-0.0375</v>
    </oc>
    <nc r="D2" t="n">
      <v>-0.0825</v>
    </nc>
  </rcc>
  <rcc rId="2902" ua="false" sId="15">
    <oc r="C3" t="n">
      <v>0.255</v>
    </oc>
    <nc r="C3" t="n">
      <v>0.22</v>
    </nc>
  </rcc>
  <rcc rId="2903" ua="false" sId="15">
    <oc r="D3" t="n">
      <v>-0.125</v>
    </oc>
    <nc r="D3" t="n">
      <v>-0.15</v>
    </nc>
  </rcc>
  <rcc rId="2904" ua="false" sId="15">
    <oc r="C4" t="n">
      <v>0.2875</v>
    </oc>
    <nc r="C4" t="n">
      <v>0.2375</v>
    </nc>
  </rcc>
  <rcc rId="2905" ua="false" sId="15">
    <oc r="C5" t="n">
      <v>0.2675</v>
    </oc>
    <nc r="C5" t="n">
      <v>0.2375</v>
    </nc>
  </rcc>
  <rcc rId="2906" ua="false" sId="15">
    <oc r="D5" t="n">
      <v>-0.2225</v>
    </oc>
    <nc r="D5" t="n">
      <v>-0.205</v>
    </nc>
  </rcc>
  <rcc rId="2907" ua="false" sId="15">
    <oc r="C6" t="n">
      <v>0.29</v>
    </oc>
    <nc r="C6" t="n">
      <v>0.265</v>
    </nc>
  </rcc>
  <rcc rId="2908" ua="false" sId="15">
    <oc r="D6" t="n">
      <v>-0.4825</v>
    </oc>
    <nc r="D6" t="n">
      <v>-0.4375</v>
    </nc>
  </rcc>
  <rcc rId="2909" ua="false" sId="15">
    <oc r="C7" t="n">
      <v>0.315</v>
    </oc>
    <nc r="C7" t="n">
      <v>0.29</v>
    </nc>
  </rcc>
  <rcc rId="2910" ua="false" sId="15">
    <oc r="D7" t="n">
      <v>-0.7125</v>
    </oc>
    <nc r="D7" t="n">
      <v>-0.6675</v>
    </nc>
  </rcc>
  <rcc rId="2911" ua="false" sId="15">
    <oc r="C8" t="n">
      <v>0.3575</v>
    </oc>
    <nc r="C8" t="n">
      <v>0.3375</v>
    </nc>
  </rcc>
  <rcc rId="2912" ua="false" sId="15">
    <oc r="D8" t="n">
      <v>-1.0725</v>
    </oc>
    <nc r="D8" t="n">
      <v>-1.0325</v>
    </nc>
  </rcc>
  <rcc rId="2913" ua="false" sId="15">
    <oc r="C9" t="n">
      <v>0.375</v>
    </oc>
    <nc r="C9" t="n">
      <v>0.36</v>
    </nc>
  </rcc>
  <rcc rId="2914" ua="false" sId="15">
    <oc r="D9" t="n">
      <v>-1.2275</v>
    </oc>
    <nc r="D9" t="n">
      <v>-1.1825</v>
    </nc>
  </rcc>
  <rcc rId="2915" ua="false" sId="15">
    <oc r="C10" t="n">
      <v>0.3775</v>
    </oc>
    <nc r="C10" t="n">
      <v>0.3675</v>
    </nc>
  </rcc>
  <rcc rId="2916" ua="false" sId="15">
    <oc r="D10" t="n">
      <v>-1.345</v>
    </oc>
    <nc r="D10" t="n">
      <v>-1.29</v>
    </nc>
  </rcc>
  <rcc rId="2917" ua="false" sId="15">
    <oc r="C11" t="n">
      <v>0.38</v>
    </oc>
    <nc r="C11" t="n">
      <v>0.385</v>
    </nc>
  </rcc>
  <rcc rId="2918" ua="false" sId="15">
    <oc r="D11" t="n">
      <v>-1.595</v>
    </oc>
    <nc r="D11" t="n">
      <v>-1.535</v>
    </nc>
  </rcc>
  <rcc rId="2919" ua="false" sId="16">
    <oc r="C2" t="n">
      <v>0.18</v>
    </oc>
    <nc r="C2" t="n">
      <v>0.175</v>
    </nc>
  </rcc>
  <rcc rId="2920" ua="false" sId="16">
    <oc r="D2" t="n">
      <v>0.47</v>
    </oc>
    <nc r="D2" t="n">
      <v>0.31</v>
    </nc>
  </rcc>
  <rcc rId="2921" ua="false" sId="16">
    <oc r="D3" t="n">
      <v>0.5225</v>
    </oc>
    <nc r="D3" t="n">
      <v>0.3375</v>
    </nc>
  </rcc>
  <rcc rId="2922" ua="false" sId="16">
    <oc r="C4" t="n">
      <v>0.2</v>
    </oc>
    <nc r="C4" t="n">
      <v>0.19</v>
    </nc>
  </rcc>
  <rcc rId="2923" ua="false" sId="16">
    <oc r="D4" t="n">
      <v>0.55</v>
    </oc>
    <nc r="D4" t="n">
      <v>0.425</v>
    </nc>
  </rcc>
  <rcc rId="2924" ua="false" sId="16">
    <oc r="C5" t="n">
      <v>0.2125</v>
    </oc>
    <nc r="C5" t="n">
      <v>0.2175</v>
    </nc>
  </rcc>
  <rcc rId="2925" ua="false" sId="16">
    <oc r="D5" t="n">
      <v>0.67</v>
    </oc>
    <nc r="D5" t="n">
      <v>0.6</v>
    </nc>
  </rcc>
  <rcc rId="2926" ua="false" sId="16">
    <oc r="D6" t="n">
      <v>0.785</v>
    </oc>
    <nc r="D6" t="n">
      <v>0.745</v>
    </nc>
  </rcc>
  <rcc rId="2927" ua="false" sId="16">
    <oc r="C7" t="n">
      <v>0.2825</v>
    </oc>
    <nc r="C7" t="n">
      <v>0.29</v>
    </nc>
  </rcc>
  <rcc rId="2928" ua="false" sId="16">
    <oc r="D7" t="n">
      <v>1.025</v>
    </oc>
    <nc r="D7" t="n">
      <v>0.99</v>
    </nc>
  </rcc>
  <rcc rId="2929" ua="false" sId="16">
    <oc r="C8" t="n">
      <v>0.3175</v>
    </oc>
    <nc r="C8" t="n">
      <v>0.32</v>
    </nc>
  </rcc>
  <rcc rId="2930" ua="false" sId="16">
    <oc r="D8" t="n">
      <v>1.1325</v>
    </oc>
    <nc r="D8" t="n">
      <v>1.11</v>
    </nc>
  </rcc>
  <rcc rId="2931" ua="false" sId="16">
    <oc r="D9" t="n">
      <v>1.2225</v>
    </oc>
    <nc r="D9" t="n">
      <v>1.22</v>
    </nc>
  </rcc>
  <rcc rId="2932" ua="false" sId="16">
    <oc r="C10" t="n">
      <v>0.38</v>
    </oc>
    <nc r="C10" t="n">
      <v>0.3725</v>
    </nc>
  </rcc>
  <rcc rId="2933" ua="false" sId="16">
    <oc r="D10" t="n">
      <v>1.33</v>
    </oc>
    <nc r="D10" t="n">
      <v>1.2975</v>
    </nc>
  </rcc>
</revisions>
</file>

<file path=xl/revisions/revisionLog306.xml><?xml version="1.0" encoding="utf-8"?>
<revisions xmlns="http://schemas.openxmlformats.org/spreadsheetml/2006/main" xmlns:r="http://schemas.openxmlformats.org/officeDocument/2006/relationships">
  <rcc rId="2934" ua="false" sId="18">
    <oc r="G2" t="n">
      <v>6.2</v>
    </oc>
    <nc r="G2" t="n">
      <v>6.25</v>
    </nc>
  </rcc>
  <rcc rId="2935" ua="false" sId="18">
    <oc r="G5" t="n">
      <v>0.9</v>
    </oc>
    <nc r="G5" t="n">
      <v>0.8</v>
    </nc>
  </rcc>
  <rcc rId="2936" ua="false" sId="18">
    <oc r="G17" t="n">
      <v>6</v>
    </oc>
    <nc r="G17" t="n">
      <v>8</v>
    </nc>
  </rcc>
</revisions>
</file>

<file path=xl/revisions/revisionLog307.xml><?xml version="1.0" encoding="utf-8"?>
<revisions xmlns="http://schemas.openxmlformats.org/spreadsheetml/2006/main" xmlns:r="http://schemas.openxmlformats.org/officeDocument/2006/relationships">
  <rcc rId="2937" ua="false" sId="18">
    <oc r="F3" t="n">
      <v>7.7</v>
    </oc>
    <nc r="F3" t="n">
      <v>7.75</v>
    </nc>
  </rcc>
</revisions>
</file>

<file path=xl/revisions/revisionLog308.xml><?xml version="1.0" encoding="utf-8"?>
<revisions xmlns="http://schemas.openxmlformats.org/spreadsheetml/2006/main" xmlns:r="http://schemas.openxmlformats.org/officeDocument/2006/relationships">
  <rcc rId="2938" ua="false" sId="18">
    <oc r="G2" t="n">
      <v>6.8</v>
    </oc>
    <nc r="G2" t="n">
      <v>6.5</v>
    </nc>
  </rcc>
  <rcc rId="2939" ua="false" sId="18">
    <oc r="G3" t="n">
      <v>7.35</v>
    </oc>
    <nc r="G3" t="n">
      <v>7.2</v>
    </nc>
  </rcc>
  <rcc rId="2940" ua="false" sId="18">
    <oc r="G5" t="n">
      <v>1.8</v>
    </oc>
    <nc r="G5" t="n">
      <v>0.3</v>
    </nc>
  </rcc>
</revisions>
</file>

<file path=xl/revisions/revisionLog309.xml><?xml version="1.0" encoding="utf-8"?>
<revisions xmlns="http://schemas.openxmlformats.org/spreadsheetml/2006/main" xmlns:r="http://schemas.openxmlformats.org/officeDocument/2006/relationships">
  <rcc rId="2941" ua="false" sId="18">
    <oc r="B2" t="n">
      <v>5.3</v>
    </oc>
    <nc r="B2" t="n">
      <v>5</v>
    </nc>
  </rcc>
</revisions>
</file>

<file path=xl/revisions/revisionLog310.xml><?xml version="1.0" encoding="utf-8"?>
<revisions xmlns="http://schemas.openxmlformats.org/spreadsheetml/2006/main" xmlns:r="http://schemas.openxmlformats.org/officeDocument/2006/relationships">
  <rcc rId="2942" ua="false" sId="18">
    <oc r="B5" t="n">
      <v>1</v>
    </oc>
    <nc r="B5" t="n">
      <v>0</v>
    </nc>
  </rcc>
</revisions>
</file>

<file path=xl/revisions/revisionLog311.xml><?xml version="1.0" encoding="utf-8"?>
<revisions xmlns="http://schemas.openxmlformats.org/spreadsheetml/2006/main" xmlns:r="http://schemas.openxmlformats.org/officeDocument/2006/relationships">
  <rcc rId="2943" ua="false" sId="18">
    <oc r="I5" t="n">
      <v>2.3</v>
    </oc>
    <nc r="I5" t="n">
      <v>2.4</v>
    </nc>
  </rcc>
</revisions>
</file>

<file path=xl/revisions/revisionLog312.xml><?xml version="1.0" encoding="utf-8"?>
<revisions xmlns="http://schemas.openxmlformats.org/spreadsheetml/2006/main" xmlns:r="http://schemas.openxmlformats.org/officeDocument/2006/relationships">
  <rcc rId="2944" ua="false" sId="18">
    <oc r="B3" t="n">
      <v>6.9</v>
    </oc>
    <nc r="B3" t="n">
      <v>6.85</v>
    </nc>
  </rcc>
  <rcc rId="2945" ua="false" sId="18">
    <oc r="B3" t="n">
      <v>6.85</v>
    </oc>
    <nc r="B3" t="n">
      <v>6.8</v>
    </nc>
  </rcc>
</revisions>
</file>

<file path=xl/revisions/revisionLog313.xml><?xml version="1.0" encoding="utf-8"?>
<revisions xmlns="http://schemas.openxmlformats.org/spreadsheetml/2006/main" xmlns:r="http://schemas.openxmlformats.org/officeDocument/2006/relationships">
  <rcc rId="2946" ua="false" sId="18">
    <oc r="A14" t="inlineStr">
      <is>
        <r>
          <rPr>
            <sz val="11"/>
            <rFont val="Calibri"/>
            <family val="0"/>
            <charset val="1"/>
          </rPr>
          <t xml:space="preserve">03/11/2021 00:00</t>
        </r>
      </is>
    </oc>
    <nc r="A14" t="inlineStr">
      <is>
        <r>
          <rPr>
            <sz val="11"/>
            <rFont val="Calibri"/>
            <family val="0"/>
            <charset val="1"/>
          </rPr>
          <t xml:space="preserve">03/12/2021 00:00</t>
        </r>
      </is>
    </nc>
  </rcc>
  <rcc rId="2947" ua="false" sId="18">
    <oc r="G14" t="n">
      <v>0</v>
    </oc>
    <nc r="G14" t="n">
      <v>5</v>
    </nc>
  </rcc>
</revisions>
</file>

<file path=xl/revisions/revisionLog314.xml><?xml version="1.0" encoding="utf-8"?>
<revisions xmlns="http://schemas.openxmlformats.org/spreadsheetml/2006/main" xmlns:r="http://schemas.openxmlformats.org/officeDocument/2006/relationships">
  <rcc rId="2948" ua="false" sId="18">
    <oc r="J3" t="n">
      <v>10.9</v>
    </oc>
    <nc r="J3" t="n">
      <v>11</v>
    </nc>
  </rcc>
  <rcc rId="2949" ua="false" sId="18">
    <oc r="J2" t="n">
      <v>11.2</v>
    </oc>
    <nc r="J2" t="n">
      <v>11</v>
    </nc>
  </rcc>
  <rcc rId="2950" ua="false" sId="18">
    <oc r="J5" t="n">
      <v>2.1</v>
    </oc>
    <nc r="J5" t="n">
      <v>2.4</v>
    </nc>
  </rcc>
</revisions>
</file>

<file path=xl/revisions/revisionLog315.xml><?xml version="1.0" encoding="utf-8"?>
<revisions xmlns="http://schemas.openxmlformats.org/spreadsheetml/2006/main" xmlns:r="http://schemas.openxmlformats.org/officeDocument/2006/relationships">
  <rcc rId="2951" ua="false" sId="18">
    <oc r="I2" t="n">
      <v>8.4</v>
    </oc>
    <nc r="I2" t="n">
      <v>8.41</v>
    </nc>
  </rcc>
</revisions>
</file>

<file path=xl/revisions/revisionLog316.xml><?xml version="1.0" encoding="utf-8"?>
<revisions xmlns="http://schemas.openxmlformats.org/spreadsheetml/2006/main" xmlns:r="http://schemas.openxmlformats.org/officeDocument/2006/relationships">
  <rcc rId="2952" ua="false" sId="18">
    <oc r="F5" t="n">
      <v>1.2</v>
    </oc>
    <nc r="F5" t="n">
      <v>1.5</v>
    </nc>
  </rcc>
  <rcc rId="2953" ua="false" sId="18">
    <oc r="F2" t="n">
      <v>6.91</v>
    </oc>
    <nc r="F2" t="n">
      <v>6.9</v>
    </nc>
  </rcc>
  <rcc rId="2954" ua="false" sId="18">
    <oc r="F5" t="n">
      <v>1.5</v>
    </oc>
    <nc r="F5" t="n">
      <v>1.35</v>
    </nc>
  </rcc>
</revisions>
</file>

<file path=xl/revisions/revisionLog317.xml><?xml version="1.0" encoding="utf-8"?>
<revisions xmlns="http://schemas.openxmlformats.org/spreadsheetml/2006/main" xmlns:r="http://schemas.openxmlformats.org/officeDocument/2006/relationships">
  <rcc rId="2955" ua="false" sId="18">
    <oc r="G3" t="n">
      <v>7.2</v>
    </oc>
    <nc r="G3" t="n">
      <v>7.15</v>
    </nc>
  </rcc>
  <rcc rId="2956" ua="false" sId="18">
    <oc r="G5" t="n">
      <v>0.3</v>
    </oc>
    <nc r="G5" t="n">
      <v>0.6</v>
    </nc>
  </rcc>
</revisions>
</file>

<file path=xl/revisions/revisionLog318.xml><?xml version="1.0" encoding="utf-8"?>
<revisions xmlns="http://schemas.openxmlformats.org/spreadsheetml/2006/main" xmlns:r="http://schemas.openxmlformats.org/officeDocument/2006/relationships">
  <rcc rId="2957" ua="false" sId="18">
    <oc r="G14" t="n">
      <v>3</v>
    </oc>
    <nc r="G14" t="n">
      <v>10</v>
    </nc>
  </rcc>
  <rcc rId="2958" ua="false" sId="18">
    <oc r="G14" t="n">
      <v>10</v>
    </oc>
    <nc r="G14" t="n">
      <v>0</v>
    </nc>
  </rcc>
</revisions>
</file>

<file path=xl/revisions/revisionLog319.xml><?xml version="1.0" encoding="utf-8"?>
<revisions xmlns="http://schemas.openxmlformats.org/spreadsheetml/2006/main" xmlns:r="http://schemas.openxmlformats.org/officeDocument/2006/relationships">
  <rcc rId="2959" ua="false" sId="18">
    <oc r="I2" t="n">
      <v>8.3</v>
    </oc>
    <nc r="I2" t="n">
      <v>8.4</v>
    </nc>
  </rcc>
  <rcc rId="2960" ua="false" sId="18">
    <oc r="I5" t="n">
      <v>3</v>
    </oc>
    <nc r="I5" t="n">
      <v>3.2</v>
    </nc>
  </rcc>
</revisions>
</file>

<file path=xl/revisions/revisionLog320.xml><?xml version="1.0" encoding="utf-8"?>
<revisions xmlns="http://schemas.openxmlformats.org/spreadsheetml/2006/main" xmlns:r="http://schemas.openxmlformats.org/officeDocument/2006/relationships">
  <rcc rId="2961" ua="false" sId="18">
    <oc r="B2" t="n">
      <v>5</v>
    </oc>
    <nc r="B2" t="n">
      <v>4.95</v>
    </nc>
  </rcc>
</revisions>
</file>

<file path=xl/revisions/revisionLog321.xml><?xml version="1.0" encoding="utf-8"?>
<revisions xmlns="http://schemas.openxmlformats.org/spreadsheetml/2006/main" xmlns:r="http://schemas.openxmlformats.org/officeDocument/2006/relationships">
  <rcc rId="2962" ua="false" sId="18">
    <oc r="F2" t="n">
      <v>6.3</v>
    </oc>
    <nc r="F2" t="n">
      <v>6.32</v>
    </nc>
  </rcc>
</revisions>
</file>

<file path=xl/revisions/revisionLog322.xml><?xml version="1.0" encoding="utf-8"?>
<revisions xmlns="http://schemas.openxmlformats.org/spreadsheetml/2006/main" xmlns:r="http://schemas.openxmlformats.org/officeDocument/2006/relationships">
  <rcc rId="2963" ua="false" sId="18">
    <oc r="G5" t="n">
      <v>0.6</v>
    </oc>
    <nc r="G5" t="n">
      <v>0.45</v>
    </nc>
  </rcc>
  <rcc rId="2964" ua="false" sId="18">
    <oc r="G3" t="n">
      <v>7.15</v>
    </oc>
    <nc r="G3" t="n">
      <v>7.1</v>
    </nc>
  </rcc>
</revisions>
</file>

<file path=xl/revisions/revisionLog323.xml><?xml version="1.0" encoding="utf-8"?>
<revisions xmlns="http://schemas.openxmlformats.org/spreadsheetml/2006/main" xmlns:r="http://schemas.openxmlformats.org/officeDocument/2006/relationships">
  <rcc rId="2965" ua="false" sId="18">
    <oc r="D2" t="n">
      <v>0.5</v>
    </oc>
    <nc r="D2" t="n">
      <v>0.51</v>
    </nc>
  </rcc>
  <rcc rId="2966" ua="false" sId="18">
    <oc r="D3" t="n">
      <v>0.375</v>
    </oc>
    <nc r="D3" t="n">
      <v>0.38</v>
    </nc>
  </rcc>
</revisions>
</file>

<file path=xl/revisions/revisionLog324.xml><?xml version="1.0" encoding="utf-8"?>
<revisions xmlns="http://schemas.openxmlformats.org/spreadsheetml/2006/main" xmlns:r="http://schemas.openxmlformats.org/officeDocument/2006/relationships">
  <rcc rId="2967" ua="false" sId="18">
    <oc r="K3" t="n">
      <v>0.19</v>
    </oc>
    <nc r="K3" t="n">
      <v>0.2</v>
    </nc>
  </rcc>
</revisions>
</file>

<file path=xl/revisions/revisionLog325.xml><?xml version="1.0" encoding="utf-8"?>
<revisions xmlns="http://schemas.openxmlformats.org/spreadsheetml/2006/main" xmlns:r="http://schemas.openxmlformats.org/officeDocument/2006/relationships">
  <rcc rId="2968" ua="false" sId="18">
    <oc r="B2" t="n">
      <v>6</v>
    </oc>
    <nc r="B2" t="n">
      <v>5.95</v>
    </nc>
  </rcc>
</revisions>
</file>

<file path=xl/revisions/revisionLog326.xml><?xml version="1.0" encoding="utf-8"?>
<revisions xmlns="http://schemas.openxmlformats.org/spreadsheetml/2006/main" xmlns:r="http://schemas.openxmlformats.org/officeDocument/2006/relationships">
  <rcc rId="2969" ua="false" sId="18">
    <oc r="F5" t="n">
      <v>1.4</v>
    </oc>
    <nc r="F5" t="n">
      <v>0</v>
    </nc>
  </rcc>
  <rcc rId="2970" ua="false" sId="18">
    <oc r="F2" t="n">
      <v>6.85</v>
    </oc>
    <nc r="F2" t="n">
      <v>6.5</v>
    </nc>
  </rcc>
  <rcc rId="2971" ua="false" sId="18">
    <oc r="F3" t="n">
      <v>8.15</v>
    </oc>
    <nc r="F3" t="n">
      <v>8</v>
    </nc>
  </rcc>
  <rcc rId="2972" ua="false" sId="18">
    <oc r="F3" t="n">
      <v>8</v>
    </oc>
    <nc r="F3" t="n">
      <v>7.95</v>
    </nc>
  </rcc>
  <rcc rId="2973" ua="false" sId="18">
    <oc r="F2" t="n">
      <v>6.5</v>
    </oc>
    <nc r="F2" t="n">
      <v>6.35</v>
    </nc>
  </rcc>
  <rcc rId="2974" ua="false" sId="18">
    <oc r="F5" t="n">
      <v>0</v>
    </oc>
    <nc r="F5" t="n">
      <v>-0.1</v>
    </nc>
  </rcc>
</revisions>
</file>

<file path=xl/revisions/revisionLog327.xml><?xml version="1.0" encoding="utf-8"?>
<revisions xmlns="http://schemas.openxmlformats.org/spreadsheetml/2006/main" xmlns:r="http://schemas.openxmlformats.org/officeDocument/2006/relationships">
  <rcc rId="2975" ua="false" sId="18">
    <oc r="I17" t="n">
      <v>4</v>
    </oc>
    <nc r="I17" t="n">
      <v>5</v>
    </nc>
  </rcc>
  <rcc rId="2976" ua="false" sId="18">
    <oc r="I2" t="n">
      <v>8.3</v>
    </oc>
    <nc r="I2" t="n">
      <v>8</v>
    </nc>
  </rcc>
</revisions>
</file>

<file path=xl/revisions/revisionLog328.xml><?xml version="1.0" encoding="utf-8"?>
<revisions xmlns="http://schemas.openxmlformats.org/spreadsheetml/2006/main" xmlns:r="http://schemas.openxmlformats.org/officeDocument/2006/relationships">
  <rcc rId="2977" ua="false" sId="18">
    <oc r="F2" t="n">
      <v>6.35</v>
    </oc>
    <nc r="F2" t="n">
      <v>6.25</v>
    </nc>
  </rcc>
  <rcc rId="2978" ua="false" sId="18">
    <oc r="F5" t="n">
      <v>-0.1</v>
    </oc>
    <nc r="F5" t="n">
      <v>-0.2</v>
    </nc>
  </rcc>
</revisions>
</file>

<file path=xl/revisions/revisionLog329.xml><?xml version="1.0" encoding="utf-8"?>
<revisions xmlns="http://schemas.openxmlformats.org/spreadsheetml/2006/main" xmlns:r="http://schemas.openxmlformats.org/officeDocument/2006/relationships">
  <rcc rId="2979" ua="false" sId="18">
    <oc r="F2" t="n">
      <v>5.92</v>
    </oc>
    <nc r="F2" t="n">
      <v>5.91</v>
    </nc>
  </rcc>
</revisions>
</file>

<file path=xl/revisions/revisionLog330.xml><?xml version="1.0" encoding="utf-8"?>
<revisions xmlns="http://schemas.openxmlformats.org/spreadsheetml/2006/main" xmlns:r="http://schemas.openxmlformats.org/officeDocument/2006/relationships">
  <rcc rId="2980" ua="false" sId="18">
    <oc r="H2" t="n">
      <v>11.35</v>
    </oc>
    <nc r="H2" t="n">
      <v>11.1</v>
    </nc>
  </rcc>
  <rcc rId="2981" ua="false" sId="18">
    <oc r="H5" t="n">
      <v>3.5</v>
    </oc>
    <nc r="H5" t="n">
      <v>2</v>
    </nc>
  </rcc>
  <rcc rId="2982" ua="false" sId="18">
    <oc r="H3" t="n">
      <v>11</v>
    </oc>
    <nc r="H3" t="n">
      <v>10.9</v>
    </nc>
  </rcc>
</revisions>
</file>

<file path=xl/revisions/revisionLog331.xml><?xml version="1.0" encoding="utf-8"?>
<revisions xmlns="http://schemas.openxmlformats.org/spreadsheetml/2006/main" xmlns:r="http://schemas.openxmlformats.org/officeDocument/2006/relationships">
  <rcc rId="2983" ua="false" sId="18">
    <oc r="H5" t="n">
      <v>2</v>
    </oc>
    <nc r="H5" t="n">
      <v>2.3</v>
    </nc>
  </rcc>
  <rcc rId="2984" ua="false" sId="18">
    <oc r="H3" t="n">
      <v>10.9</v>
    </oc>
    <nc r="H3" t="n">
      <v>10.95</v>
    </nc>
  </rcc>
</revisions>
</file>

<file path=xl/revisions/revisionLog332.xml><?xml version="1.0" encoding="utf-8"?>
<revisions xmlns="http://schemas.openxmlformats.org/spreadsheetml/2006/main" xmlns:r="http://schemas.openxmlformats.org/officeDocument/2006/relationships">
  <rcc rId="2985" ua="false" sId="18">
    <oc r="I5" t="n">
      <v>0.7</v>
    </oc>
    <nc r="I5" t="n">
      <v>0.85</v>
    </nc>
  </rcc>
</revisions>
</file>

<file path=xl/revisions/revisionLog333.xml><?xml version="1.0" encoding="utf-8"?>
<revisions xmlns="http://schemas.openxmlformats.org/spreadsheetml/2006/main" xmlns:r="http://schemas.openxmlformats.org/officeDocument/2006/relationships">
  <rcc rId="2986" ua="false" sId="18">
    <oc r="F3" t="n">
      <v>7.58</v>
    </oc>
    <nc r="F3" t="n">
      <v>7.54</v>
    </nc>
  </rcc>
  <rcc rId="2987" ua="false" sId="18">
    <oc r="F5" t="n">
      <v>0.7</v>
    </oc>
    <nc r="F5" t="n">
      <v>0.6</v>
    </nc>
  </rcc>
</revisions>
</file>

<file path=xl/revisions/revisionLog334.xml><?xml version="1.0" encoding="utf-8"?>
<revisions xmlns="http://schemas.openxmlformats.org/spreadsheetml/2006/main" xmlns:r="http://schemas.openxmlformats.org/officeDocument/2006/relationships">
  <rcc rId="2988" ua="false" sId="18">
    <oc r="B3" t="n">
      <v>6.7</v>
    </oc>
    <nc r="B3" t="n">
      <v>6.75</v>
    </nc>
  </rcc>
</revisions>
</file>

<file path=xl/revisions/revisionLog335.xml><?xml version="1.0" encoding="utf-8"?>
<revisions xmlns="http://schemas.openxmlformats.org/spreadsheetml/2006/main" xmlns:r="http://schemas.openxmlformats.org/officeDocument/2006/relationships">
  <rcc rId="2989" ua="false" sId="2">
    <oc r="C2" t="n">
      <v>0.285</v>
    </oc>
    <nc r="C2" t="n">
      <v>0.265</v>
    </nc>
  </rcc>
  <rcc rId="2990" ua="false" sId="2">
    <oc r="D2" t="n">
      <v>-1.38</v>
    </oc>
    <nc r="D2" t="n">
      <v>-1.265</v>
    </nc>
  </rcc>
  <rcc rId="2991" ua="false" sId="2">
    <oc r="C3" t="n">
      <v>0.3075</v>
    </oc>
    <nc r="C3" t="n">
      <v>0.285</v>
    </nc>
  </rcc>
  <rcc rId="2992" ua="false" sId="2">
    <oc r="D3" t="n">
      <v>-1.53</v>
    </oc>
    <nc r="D3" t="n">
      <v>-1.44</v>
    </nc>
  </rcc>
  <rcc rId="2993" ua="false" sId="2">
    <oc r="C4" t="n">
      <v>0.34</v>
    </oc>
    <nc r="C4" t="n">
      <v>0.3075</v>
    </nc>
  </rcc>
  <rcc rId="2994" ua="false" sId="2">
    <oc r="D4" t="n">
      <v>-1.66</v>
    </oc>
    <nc r="D4" t="n">
      <v>-1.4675</v>
    </nc>
  </rcc>
  <rcc rId="2995" ua="false" sId="2">
    <oc r="C5" t="n">
      <v>0.345</v>
    </oc>
    <nc r="C5" t="n">
      <v>0.335</v>
    </nc>
  </rcc>
  <rcc rId="2996" ua="false" sId="2">
    <oc r="D5" t="n">
      <v>-1.5825</v>
    </oc>
    <nc r="D5" t="n">
      <v>-1.51</v>
    </nc>
  </rcc>
  <rcc rId="2997" ua="false" sId="2">
    <oc r="C6" t="n">
      <v>0.38</v>
    </oc>
    <nc r="C6" t="n">
      <v>0.3675</v>
    </nc>
  </rcc>
  <rcc rId="2998" ua="false" sId="2">
    <oc r="D6" t="n">
      <v>-1.6625</v>
    </oc>
    <nc r="D6" t="n">
      <v>-1.5825</v>
    </nc>
  </rcc>
  <rcc rId="2999" ua="false" sId="2">
    <oc r="C7" t="n">
      <v>0.405</v>
    </oc>
    <nc r="C7" t="n">
      <v>0.395</v>
    </nc>
  </rcc>
  <rcc rId="3000" ua="false" sId="2">
    <oc r="D7" t="n">
      <v>-1.745</v>
    </oc>
    <nc r="D7" t="n">
      <v>-1.675</v>
    </nc>
  </rcc>
  <rcc rId="3001" ua="false" sId="2">
    <oc r="C8" t="n">
      <v>0.435</v>
    </oc>
    <nc r="C8" t="n">
      <v>0.4325</v>
    </nc>
  </rcc>
  <rcc rId="3002" ua="false" sId="2">
    <oc r="D8" t="n">
      <v>-1.8025</v>
    </oc>
    <nc r="D8" t="n">
      <v>-1.7475</v>
    </nc>
  </rcc>
  <rcc rId="3003" ua="false" sId="2">
    <oc r="C9" t="n">
      <v>0.45</v>
    </oc>
    <nc r="C9" t="n">
      <v>0.4425</v>
    </nc>
  </rcc>
  <rcc rId="3004" ua="false" sId="2">
    <oc r="D9" t="n">
      <v>-1.855</v>
    </oc>
    <nc r="D9" t="n">
      <v>-1.7925</v>
    </nc>
  </rcc>
  <rcc rId="3005" ua="false" sId="2">
    <oc r="C10" t="n">
      <v>0.455</v>
    </oc>
    <nc r="C10" t="n">
      <v>0.4525</v>
    </nc>
  </rcc>
  <rcc rId="3006" ua="false" sId="2">
    <oc r="D10" t="n">
      <v>-1.8725</v>
    </oc>
    <nc r="D10" t="n">
      <v>-1.8225</v>
    </nc>
  </rcc>
  <rcc rId="3007" ua="false" sId="2">
    <oc r="C11" t="n">
      <v>0.4125</v>
    </oc>
    <nc r="C11" t="n">
      <v>0.4325</v>
    </nc>
  </rcc>
  <rcc rId="3008" ua="false" sId="2">
    <oc r="D11" t="n">
      <v>-1.9825</v>
    </oc>
    <nc r="D11" t="n">
      <v>-1.9325</v>
    </nc>
  </rcc>
  <rcc rId="3009" ua="false" sId="3">
    <oc r="C2" t="n">
      <v>0.1975</v>
    </oc>
    <nc r="C2" t="n">
      <v>0.1925</v>
    </nc>
  </rcc>
  <rcc rId="3010" ua="false" sId="3">
    <oc r="D2" t="n">
      <v>-0.6725</v>
    </oc>
    <nc r="D2" t="n">
      <v>-0.615</v>
    </nc>
  </rcc>
  <rcc rId="3011" ua="false" sId="3">
    <oc r="C3" t="n">
      <v>0.21</v>
    </oc>
    <nc r="C3" t="n">
      <v>0.2075</v>
    </nc>
  </rcc>
  <rcc rId="3012" ua="false" sId="3">
    <oc r="D3" t="n">
      <v>-0.685</v>
    </oc>
    <nc r="D3" t="n">
      <v>-0.6175</v>
    </nc>
  </rcc>
  <rcc rId="3013" ua="false" sId="3">
    <oc r="C4" t="n">
      <v>0.2125</v>
    </oc>
    <nc r="C4" t="n">
      <v>0.205</v>
    </nc>
  </rcc>
  <rcc rId="3014" ua="false" sId="3">
    <oc r="D4" t="n">
      <v>-0.8675</v>
    </oc>
    <nc r="D4" t="n">
      <v>-0.72</v>
    </nc>
  </rcc>
  <rcc rId="3015" ua="false" sId="3">
    <oc r="C5" t="n">
      <v>0.235</v>
    </oc>
    <nc r="C5" t="n">
      <v>0.2275</v>
    </nc>
  </rcc>
  <rcc rId="3016" ua="false" sId="3">
    <oc r="D5" t="n">
      <v>-0.8475</v>
    </oc>
    <nc r="D5" t="n">
      <v>-0.725</v>
    </nc>
  </rcc>
  <rcc rId="3017" ua="false" sId="3">
    <oc r="C6" t="n">
      <v>0.2625</v>
    </oc>
    <nc r="C6" t="n">
      <v>0.26</v>
    </nc>
  </rcc>
  <rcc rId="3018" ua="false" sId="3">
    <oc r="D6" t="n">
      <v>-0.9425</v>
    </oc>
    <nc r="D6" t="n">
      <v>-0.8275</v>
    </nc>
  </rcc>
  <rcc rId="3019" ua="false" sId="3">
    <oc r="C7" t="n">
      <v>0.3075</v>
    </oc>
    <nc r="C7" t="n">
      <v>0.2975</v>
    </nc>
  </rcc>
  <rcc rId="3020" ua="false" sId="3">
    <oc r="D7" t="n">
      <v>-0.9975</v>
    </oc>
    <nc r="D7" t="n">
      <v>-0.91</v>
    </nc>
  </rcc>
  <rcc rId="3021" ua="false" sId="3">
    <oc r="C8" t="n">
      <v>0.38</v>
    </oc>
    <nc r="C8" t="n">
      <v>0.3675</v>
    </nc>
  </rcc>
  <rcc rId="3022" ua="false" sId="3">
    <oc r="D8" t="n">
      <v>-1.1</v>
    </oc>
    <nc r="D8" t="n">
      <v>-1.0025</v>
    </nc>
  </rcc>
  <rcc rId="3023" ua="false" sId="3">
    <oc r="C9" t="n">
      <v>0.4125</v>
    </oc>
    <nc r="C9" t="n">
      <v>0.4025</v>
    </nc>
  </rcc>
  <rcc rId="3024" ua="false" sId="3">
    <oc r="D9" t="n">
      <v>-1.18</v>
    </oc>
    <nc r="D9" t="n">
      <v>-1.135</v>
    </nc>
  </rcc>
  <rcc rId="3025" ua="false" sId="3">
    <oc r="C10" t="n">
      <v>0.435</v>
    </oc>
    <nc r="C10" t="n">
      <v>0.425</v>
    </nc>
  </rcc>
  <rcc rId="3026" ua="false" sId="3">
    <oc r="D10" t="n">
      <v>-1.23</v>
    </oc>
    <nc r="D10" t="n">
      <v>-1.1625</v>
    </nc>
  </rcc>
  <rcc rId="3027" ua="false" sId="3">
    <oc r="C11" t="n">
      <v>0.445</v>
    </oc>
    <nc r="C11" t="n">
      <v>0.4325</v>
    </nc>
  </rcc>
  <rcc rId="3028" ua="false" sId="3">
    <oc r="D11" t="n">
      <v>-1.2825</v>
    </oc>
    <nc r="D11" t="n">
      <v>-1.225</v>
    </nc>
  </rcc>
  <rcc rId="3029" ua="false" sId="4">
    <oc r="C2" t="n">
      <v>0.22</v>
    </oc>
    <nc r="C2" t="n">
      <v>0.215</v>
    </nc>
  </rcc>
  <rcc rId="3030" ua="false" sId="4">
    <oc r="D2" t="n">
      <v>0.63</v>
    </oc>
    <nc r="D2" t="n">
      <v>0.655</v>
    </nc>
  </rcc>
  <rcc rId="3031" ua="false" sId="4">
    <oc r="C3" t="n">
      <v>0.2275</v>
    </oc>
    <nc r="C3" t="n">
      <v>0.2225</v>
    </nc>
  </rcc>
  <rcc rId="3032" ua="false" sId="4">
    <oc r="D3" t="n">
      <v>0.7175</v>
    </oc>
    <nc r="D3" t="n">
      <v>0.7275</v>
    </nc>
  </rcc>
  <rcc rId="3033" ua="false" sId="4">
    <oc r="C4" t="n">
      <v>0.2325</v>
    </oc>
    <nc r="C4" t="n">
      <v>0.225</v>
    </nc>
  </rcc>
  <rcc rId="3034" ua="false" sId="4">
    <oc r="D4" t="n">
      <v>0.665</v>
    </oc>
    <nc r="D4" t="n">
      <v>0.6875</v>
    </nc>
  </rcc>
  <rcc rId="3035" ua="false" sId="4">
    <oc r="C5" t="n">
      <v>0.2425</v>
    </oc>
    <nc r="C5" t="n">
      <v>0.2275</v>
    </nc>
  </rcc>
  <rcc rId="3036" ua="false" sId="4">
    <oc r="D5" t="n">
      <v>0.6575</v>
    </oc>
    <nc r="D5" t="n">
      <v>0.6825</v>
    </nc>
  </rcc>
  <rcc rId="3037" ua="false" sId="4">
    <oc r="C6" t="n">
      <v>0.275</v>
    </oc>
    <nc r="C6" t="n">
      <v>0.2725</v>
    </nc>
  </rcc>
  <rcc rId="3038" ua="false" sId="4">
    <oc r="D6" t="n">
      <v>0.6575</v>
    </oc>
    <nc r="D6" t="n">
      <v>0.705</v>
    </nc>
  </rcc>
  <rcc rId="3039" ua="false" sId="4">
    <oc r="D7" t="n">
      <v>0.695</v>
    </oc>
    <nc r="D7" t="n">
      <v>0.715</v>
    </nc>
  </rcc>
  <rcc rId="3040" ua="false" sId="4">
    <oc r="C8" t="n">
      <v>0.37</v>
    </oc>
    <nc r="C8" t="n">
      <v>0.36</v>
    </nc>
  </rcc>
  <rcc rId="3041" ua="false" sId="4">
    <oc r="C9" t="n">
      <v>0.4375</v>
    </oc>
    <nc r="C9" t="n">
      <v>0.43</v>
    </nc>
  </rcc>
  <rcc rId="3042" ua="false" sId="4">
    <oc r="D9" t="n">
      <v>0.7525</v>
    </oc>
    <nc r="D9" t="n">
      <v>0.7475</v>
    </nc>
  </rcc>
  <rcc rId="3043" ua="false" sId="4">
    <oc r="C10" t="n">
      <v>0.4175</v>
    </oc>
    <nc r="C10" t="n">
      <v>0.42</v>
    </nc>
  </rcc>
  <rcc rId="3044" ua="false" sId="4">
    <oc r="D10" t="n">
      <v>0.68</v>
    </oc>
    <nc r="D10" t="n">
      <v>0.65</v>
    </nc>
  </rcc>
  <rcc rId="3045" ua="false" sId="4">
    <oc r="D11" t="n">
      <v>0.74</v>
    </oc>
    <nc r="D11" t="n">
      <v>0.7125</v>
    </nc>
  </rcc>
  <rcc rId="3046" ua="false" sId="5">
    <oc r="C2" t="n">
      <v>0.1425</v>
    </oc>
    <nc r="C2" t="n">
      <v>0.14</v>
    </nc>
  </rcc>
  <rcc rId="3047" ua="false" sId="5">
    <oc r="D2" t="n">
      <v>0.3575</v>
    </oc>
    <nc r="D2" t="n">
      <v>0.365</v>
    </nc>
  </rcc>
  <rcc rId="3048" ua="false" sId="5">
    <oc r="C3" t="n">
      <v>0.1575</v>
    </oc>
    <nc r="C3" t="n">
      <v>0.1525</v>
    </nc>
  </rcc>
  <rcc rId="3049" ua="false" sId="5">
    <oc r="D3" t="n">
      <v>0.425</v>
    </oc>
    <nc r="D3" t="n">
      <v>0.4325</v>
    </nc>
  </rcc>
  <rcc rId="3050" ua="false" sId="5">
    <oc r="C4" t="n">
      <v>0.1725</v>
    </oc>
    <nc r="C4" t="n">
      <v>0.1675</v>
    </nc>
  </rcc>
  <rcc rId="3051" ua="false" sId="5">
    <oc r="D4" t="n">
      <v>0.51</v>
    </oc>
    <nc r="D4" t="n">
      <v>0.48</v>
    </nc>
  </rcc>
  <rcc rId="3052" ua="false" sId="5">
    <oc r="C5" t="n">
      <v>0.17</v>
    </oc>
    <nc r="C5" t="n">
      <v>0.1675</v>
    </nc>
  </rcc>
  <rcc rId="3053" ua="false" sId="5">
    <oc r="D5" t="n">
      <v>0.55</v>
    </oc>
    <nc r="D5" t="n">
      <v>0.52</v>
    </nc>
  </rcc>
  <rcc rId="3054" ua="false" sId="5">
    <oc r="C6" t="n">
      <v>0.18</v>
    </oc>
    <nc r="C6" t="n">
      <v>0.185</v>
    </nc>
  </rcc>
  <rcc rId="3055" ua="false" sId="5">
    <oc r="D6" t="n">
      <v>0.67</v>
    </oc>
    <nc r="D6" t="n">
      <v>0.6</v>
    </nc>
  </rcc>
  <rcc rId="3056" ua="false" sId="5">
    <oc r="C7" t="n">
      <v>0.2225</v>
    </oc>
    <nc r="C7" t="n">
      <v>0.22</v>
    </nc>
  </rcc>
  <rcc rId="3057" ua="false" sId="5">
    <oc r="D7" t="n">
      <v>0.71</v>
    </oc>
    <nc r="D7" t="n">
      <v>0.7</v>
    </nc>
  </rcc>
  <rcc rId="3058" ua="false" sId="5">
    <oc r="C8" t="n">
      <v>0.2875</v>
    </oc>
    <nc r="C8" t="n">
      <v>0.2825</v>
    </nc>
  </rcc>
  <rcc rId="3059" ua="false" sId="5">
    <oc r="D8" t="n">
      <v>0.83</v>
    </oc>
    <nc r="D8" t="n">
      <v>0.8175</v>
    </nc>
  </rcc>
  <rcc rId="3060" ua="false" sId="5">
    <oc r="C9" t="n">
      <v>0.3175</v>
    </oc>
    <nc r="C9" t="n">
      <v>0.3075</v>
    </nc>
  </rcc>
  <rcc rId="3061" ua="false" sId="5">
    <oc r="D9" t="n">
      <v>0.88</v>
    </oc>
    <nc r="D9" t="n">
      <v>0.87</v>
    </nc>
  </rcc>
  <rcc rId="3062" ua="false" sId="5">
    <oc r="C10" t="n">
      <v>0.2875</v>
    </oc>
    <nc r="C10" t="n">
      <v>0.3025</v>
    </nc>
  </rcc>
  <rcc rId="3063" ua="false" sId="5">
    <oc r="D10" t="n">
      <v>0.9575</v>
    </oc>
    <nc r="D10" t="n">
      <v>0.9325</v>
    </nc>
  </rcc>
  <rcc rId="3064" ua="false" sId="5">
    <oc r="C11" t="n">
      <v>0.34</v>
    </oc>
    <nc r="C11" t="n">
      <v>0.3375</v>
    </nc>
  </rcc>
  <rcc rId="3065" ua="false" sId="5">
    <oc r="D11" t="n">
      <v>0.9325</v>
    </oc>
    <nc r="D11" t="n">
      <v>0.9025</v>
    </nc>
  </rcc>
  <rcc rId="3066" ua="false" sId="10">
    <oc r="C2" t="n">
      <v>0.135</v>
    </oc>
    <nc r="C2" t="n">
      <v>0.1375</v>
    </nc>
  </rcc>
  <rcc rId="3067" ua="false" sId="10">
    <oc r="D2" t="n">
      <v>-0.0675</v>
    </oc>
    <nc r="D2" t="n">
      <v>0.03</v>
    </nc>
  </rcc>
  <rcc rId="3068" ua="false" sId="10">
    <oc r="C3" t="n">
      <v>0.135</v>
    </oc>
    <nc r="C3" t="n">
      <v>0.1325</v>
    </nc>
  </rcc>
  <rcc rId="3069" ua="false" sId="10">
    <oc r="C4" t="n">
      <v>0.1625</v>
    </oc>
    <nc r="C4" t="n">
      <v>0.17</v>
    </nc>
  </rcc>
  <rcc rId="3070" ua="false" sId="10">
    <oc r="D4" t="n">
      <v>0.215</v>
    </oc>
    <nc r="D4" t="n">
      <v>0.2125</v>
    </nc>
  </rcc>
  <rcc rId="3071" ua="false" sId="10">
    <oc r="D5" t="n">
      <v>0.29</v>
    </oc>
    <nc r="D5" t="n">
      <v>0.31</v>
    </nc>
  </rcc>
  <rcc rId="3072" ua="false" sId="10">
    <oc r="D6" t="n">
      <v>0.41</v>
    </oc>
    <nc r="D6" t="n">
      <v>0.45</v>
    </nc>
  </rcc>
  <rcc rId="3073" ua="false" sId="10">
    <oc r="C7" t="n">
      <v>0.265</v>
    </oc>
    <nc r="C7" t="n">
      <v>0.27</v>
    </nc>
  </rcc>
  <rcc rId="3074" ua="false" sId="10">
    <oc r="D7" t="n">
      <v>0.6275</v>
    </oc>
    <nc r="D7" t="n">
      <v>0.6475</v>
    </nc>
  </rcc>
  <rcc rId="3075" ua="false" sId="10">
    <oc r="C8" t="n">
      <v>0.305</v>
    </oc>
    <nc r="C8" t="n">
      <v>0.3075</v>
    </nc>
  </rcc>
  <rcc rId="3076" ua="false" sId="10">
    <oc r="D8" t="n">
      <v>0.535</v>
    </oc>
    <nc r="D8" t="n">
      <v>0.545</v>
    </nc>
  </rcc>
  <rcc rId="3077" ua="false" sId="10">
    <oc r="C9" t="n">
      <v>0.33</v>
    </oc>
    <nc r="C9" t="n">
      <v>0.3275</v>
    </nc>
  </rcc>
  <rcc rId="3078" ua="false" sId="10">
    <oc r="D9" t="n">
      <v>0.9275</v>
    </oc>
    <nc r="D9" t="n">
      <v>0.9175</v>
    </nc>
  </rcc>
  <rcc rId="3079" ua="false" sId="10">
    <oc r="C10" t="n">
      <v>0.355</v>
    </oc>
    <nc r="C10" t="n">
      <v>0.3525</v>
    </nc>
  </rcc>
  <rcc rId="3080" ua="false" sId="10">
    <oc r="D10" t="n">
      <v>1.1225</v>
    </oc>
    <nc r="D10" t="n">
      <v>1.12</v>
    </nc>
  </rcc>
  <rcc rId="3081" ua="false" sId="11">
    <oc r="C2" t="n">
      <v>0.275</v>
    </oc>
    <nc r="C2" t="n">
      <v>0.26</v>
    </nc>
  </rcc>
  <rcc rId="3082" ua="false" sId="11">
    <oc r="D2" t="n">
      <v>-1.2175</v>
    </oc>
    <nc r="D2" t="n">
      <v>-1.195</v>
    </nc>
  </rcc>
  <rcc rId="3083" ua="false" sId="11">
    <oc r="C3" t="n">
      <v>0.295</v>
    </oc>
    <nc r="C3" t="n">
      <v>0.28</v>
    </nc>
  </rcc>
  <rcc rId="3084" ua="false" sId="11">
    <oc r="D3" t="n">
      <v>-1.445</v>
    </oc>
    <nc r="D3" t="n">
      <v>-1.44</v>
    </nc>
  </rcc>
  <rcc rId="3085" ua="false" sId="11">
    <oc r="C4" t="n">
      <v>0.3525</v>
    </oc>
    <nc r="C4" t="n">
      <v>0.3375</v>
    </nc>
  </rcc>
  <rcc rId="3086" ua="false" sId="11">
    <oc r="D4" t="n">
      <v>-1.565</v>
    </oc>
    <nc r="D4" t="n">
      <v>-1.505</v>
    </nc>
  </rcc>
  <rcc rId="3087" ua="false" sId="11">
    <oc r="C5" t="n">
      <v>0.3325</v>
    </oc>
    <nc r="C5" t="n">
      <v>0.31</v>
    </nc>
  </rcc>
  <rcc rId="3088" ua="false" sId="11">
    <oc r="D5" t="n">
      <v>-1.775</v>
    </oc>
    <nc r="D5" t="n">
      <v>-1.7225</v>
    </nc>
  </rcc>
  <rcc rId="3089" ua="false" sId="11">
    <oc r="C6" t="n">
      <v>0.385</v>
    </oc>
    <nc r="C6" t="n">
      <v>0.36</v>
    </nc>
  </rcc>
  <rcc rId="3090" ua="false" sId="11">
    <oc r="D6" t="n">
      <v>-2.1875</v>
    </oc>
    <nc r="D6" t="n">
      <v>-2.0975</v>
    </nc>
  </rcc>
  <rcc rId="3091" ua="false" sId="11">
    <oc r="C7" t="n">
      <v>0.4225</v>
    </oc>
    <nc r="C7" t="n">
      <v>0.3975</v>
    </nc>
  </rcc>
  <rcc rId="3092" ua="false" sId="11">
    <oc r="D7" t="n">
      <v>-2.495</v>
    </oc>
    <nc r="D7" t="n">
      <v>-2.41</v>
    </nc>
  </rcc>
  <rcc rId="3093" ua="false" sId="11">
    <oc r="C8" t="n">
      <v>0.4825</v>
    </oc>
    <nc r="C8" t="n">
      <v>0.4675</v>
    </nc>
  </rcc>
  <rcc rId="3094" ua="false" sId="11">
    <oc r="D8" t="n">
      <v>-2.8775</v>
    </oc>
    <nc r="D8" t="n">
      <v>-2.8025</v>
    </nc>
  </rcc>
  <rcc rId="3095" ua="false" sId="11">
    <oc r="C9" t="n">
      <v>0.5125</v>
    </oc>
    <nc r="C9" t="n">
      <v>0.5075</v>
    </nc>
  </rcc>
  <rcc rId="3096" ua="false" sId="11">
    <oc r="D9" t="n">
      <v>-3.0475</v>
    </oc>
    <nc r="D9" t="n">
      <v>-2.94</v>
    </nc>
  </rcc>
  <rcc rId="3097" ua="false" sId="11">
    <oc r="C10" t="n">
      <v>0.5325</v>
    </oc>
    <nc r="C10" t="n">
      <v>0.5425</v>
    </nc>
  </rcc>
  <rcc rId="3098" ua="false" sId="11">
    <oc r="D10" t="n">
      <v>-3.1925</v>
    </oc>
    <nc r="D10" t="n">
      <v>-3.1025</v>
    </nc>
  </rcc>
  <rcc rId="3099" ua="false" sId="11">
    <oc r="C11" t="n">
      <v>0.53</v>
    </oc>
    <nc r="C11" t="n">
      <v>0.54</v>
    </nc>
  </rcc>
  <rcc rId="3100" ua="false" sId="11">
    <oc r="D11" t="n">
      <v>-3.56</v>
    </oc>
    <nc r="D11" t="n">
      <v>-3.5</v>
    </nc>
  </rcc>
  <rcc rId="3101" ua="false" sId="12">
    <oc r="D2" t="n">
      <v>-0.4575</v>
    </oc>
    <nc r="D2" t="n">
      <v>-0.4425</v>
    </nc>
  </rcc>
  <rcc rId="3102" ua="false" sId="12">
    <oc r="C3" t="n">
      <v>0.22</v>
    </oc>
    <nc r="C3" t="n">
      <v>0.2125</v>
    </nc>
  </rcc>
  <rcc rId="3103" ua="false" sId="12">
    <oc r="D3" t="n">
      <v>-0.455</v>
    </oc>
    <nc r="D3" t="n">
      <v>-0.4575</v>
    </nc>
  </rcc>
  <rcc rId="3104" ua="false" sId="12">
    <oc r="D4" t="n">
      <v>-0.48</v>
    </oc>
    <nc r="D4" t="n">
      <v>-0.475</v>
    </nc>
  </rcc>
  <rcc rId="3105" ua="false" sId="12">
    <oc r="C5" t="n">
      <v>0.2475</v>
    </oc>
    <nc r="C5" t="n">
      <v>0.24</v>
    </nc>
  </rcc>
  <rcc rId="3106" ua="false" sId="12">
    <oc r="D5" t="n">
      <v>-0.5625</v>
    </oc>
    <nc r="D5" t="n">
      <v>-0.54</v>
    </nc>
  </rcc>
  <rcc rId="3107" ua="false" sId="12">
    <oc r="C6" t="n">
      <v>0.2775</v>
    </oc>
    <nc r="C6" t="n">
      <v>0.275</v>
    </nc>
  </rcc>
  <rcc rId="3108" ua="false" sId="12">
    <oc r="D6" t="n">
      <v>-0.765</v>
    </oc>
    <nc r="D6" t="n">
      <v>-0.74</v>
    </nc>
  </rcc>
  <rcc rId="3109" ua="false" sId="12">
    <oc r="C7" t="n">
      <v>0.31</v>
    </oc>
    <nc r="C7" t="n">
      <v>0.305</v>
    </nc>
  </rcc>
  <rcc rId="3110" ua="false" sId="12">
    <oc r="D7" t="n">
      <v>-0.945</v>
    </oc>
    <nc r="D7" t="n">
      <v>-0.905</v>
    </nc>
  </rcc>
  <rcc rId="3111" ua="false" sId="12">
    <oc r="C8" t="n">
      <v>0.3625</v>
    </oc>
    <nc r="C8" t="n">
      <v>0.36</v>
    </nc>
  </rcc>
  <rcc rId="3112" ua="false" sId="12">
    <oc r="D8" t="n">
      <v>-1.17</v>
    </oc>
    <nc r="D8" t="n">
      <v>-1.15</v>
    </nc>
  </rcc>
  <rcc rId="3113" ua="false" sId="12">
    <oc r="C9" t="n">
      <v>0.4</v>
    </oc>
    <nc r="C9" t="n">
      <v>0.395</v>
    </nc>
  </rcc>
  <rcc rId="3114" ua="false" sId="12">
    <oc r="D9" t="n">
      <v>-1.37</v>
    </oc>
    <nc r="D9" t="n">
      <v>-1.325</v>
    </nc>
  </rcc>
  <rcc rId="3115" ua="false" sId="12">
    <oc r="C10" t="n">
      <v>0.41</v>
    </oc>
    <nc r="C10" t="n">
      <v>0.4075</v>
    </nc>
  </rcc>
  <rcc rId="3116" ua="false" sId="12">
    <oc r="D10" t="n">
      <v>-1.4625</v>
    </oc>
    <nc r="D10" t="n">
      <v>-1.425</v>
    </nc>
  </rcc>
  <rcc rId="3117" ua="false" sId="12">
    <oc r="D11" t="n">
      <v>-1.73</v>
    </oc>
    <nc r="D11" t="n">
      <v>-1.72</v>
    </nc>
  </rcc>
  <rcc rId="3118" ua="false" sId="13">
    <oc r="C2" t="n">
      <v>0.1475</v>
    </oc>
    <nc r="C2" t="n">
      <v>0.145</v>
    </nc>
  </rcc>
  <rcc rId="3119" ua="false" sId="13">
    <oc r="D2" t="n">
      <v>-0.4375</v>
    </oc>
    <nc r="D2" t="n">
      <v>-0.3625</v>
    </nc>
  </rcc>
  <rcc rId="3120" ua="false" sId="13">
    <oc r="D3" t="n">
      <v>-0.4025</v>
    </oc>
    <nc r="D3" t="n">
      <v>-0.3525</v>
    </nc>
  </rcc>
  <rcc rId="3121" ua="false" sId="13">
    <oc r="C4" t="n">
      <v>0.1775</v>
    </oc>
    <nc r="C4" t="n">
      <v>0.1725</v>
    </nc>
  </rcc>
  <rcc rId="3122" ua="false" sId="13">
    <oc r="D4" t="n">
      <v>-0.3625</v>
    </oc>
    <nc r="D4" t="n">
      <v>-0.32</v>
    </nc>
  </rcc>
  <rcc rId="3123" ua="false" sId="13">
    <oc r="D5" t="n">
      <v>-0.3725</v>
    </oc>
    <nc r="D5" t="n">
      <v>-0.3325</v>
    </nc>
  </rcc>
  <rcc rId="3124" ua="false" sId="13">
    <oc r="C6" t="n">
      <v>0.19</v>
    </oc>
    <nc r="C6" t="n">
      <v>0.185</v>
    </nc>
  </rcc>
  <rcc rId="3125" ua="false" sId="13">
    <oc r="D6" t="n">
      <v>-0.275</v>
    </oc>
    <nc r="D6" t="n">
      <v>-0.245</v>
    </nc>
  </rcc>
  <rcc rId="3126" ua="false" sId="13">
    <oc r="C7" t="n">
      <v>0.215</v>
    </oc>
    <nc r="C7" t="n">
      <v>0.2125</v>
    </nc>
  </rcc>
  <rcc rId="3127" ua="false" sId="13">
    <oc r="D7" t="n">
      <v>-0.21</v>
    </oc>
    <nc r="D7" t="n">
      <v>-0.18</v>
    </nc>
  </rcc>
  <rcc rId="3128" ua="false" sId="13">
    <oc r="D8" t="n">
      <v>-0.13</v>
    </oc>
    <nc r="D8" t="n">
      <v>-0.0775</v>
    </nc>
  </rcc>
  <rcc rId="3129" ua="false" sId="13">
    <oc r="D9" t="n">
      <v>-0.055</v>
    </oc>
    <nc r="D9" t="n">
      <v>-0.0375</v>
    </nc>
  </rcc>
  <rcc rId="3130" ua="false" sId="13">
    <oc r="C10" t="n">
      <v>0.325</v>
    </oc>
    <nc r="C10" t="n">
      <v>0.3225</v>
    </nc>
  </rcc>
  <rcc rId="3131" ua="false" sId="13">
    <oc r="D10" t="n">
      <v>-0.015</v>
    </oc>
    <nc r="D10" t="n">
      <v>0.005</v>
    </nc>
  </rcc>
  <rcc rId="3132" ua="false" sId="13">
    <oc r="C11" t="n">
      <v>0.3425</v>
    </oc>
    <nc r="C11" t="n">
      <v>0.34</v>
    </nc>
  </rcc>
  <rcc rId="3133" ua="false" sId="13">
    <oc r="D11" t="n">
      <v>-0.09</v>
    </oc>
    <nc r="D11" t="n">
      <v>-0.07</v>
    </nc>
  </rcc>
  <rcc rId="3134" ua="false" sId="14">
    <oc r="C2" t="n">
      <v>0.2925</v>
    </oc>
    <nc r="C2" t="n">
      <v>0.285</v>
    </nc>
  </rcc>
  <rcc rId="3135" ua="false" sId="14">
    <oc r="D2" t="n">
      <v>-1.3775</v>
    </oc>
    <nc r="D2" t="n">
      <v>-1.265</v>
    </nc>
  </rcc>
  <rcc rId="3136" ua="false" sId="14">
    <oc r="D3" t="n">
      <v>-1.4675</v>
    </oc>
    <nc r="D3" t="n">
      <v>-1.4225</v>
    </nc>
  </rcc>
  <rcc rId="3137" ua="false" sId="14">
    <oc r="C4" t="n">
      <v>0.35</v>
    </oc>
    <nc r="C4" t="n">
      <v>0.34</v>
    </nc>
  </rcc>
  <rcc rId="3138" ua="false" sId="14">
    <oc r="D4" t="n">
      <v>-1.65</v>
    </oc>
    <nc r="D4" t="n">
      <v>-1.52</v>
    </nc>
  </rcc>
  <rcc rId="3139" ua="false" sId="14">
    <oc r="C5" t="n">
      <v>0.38</v>
    </oc>
    <nc r="C5" t="n">
      <v>0.37</v>
    </nc>
  </rcc>
  <rcc rId="3140" ua="false" sId="14">
    <oc r="D5" t="n">
      <v>-1.7125</v>
    </oc>
    <nc r="D5" t="n">
      <v>-1.665</v>
    </nc>
  </rcc>
  <rcc rId="3141" ua="false" sId="14">
    <oc r="C6" t="n">
      <v>0.415</v>
    </oc>
    <nc r="C6" t="n">
      <v>0.4</v>
    </nc>
  </rcc>
  <rcc rId="3142" ua="false" sId="14">
    <oc r="D6" t="n">
      <v>-1.805</v>
    </oc>
    <nc r="D6" t="n">
      <v>-1.755</v>
    </nc>
  </rcc>
  <rcc rId="3143" ua="false" sId="14">
    <oc r="C7" t="n">
      <v>0.4325</v>
    </oc>
    <nc r="C7" t="n">
      <v>0.4275</v>
    </nc>
  </rcc>
  <rcc rId="3144" ua="false" sId="14">
    <oc r="D7" t="n">
      <v>-1.8325</v>
    </oc>
    <nc r="D7" t="n">
      <v>-1.7925</v>
    </nc>
  </rcc>
  <rcc rId="3145" ua="false" sId="14">
    <oc r="C8" t="n">
      <v>0.47</v>
    </oc>
    <nc r="C8" t="n">
      <v>0.4675</v>
    </nc>
  </rcc>
  <rcc rId="3146" ua="false" sId="14">
    <oc r="D8" t="n">
      <v>-1.91</v>
    </oc>
    <nc r="D8" t="n">
      <v>-1.87</v>
    </nc>
  </rcc>
  <rcc rId="3147" ua="false" sId="14">
    <oc r="C9" t="n">
      <v>0.485</v>
    </oc>
    <nc r="C9" t="n">
      <v>0.4825</v>
    </nc>
  </rcc>
  <rcc rId="3148" ua="false" sId="14">
    <oc r="D9" t="n">
      <v>-1.95</v>
    </oc>
    <nc r="D9" t="n">
      <v>-1.92</v>
    </nc>
  </rcc>
  <rcc rId="3149" ua="false" sId="14">
    <oc r="C10" t="n">
      <v>0.4875</v>
    </oc>
    <nc r="C10" t="n">
      <v>0.49</v>
    </nc>
  </rcc>
  <rcc rId="3150" ua="false" sId="14">
    <oc r="D10" t="n">
      <v>-1.9525</v>
    </oc>
    <nc r="D10" t="n">
      <v>-1.93</v>
    </nc>
  </rcc>
  <rcc rId="3151" ua="false" sId="14">
    <oc r="C11" t="n">
      <v>0.505</v>
    </oc>
    <nc r="C11" t="n">
      <v>0.5025</v>
    </nc>
  </rcc>
  <rcc rId="3152" ua="false" sId="14">
    <oc r="D11" t="n">
      <v>-2.0825</v>
    </oc>
    <nc r="D11" t="n">
      <v>-2.05</v>
    </nc>
  </rcc>
  <rcc rId="3153" ua="false" sId="15">
    <oc r="C2" t="n">
      <v>0.2425</v>
    </oc>
    <nc r="C2" t="n">
      <v>0.25</v>
    </nc>
  </rcc>
  <rcc rId="3154" ua="false" sId="15">
    <oc r="D2" t="n">
      <v>0.1375</v>
    </oc>
    <nc r="D2" t="n">
      <v>0.02</v>
    </nc>
  </rcc>
  <rcc rId="3155" ua="false" sId="15">
    <oc r="D3" t="n">
      <v>0.105</v>
    </oc>
    <nc r="D3" t="n">
      <v>0.01</v>
    </nc>
  </rcc>
  <rcc rId="3156" ua="false" sId="15">
    <oc r="D4" t="n">
      <v>0.03</v>
    </oc>
    <nc r="D4" t="n">
      <v>-0.0675</v>
    </nc>
  </rcc>
  <rcc rId="3157" ua="false" sId="15">
    <oc r="C5" t="n">
      <v>0.255</v>
    </oc>
    <nc r="C5" t="n">
      <v>0.26</v>
    </nc>
  </rcc>
  <rcc rId="3158" ua="false" sId="15">
    <oc r="D5" t="n">
      <v>-0.0675</v>
    </oc>
    <nc r="D5" t="n">
      <v>-0.1675</v>
    </nc>
  </rcc>
  <rcc rId="3159" ua="false" sId="15">
    <oc r="D6" t="n">
      <v>-0.345</v>
    </oc>
    <nc r="D6" t="n">
      <v>-0.4225</v>
    </nc>
  </rcc>
  <rcc rId="3160" ua="false" sId="15">
    <oc r="D7" t="n">
      <v>-0.565</v>
    </oc>
    <nc r="D7" t="n">
      <v>-0.64</v>
    </nc>
  </rcc>
  <rcc rId="3161" ua="false" sId="15">
    <oc r="C8" t="n">
      <v>0.3425</v>
    </oc>
    <nc r="C8" t="n">
      <v>0.3525</v>
    </nc>
  </rcc>
  <rcc rId="3162" ua="false" sId="15">
    <oc r="D8" t="n">
      <v>-0.94</v>
    </oc>
    <nc r="D8" t="n">
      <v>-0.9775</v>
    </nc>
  </rcc>
  <rcc rId="3163" ua="false" sId="15">
    <oc r="C9" t="n">
      <v>0.365</v>
    </oc>
    <nc r="C9" t="n">
      <v>0.375</v>
    </nc>
  </rcc>
  <rcc rId="3164" ua="false" sId="15">
    <oc r="D9" t="n">
      <v>-1.0975</v>
    </oc>
    <nc r="D9" t="n">
      <v>-1.1075</v>
    </nc>
  </rcc>
  <rcc rId="3165" ua="false" sId="15">
    <oc r="C10" t="n">
      <v>0.375</v>
    </oc>
    <nc r="C10" t="n">
      <v>0.3775</v>
    </nc>
  </rcc>
  <rcc rId="3166" ua="false" sId="15">
    <oc r="D10" t="n">
      <v>-1.215</v>
    </oc>
    <nc r="D10" t="n">
      <v>-1.22</v>
    </nc>
  </rcc>
  <rcc rId="3167" ua="false" sId="15">
    <oc r="C11" t="n">
      <v>0.405</v>
    </oc>
    <nc r="C11" t="n">
      <v>0.4125</v>
    </nc>
  </rcc>
  <rcc rId="3168" ua="false" sId="15">
    <oc r="D11" t="n">
      <v>-1.4425</v>
    </oc>
    <nc r="D11" t="n">
      <v>-1.45</v>
    </nc>
  </rcc>
  <rcc rId="3169" ua="false" sId="16">
    <oc r="D2" t="n">
      <v>0.5025</v>
    </oc>
    <nc r="D2" t="n">
      <v>0.505</v>
    </nc>
  </rcc>
  <rcc rId="3170" ua="false" sId="16">
    <oc r="D3" t="n">
      <v>0.57</v>
    </oc>
    <nc r="D3" t="n">
      <v>0.545</v>
    </nc>
  </rcc>
  <rcc rId="3171" ua="false" sId="16">
    <oc r="C4" t="n">
      <v>0.21</v>
    </oc>
    <nc r="C4" t="n">
      <v>0.215</v>
    </nc>
  </rcc>
  <rcc rId="3172" ua="false" sId="16">
    <oc r="D4" t="n">
      <v>0.61</v>
    </oc>
    <nc r="D4" t="n">
      <v>0.625</v>
    </nc>
  </rcc>
  <rcc rId="3173" ua="false" sId="16">
    <oc r="C5" t="n">
      <v>0.2425</v>
    </oc>
    <nc r="C5" t="n">
      <v>0.24</v>
    </nc>
  </rcc>
  <rcc rId="3174" ua="false" sId="16">
    <oc r="D5" t="n">
      <v>0.715</v>
    </oc>
    <nc r="D5" t="n">
      <v>0.73</v>
    </nc>
  </rcc>
  <rcc rId="3175" ua="false" sId="16">
    <oc r="C6" t="n">
      <v>0.25</v>
    </oc>
    <nc r="C6" t="n">
      <v>0.2575</v>
    </nc>
  </rcc>
  <rcc rId="3176" ua="false" sId="16">
    <oc r="D6" t="n">
      <v>0.805</v>
    </oc>
    <nc r="D6" t="n">
      <v>0.8025</v>
    </nc>
  </rcc>
  <rcc rId="3177" ua="false" sId="16">
    <oc r="D7" t="n">
      <v>0.95</v>
    </oc>
    <nc r="D7" t="n">
      <v>0.965</v>
    </nc>
  </rcc>
  <rcc rId="3178" ua="false" sId="16">
    <oc r="D8" t="n">
      <v>1.075</v>
    </oc>
    <nc r="D8" t="n">
      <v>1.0775</v>
    </nc>
  </rcc>
  <rcc rId="3179" ua="false" sId="16">
    <oc r="C9" t="n">
      <v>0.345</v>
    </oc>
    <nc r="C9" t="n">
      <v>0.35</v>
    </nc>
  </rcc>
  <rcc rId="3180" ua="false" sId="16">
    <oc r="C10" t="n">
      <v>0.3775</v>
    </oc>
    <nc r="C10" t="n">
      <v>0.375</v>
    </nc>
  </rcc>
  <rcc rId="3181" ua="false" sId="16">
    <oc r="D10" t="n">
      <v>1.275</v>
    </oc>
    <nc r="D10" t="n">
      <v>1.26</v>
    </nc>
  </rcc>
</revisions>
</file>

<file path=xl/revisions/revisionLog336.xml><?xml version="1.0" encoding="utf-8"?>
<revisions xmlns="http://schemas.openxmlformats.org/spreadsheetml/2006/main" xmlns:r="http://schemas.openxmlformats.org/officeDocument/2006/relationships">
  <rcc rId="3182" ua="false" sId="18">
    <oc r="F3" t="n">
      <v>7.8</v>
    </oc>
    <nc r="F3" t="n">
      <v>7.77</v>
    </nc>
  </rcc>
</revisions>
</file>

<file path=xl/revisions/revisionLog337.xml><?xml version="1.0" encoding="utf-8"?>
<revisions xmlns="http://schemas.openxmlformats.org/spreadsheetml/2006/main" xmlns:r="http://schemas.openxmlformats.org/officeDocument/2006/relationships">
  <rcc rId="3183" ua="false" sId="18">
    <oc r="G5" t="n">
      <v>2.7</v>
    </oc>
    <nc r="G5" t="n">
      <v>3</v>
    </nc>
  </rcc>
  <rcc rId="3184" ua="false" sId="18">
    <oc r="G2" t="n">
      <v>7.1</v>
    </oc>
    <nc r="G2" t="n">
      <v>7</v>
    </nc>
  </rcc>
</revisions>
</file>

<file path=xl/revisions/revisionLog338.xml><?xml version="1.0" encoding="utf-8"?>
<revisions xmlns="http://schemas.openxmlformats.org/spreadsheetml/2006/main" xmlns:r="http://schemas.openxmlformats.org/officeDocument/2006/relationships">
  <rcc rId="3185" ua="false" sId="18">
    <oc r="G2" t="n">
      <v>5.65</v>
    </oc>
    <nc r="G2" t="n">
      <v>5.67</v>
    </nc>
  </rcc>
</revisions>
</file>

<file path=xl/revisions/revisionLog339.xml><?xml version="1.0" encoding="utf-8"?>
<revisions xmlns="http://schemas.openxmlformats.org/spreadsheetml/2006/main" xmlns:r="http://schemas.openxmlformats.org/officeDocument/2006/relationships">
  <rcc rId="3186" ua="false" sId="18">
    <oc r="G2" t="n">
      <v>6.9</v>
    </oc>
    <nc r="G2" t="n">
      <v>7.4</v>
    </nc>
  </rcc>
  <rcc rId="3187" ua="false" sId="18">
    <oc r="G3" t="n">
      <v>7.45</v>
    </oc>
    <nc r="G3" t="n">
      <v>7.5</v>
    </nc>
  </rcc>
</revisions>
</file>

<file path=xl/revisions/revisionLog340.xml><?xml version="1.0" encoding="utf-8"?>
<revisions xmlns="http://schemas.openxmlformats.org/spreadsheetml/2006/main" xmlns:r="http://schemas.openxmlformats.org/officeDocument/2006/relationships">
  <rcc rId="3188" ua="false" sId="18">
    <oc r="L2" t="n">
      <v>0.427</v>
    </oc>
    <nc r="L2" t="n">
      <v>0.415</v>
    </nc>
  </rcc>
</revisions>
</file>

<file path=xl/revisions/revisionLog341.xml><?xml version="1.0" encoding="utf-8"?>
<revisions xmlns="http://schemas.openxmlformats.org/spreadsheetml/2006/main" xmlns:r="http://schemas.openxmlformats.org/officeDocument/2006/relationships">
  <rcc rId="3189" ua="false" sId="18">
    <oc r="I3" t="n">
      <v>9.42</v>
    </oc>
    <nc r="I3" t="n">
      <v>9.25</v>
    </nc>
  </rcc>
  <rcc rId="3190" ua="false" sId="18">
    <oc r="I2" t="n">
      <v>9.27</v>
    </oc>
    <nc r="I2" t="n">
      <v>8.9</v>
    </nc>
  </rcc>
  <rcc rId="3191" ua="false" sId="18">
    <oc r="I5" t="n">
      <v>1.9</v>
    </oc>
    <nc r="I5" t="n">
      <v>0.5</v>
    </nc>
  </rcc>
</revisions>
</file>

<file path=xl/revisions/revisionLog342.xml><?xml version="1.0" encoding="utf-8"?>
<revisions xmlns="http://schemas.openxmlformats.org/spreadsheetml/2006/main" xmlns:r="http://schemas.openxmlformats.org/officeDocument/2006/relationships">
  <rcc rId="3192" ua="false" sId="18">
    <oc r="G3" t="n">
      <v>7.1</v>
    </oc>
    <nc r="G3" t="n">
      <v>7</v>
    </nc>
  </rcc>
  <rcc rId="3193" ua="false" sId="18">
    <oc r="A17" t="inlineStr">
      <is>
        <r>
          <rPr>
            <sz val="11"/>
            <rFont val="Calibri"/>
            <family val="0"/>
            <charset val="1"/>
          </rPr>
          <t xml:space="preserve">03/12/2021 00:00</t>
        </r>
      </is>
    </oc>
    <nc r="A17" t="inlineStr">
      <is>
        <r>
          <rPr>
            <sz val="11"/>
            <rFont val="Calibri"/>
            <family val="0"/>
            <charset val="1"/>
          </rPr>
          <t xml:space="preserve">03/11/2021 00:00</t>
        </r>
      </is>
    </nc>
  </rcc>
</revisions>
</file>

<file path=xl/revisions/revisionLog343.xml><?xml version="1.0" encoding="utf-8"?>
<revisions xmlns="http://schemas.openxmlformats.org/spreadsheetml/2006/main" xmlns:r="http://schemas.openxmlformats.org/officeDocument/2006/relationships">
  <rcc rId="3194" ua="false" sId="18">
    <oc r="I5" t="n">
      <v>3.2</v>
    </oc>
    <nc r="I5" t="n">
      <v>3.5</v>
    </nc>
  </rcc>
</revisions>
</file>

<file path=xl/revisions/revisionLog344.xml><?xml version="1.0" encoding="utf-8"?>
<revisions xmlns="http://schemas.openxmlformats.org/spreadsheetml/2006/main" xmlns:r="http://schemas.openxmlformats.org/officeDocument/2006/relationships">
  <rcc rId="3195" ua="false" sId="18">
    <oc r="I3" t="n">
      <v>9.25</v>
    </oc>
    <nc r="I3" t="n">
      <v>9.15</v>
    </nc>
  </rcc>
  <rcc rId="3196" ua="false" sId="18">
    <oc r="I5" t="n">
      <v>0.5</v>
    </oc>
    <nc r="I5" t="n">
      <v>0.3</v>
    </nc>
  </rcc>
  <rcc rId="3197" ua="false" sId="18">
    <oc r="I2" t="n">
      <v>8.9</v>
    </oc>
    <nc r="I2" t="n">
      <v>8.75</v>
    </nc>
  </rcc>
</revisions>
</file>

<file path=xl/revisions/revisionLog345.xml><?xml version="1.0" encoding="utf-8"?>
<revisions xmlns="http://schemas.openxmlformats.org/spreadsheetml/2006/main" xmlns:r="http://schemas.openxmlformats.org/officeDocument/2006/relationships">
  <rcc rId="3198" ua="false" sId="18">
    <oc r="I5" t="n">
      <v>0.3</v>
    </oc>
    <nc r="I5" t="n">
      <v>0.2</v>
    </nc>
  </rcc>
  <rcc rId="3199" ua="false" sId="18">
    <oc r="I2" t="n">
      <v>8.75</v>
    </oc>
    <nc r="I2" t="n">
      <v>8.7</v>
    </nc>
  </rcc>
  <rcc rId="3200" ua="false" sId="18">
    <oc r="I3" t="n">
      <v>9.15</v>
    </oc>
    <nc r="I3" t="n">
      <v>9.1</v>
    </nc>
  </rcc>
</revisions>
</file>

<file path=xl/revisions/revisionLog346.xml><?xml version="1.0" encoding="utf-8"?>
<revisions xmlns="http://schemas.openxmlformats.org/spreadsheetml/2006/main" xmlns:r="http://schemas.openxmlformats.org/officeDocument/2006/relationships">
  <rcc rId="3201" ua="false" sId="19">
    <oc r="A9" t="inlineStr">
      <is>
        <r>
          <rPr>
            <sz val="11"/>
            <rFont val="Calibri"/>
            <family val="0"/>
            <charset val="1"/>
          </rPr>
          <t xml:space="preserve">06/13/2023 14:00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06/14/2023 14:00</t>
        </r>
      </is>
    </nc>
  </rcc>
</revisions>
</file>

<file path=xl/revisions/revisionLog347.xml><?xml version="1.0" encoding="utf-8"?>
<revisions xmlns="http://schemas.openxmlformats.org/spreadsheetml/2006/main" xmlns:r="http://schemas.openxmlformats.org/officeDocument/2006/relationships">
  <rcc rId="3202" ua="false" sId="18">
    <oc r="B5" t="n">
      <v>-0.3</v>
    </oc>
    <nc r="B5" t="n">
      <v>-0.5</v>
    </nc>
  </rcc>
</revisions>
</file>

<file path=xl/revisions/revisionLog348.xml><?xml version="1.0" encoding="utf-8"?>
<revisions xmlns="http://schemas.openxmlformats.org/spreadsheetml/2006/main" xmlns:r="http://schemas.openxmlformats.org/officeDocument/2006/relationships">
  <rcc rId="3203" ua="false" sId="18">
    <oc r="J5" t="n">
      <v>4.1</v>
    </oc>
    <nc r="J5" t="n">
      <v>2.1</v>
    </nc>
  </rcc>
  <rcc rId="3204" ua="false" sId="18">
    <oc r="J2" t="n">
      <v>11.3</v>
    </oc>
    <nc r="J2" t="n">
      <v>11</v>
    </nc>
  </rcc>
  <rcc rId="3205" ua="false" sId="18">
    <oc r="J3" t="n">
      <v>11.15</v>
    </oc>
    <nc r="J3" t="n">
      <v>10.95</v>
    </nc>
  </rcc>
</revisions>
</file>

<file path=xl/revisions/revisionLog349.xml><?xml version="1.0" encoding="utf-8"?>
<revisions xmlns="http://schemas.openxmlformats.org/spreadsheetml/2006/main" xmlns:r="http://schemas.openxmlformats.org/officeDocument/2006/relationships">
  <rcc rId="3206" ua="false" sId="18">
    <oc r="I2" t="n">
      <v>8.15</v>
    </oc>
    <nc r="I2" t="n">
      <v>8</v>
    </nc>
  </rcc>
  <rcc rId="3207" ua="false" sId="18">
    <oc r="I5" t="n">
      <v>2</v>
    </oc>
    <nc r="I5" t="n">
      <v>1.5</v>
    </nc>
  </rcc>
  <rcc rId="3208" ua="false" sId="18">
    <oc r="I16" t="n">
      <v>0</v>
    </oc>
    <nc r="I16" t="n">
      <v>3</v>
    </nc>
  </rcc>
</revisions>
</file>

<file path=xl/revisions/revisionLog350.xml><?xml version="1.0" encoding="utf-8"?>
<revisions xmlns="http://schemas.openxmlformats.org/spreadsheetml/2006/main" xmlns:r="http://schemas.openxmlformats.org/officeDocument/2006/relationships">
  <rcc rId="3209" ua="false" sId="18">
    <oc r="J5" t="n">
      <v>2.1</v>
    </oc>
    <nc r="J5" t="n">
      <v>1.1</v>
    </nc>
  </rcc>
  <rcc rId="3210" ua="false" sId="18">
    <oc r="J2" t="n">
      <v>11</v>
    </oc>
    <nc r="J2" t="n">
      <v>10.9</v>
    </nc>
  </rcc>
  <rcc rId="3211" ua="false" sId="18">
    <oc r="J3" t="n">
      <v>10.95</v>
    </oc>
    <nc r="J3" t="n">
      <v>11</v>
    </nc>
  </rcc>
  <rcc rId="3212" ua="false" sId="18">
    <oc r="J2" t="n">
      <v>10.9</v>
    </oc>
    <nc r="J2" t="n">
      <v>11</v>
    </nc>
  </rcc>
  <rcc rId="3213" ua="false" sId="18">
    <oc r="J5" t="n">
      <v>1.1</v>
    </oc>
    <nc r="J5" t="n">
      <v>2</v>
    </nc>
  </rcc>
</revisions>
</file>

<file path=xl/revisions/revisionLog351.xml><?xml version="1.0" encoding="utf-8"?>
<revisions xmlns="http://schemas.openxmlformats.org/spreadsheetml/2006/main" xmlns:r="http://schemas.openxmlformats.org/officeDocument/2006/relationships">
  <rcc rId="3214" ua="false" sId="18">
    <oc r="F3" t="n">
      <v>7.54</v>
    </oc>
    <nc r="F3" t="n">
      <v>7.53</v>
    </nc>
  </rcc>
</revisions>
</file>

<file path=xl/revisions/revisionLog352.xml><?xml version="1.0" encoding="utf-8"?>
<revisions xmlns="http://schemas.openxmlformats.org/spreadsheetml/2006/main" xmlns:r="http://schemas.openxmlformats.org/officeDocument/2006/relationships">
  <rcc rId="3215" ua="false" sId="18">
    <oc r="G3" t="n">
      <v>7.5</v>
    </oc>
    <nc r="G3" t="n">
      <v>7.4</v>
    </nc>
  </rcc>
  <rcc rId="3216" ua="false" sId="18">
    <oc r="G2" t="n">
      <v>7.4</v>
    </oc>
    <nc r="G2" t="n">
      <v>7.3</v>
    </nc>
  </rcc>
  <rcc rId="3217" ua="false" sId="18">
    <oc r="G5" t="n">
      <v>1.2</v>
    </oc>
    <nc r="G5" t="n">
      <v>2</v>
    </nc>
  </rcc>
</revisions>
</file>

<file path=xl/revisions/revisionLog353.xml><?xml version="1.0" encoding="utf-8"?>
<revisions xmlns="http://schemas.openxmlformats.org/spreadsheetml/2006/main" xmlns:r="http://schemas.openxmlformats.org/officeDocument/2006/relationships">
  <rcc rId="3218" ua="false" sId="2">
    <oc r="C2" t="n">
      <v>0.23</v>
    </oc>
    <nc r="C2" t="n">
      <v>0.235</v>
    </nc>
  </rcc>
  <rcc rId="3219" ua="false" sId="2">
    <oc r="D2" t="n">
      <v>-0.6075</v>
    </oc>
    <nc r="D2" t="n">
      <v>-0.53</v>
    </nc>
  </rcc>
  <rcc rId="3220" ua="false" sId="2">
    <oc r="C3" t="n">
      <v>0.245</v>
    </oc>
    <nc r="C3" t="n">
      <v>0.2475</v>
    </nc>
  </rcc>
  <rcc rId="3221" ua="false" sId="2">
    <oc r="D3" t="n">
      <v>-0.7525</v>
    </oc>
    <nc r="D3" t="n">
      <v>-0.6725</v>
    </nc>
  </rcc>
  <rcc rId="3222" ua="false" sId="2">
    <oc r="C5" t="n">
      <v>0.285</v>
    </oc>
    <nc r="C5" t="n">
      <v>0.2625</v>
    </nc>
  </rcc>
  <rcc rId="3223" ua="false" sId="2">
    <oc r="D5" t="n">
      <v>-0.8675</v>
    </oc>
    <nc r="D5" t="n">
      <v>-0.815</v>
    </nc>
  </rcc>
  <rcc rId="3224" ua="false" sId="2">
    <oc r="C6" t="n">
      <v>0.3175</v>
    </oc>
    <nc r="C6" t="n">
      <v>0.305</v>
    </nc>
  </rcc>
  <rcc rId="3225" ua="false" sId="2">
    <oc r="D6" t="n">
      <v>-1.035</v>
    </oc>
    <nc r="D6" t="n">
      <v>-0.925</v>
    </nc>
  </rcc>
  <rcc rId="3226" ua="false" sId="2">
    <oc r="C7" t="n">
      <v>0.345</v>
    </oc>
    <nc r="C7" t="n">
      <v>0.3275</v>
    </nc>
  </rcc>
  <rcc rId="3227" ua="false" sId="2">
    <oc r="D7" t="n">
      <v>-1.1875</v>
    </oc>
    <nc r="D7" t="n">
      <v>-1.145</v>
    </nc>
  </rcc>
  <rcc rId="3228" ua="false" sId="2">
    <oc r="C8" t="n">
      <v>0.375</v>
    </oc>
    <nc r="C8" t="n">
      <v>0.365</v>
    </nc>
  </rcc>
  <rcc rId="3229" ua="false" sId="2">
    <oc r="D8" t="n">
      <v>-1.3275</v>
    </oc>
    <nc r="D8" t="n">
      <v>-1.325</v>
    </nc>
  </rcc>
  <rcc rId="3230" ua="false" sId="2">
    <oc r="C9" t="n">
      <v>0.4</v>
    </oc>
    <nc r="C9" t="n">
      <v>0.395</v>
    </nc>
  </rcc>
  <rcc rId="3231" ua="false" sId="2">
    <oc r="D9" t="n">
      <v>-1.41</v>
    </oc>
    <nc r="D9" t="n">
      <v>-1.4125</v>
    </nc>
  </rcc>
  <rcc rId="3232" ua="false" sId="2">
    <oc r="C10" t="n">
      <v>0.43</v>
    </oc>
    <nc r="C10" t="n">
      <v>0.415</v>
    </nc>
  </rcc>
  <rcc rId="3233" ua="false" sId="2">
    <oc r="D10" t="n">
      <v>-1.495</v>
    </oc>
    <nc r="D10" t="n">
      <v>-1.485</v>
    </nc>
  </rcc>
  <rcc rId="3234" ua="false" sId="2">
    <oc r="C11" t="n">
      <v>0.4575</v>
    </oc>
    <nc r="C11" t="n">
      <v>0.4525</v>
    </nc>
  </rcc>
  <rcc rId="3235" ua="false" sId="2">
    <oc r="D11" t="n">
      <v>-1.605</v>
    </oc>
    <nc r="D11" t="n">
      <v>-1.5675</v>
    </nc>
  </rcc>
  <rcc rId="3236" ua="false" sId="3">
    <oc r="C2" t="n">
      <v>0.18</v>
    </oc>
    <nc r="C2" t="n">
      <v>0.185</v>
    </nc>
  </rcc>
  <rcc rId="3237" ua="false" sId="3">
    <oc r="D2" t="n">
      <v>-0.135</v>
    </oc>
    <nc r="D2" t="n">
      <v>-0.2325</v>
    </nc>
  </rcc>
  <rcc rId="3238" ua="false" sId="3">
    <oc r="C3" t="n">
      <v>0.185</v>
    </oc>
    <nc r="C3" t="n">
      <v>0.1875</v>
    </nc>
  </rcc>
  <rcc rId="3239" ua="false" sId="3">
    <oc r="D3" t="n">
      <v>-0.1775</v>
    </oc>
    <nc r="D3" t="n">
      <v>-0.2375</v>
    </nc>
  </rcc>
  <rcc rId="3240" ua="false" sId="3">
    <oc r="C4" t="n">
      <v>0.19</v>
    </oc>
    <nc r="C4" t="n">
      <v>0.2</v>
    </nc>
  </rcc>
  <rcc rId="3241" ua="false" sId="3">
    <oc r="D4" t="n">
      <v>-0.3</v>
    </oc>
    <nc r="D4" t="n">
      <v>-0.29</v>
    </nc>
  </rcc>
  <rcc rId="3242" ua="false" sId="3">
    <oc r="D5" t="n">
      <v>-0.385</v>
    </oc>
    <nc r="D5" t="n">
      <v>-0.415</v>
    </nc>
  </rcc>
  <rcc rId="3243" ua="false" sId="3">
    <oc r="C6" t="n">
      <v>0.2475</v>
    </oc>
    <nc r="C6" t="n">
      <v>0.245</v>
    </nc>
  </rcc>
  <rcc rId="3244" ua="false" sId="3">
    <oc r="D6" t="n">
      <v>-0.5175</v>
    </oc>
    <nc r="D6" t="n">
      <v>-0.53</v>
    </nc>
  </rcc>
  <rcc rId="3245" ua="false" sId="3">
    <oc r="D7" t="n">
      <v>-0.66</v>
    </oc>
    <nc r="D7" t="n">
      <v>-0.665</v>
    </nc>
  </rcc>
  <rcc rId="3246" ua="false" sId="3">
    <oc r="C8" t="n">
      <v>0.365</v>
    </oc>
    <nc r="C8" t="n">
      <v>0.355</v>
    </nc>
  </rcc>
  <rcc rId="3247" ua="false" sId="3">
    <oc r="D8" t="n">
      <v>-0.81</v>
    </oc>
    <nc r="D8" t="n">
      <v>-0.825</v>
    </nc>
  </rcc>
  <rcc rId="3248" ua="false" sId="3">
    <oc r="C9" t="n">
      <v>0.4075</v>
    </oc>
    <nc r="C9" t="n">
      <v>0.4</v>
    </nc>
  </rcc>
  <rcc rId="3249" ua="false" sId="3">
    <oc r="D9" t="n">
      <v>-0.875</v>
    </oc>
    <nc r="D9" t="n">
      <v>-0.915</v>
    </nc>
  </rcc>
  <rcc rId="3250" ua="false" sId="3">
    <oc r="C10" t="n">
      <v>0.43</v>
    </oc>
    <nc r="C10" t="n">
      <v>0.415</v>
    </nc>
  </rcc>
  <rcc rId="3251" ua="false" sId="3">
    <oc r="D10" t="n">
      <v>-0.93</v>
    </oc>
    <nc r="D10" t="n">
      <v>-0.965</v>
    </nc>
  </rcc>
  <rcc rId="3252" ua="false" sId="3">
    <oc r="C11" t="n">
      <v>0.4475</v>
    </oc>
    <nc r="C11" t="n">
      <v>0.43</v>
    </nc>
  </rcc>
  <rcc rId="3253" ua="false" sId="3">
    <oc r="D11" t="n">
      <v>-1.1275</v>
    </oc>
    <nc r="D11" t="n">
      <v>-1.065</v>
    </nc>
  </rcc>
  <rcc rId="3254" ua="false" sId="4">
    <oc r="C2" t="n">
      <v>0.17</v>
    </oc>
    <nc r="C2" t="n">
      <v>0.1975</v>
    </nc>
  </rcc>
  <rcc rId="3255" ua="false" sId="4">
    <oc r="D2" t="n">
      <v>0.32</v>
    </oc>
    <nc r="D2" t="n">
      <v>0.2125</v>
    </nc>
  </rcc>
  <rcc rId="3256" ua="false" sId="4">
    <oc r="C3" t="n">
      <v>0.175</v>
    </oc>
    <nc r="C3" t="n">
      <v>0.2</v>
    </nc>
  </rcc>
  <rcc rId="3257" ua="false" sId="4">
    <oc r="D3" t="n">
      <v>0.3375</v>
    </oc>
    <nc r="D3" t="n">
      <v>0.2575</v>
    </nc>
  </rcc>
  <rcc rId="3258" ua="false" sId="4">
    <oc r="C4" t="n">
      <v>0.1825</v>
    </oc>
    <nc r="C4" t="n">
      <v>0.205</v>
    </nc>
  </rcc>
  <rcc rId="3259" ua="false" sId="4">
    <oc r="D4" t="n">
      <v>0.3425</v>
    </oc>
    <nc r="D4" t="n">
      <v>0.28</v>
    </nc>
  </rcc>
  <rcc rId="3260" ua="false" sId="4">
    <oc r="C5" t="n">
      <v>0.19</v>
    </oc>
    <nc r="C5" t="n">
      <v>0.205</v>
    </nc>
  </rcc>
  <rcc rId="3261" ua="false" sId="4">
    <oc r="D5" t="n">
      <v>0.3575</v>
    </oc>
    <nc r="D5" t="n">
      <v>0.3025</v>
    </nc>
  </rcc>
  <rcc rId="3262" ua="false" sId="4">
    <oc r="C6" t="n">
      <v>0.21</v>
    </oc>
    <nc r="C6" t="n">
      <v>0.235</v>
    </nc>
  </rcc>
  <rcc rId="3263" ua="false" sId="4">
    <oc r="D6" t="n">
      <v>0.3725</v>
    </oc>
    <nc r="D6" t="n">
      <v>0.32</v>
    </nc>
  </rcc>
  <rcc rId="3264" ua="false" sId="4">
    <oc r="C7" t="n">
      <v>0.2475</v>
    </oc>
    <nc r="C7" t="n">
      <v>0.2625</v>
    </nc>
  </rcc>
  <rcc rId="3265" ua="false" sId="4">
    <oc r="D7" t="n">
      <v>0.39</v>
    </oc>
    <nc r="D7" t="n">
      <v>0.3625</v>
    </nc>
  </rcc>
  <rcc rId="3266" ua="false" sId="4">
    <oc r="C8" t="n">
      <v>0.2925</v>
    </oc>
    <nc r="C8" t="n">
      <v>0.3175</v>
    </nc>
  </rcc>
  <rcc rId="3267" ua="false" sId="4">
    <oc r="D8" t="n">
      <v>0.42</v>
    </oc>
    <nc r="D8" t="n">
      <v>0.395</v>
    </nc>
  </rcc>
  <rcc rId="3268" ua="false" sId="4">
    <oc r="C9" t="n">
      <v>0.345</v>
    </oc>
    <nc r="C9" t="n">
      <v>0.3725</v>
    </nc>
  </rcc>
  <rcc rId="3269" ua="false" sId="4">
    <oc r="D9" t="n">
      <v>0.415</v>
    </oc>
    <nc r="D9" t="n">
      <v>0.37</v>
    </nc>
  </rcc>
  <rcc rId="3270" ua="false" sId="4">
    <oc r="C10" t="n">
      <v>0.3525</v>
    </oc>
    <nc r="C10" t="n">
      <v>0.385</v>
    </nc>
  </rcc>
  <rcc rId="3271" ua="false" sId="4">
    <oc r="D10" t="n">
      <v>0.465</v>
    </oc>
    <nc r="D10" t="n">
      <v>0.4075</v>
    </nc>
  </rcc>
  <rcc rId="3272" ua="false" sId="4">
    <oc r="C11" t="n">
      <v>0.395</v>
    </oc>
    <nc r="C11" t="n">
      <v>0.4</v>
    </nc>
  </rcc>
  <rcc rId="3273" ua="false" sId="4">
    <oc r="D11" t="n">
      <v>0.46</v>
    </oc>
    <nc r="D11" t="n">
      <v>0.425</v>
    </nc>
  </rcc>
  <rcc rId="3274" ua="false" sId="5">
    <oc r="C2" t="n">
      <v>0.095</v>
    </oc>
    <nc r="C2" t="n">
      <v>0.1275</v>
    </nc>
  </rcc>
  <rcc rId="3275" ua="false" sId="5">
    <oc r="D2" t="n">
      <v>0.24</v>
    </oc>
    <nc r="D2" t="n">
      <v>0.2525</v>
    </nc>
  </rcc>
  <rcc rId="3276" ua="false" sId="5">
    <oc r="C3" t="n">
      <v>0.095</v>
    </oc>
    <nc r="C3" t="n">
      <v>0.13</v>
    </nc>
  </rcc>
  <rcc rId="3277" ua="false" sId="5">
    <oc r="D3" t="n">
      <v>0.2875</v>
    </oc>
    <nc r="D3" t="n">
      <v>0.3175</v>
    </nc>
  </rcc>
  <rcc rId="3278" ua="false" sId="5">
    <oc r="C4" t="n">
      <v>0.1375</v>
    </oc>
    <nc r="C4" t="n">
      <v>0.1475</v>
    </nc>
  </rcc>
  <rcc rId="3279" ua="false" sId="5">
    <oc r="D4" t="n">
      <v>0.395</v>
    </oc>
    <nc r="D4" t="n">
      <v>0.3625</v>
    </nc>
  </rcc>
  <rcc rId="3280" ua="false" sId="5">
    <oc r="C5" t="n">
      <v>0.1</v>
    </oc>
    <nc r="C5" t="n">
      <v>0.14</v>
    </nc>
  </rcc>
  <rcc rId="3281" ua="false" sId="5">
    <oc r="D5" t="n">
      <v>0.37</v>
    </oc>
    <nc r="D5" t="n">
      <v>0.385</v>
    </nc>
  </rcc>
  <rcc rId="3282" ua="false" sId="5">
    <oc r="C6" t="n">
      <v>0.125</v>
    </oc>
    <nc r="C6" t="n">
      <v>0.1575</v>
    </nc>
  </rcc>
  <rcc rId="3283" ua="false" sId="5">
    <oc r="D6" t="n">
      <v>0.475</v>
    </oc>
    <nc r="D6" t="n">
      <v>0.5225</v>
    </nc>
  </rcc>
  <rcc rId="3284" ua="false" sId="5">
    <oc r="C7" t="n">
      <v>0.14</v>
    </oc>
    <nc r="C7" t="n">
      <v>0.185</v>
    </nc>
  </rcc>
  <rcc rId="3285" ua="false" sId="5">
    <oc r="D7" t="n">
      <v>0.595</v>
    </oc>
    <nc r="D7" t="n">
      <v>0.5875</v>
    </nc>
  </rcc>
  <rcc rId="3286" ua="false" sId="5">
    <oc r="C8" t="n">
      <v>0.185</v>
    </oc>
    <nc r="C8" t="n">
      <v>0.2425</v>
    </nc>
  </rcc>
  <rcc rId="3287" ua="false" sId="5">
    <oc r="D8" t="n">
      <v>0.73</v>
    </oc>
    <nc r="D8" t="n">
      <v>0.7375</v>
    </nc>
  </rcc>
  <rcc rId="3288" ua="false" sId="5">
    <oc r="C9" t="n">
      <v>0.22</v>
    </oc>
    <nc r="C9" t="n">
      <v>0.2775</v>
    </nc>
  </rcc>
  <rcc rId="3289" ua="false" sId="5">
    <oc r="D9" t="n">
      <v>0.765</v>
    </oc>
    <nc r="D9" t="n">
      <v>0.7775</v>
    </nc>
  </rcc>
  <rcc rId="3290" ua="false" sId="5">
    <oc r="C10" t="n">
      <v>0.2075</v>
    </oc>
    <nc r="C10" t="n">
      <v>0.25</v>
    </nc>
  </rcc>
  <rcc rId="3291" ua="false" sId="5">
    <oc r="D10" t="n">
      <v>0.82</v>
    </oc>
    <nc r="D10" t="n">
      <v>0.84</v>
    </nc>
  </rcc>
  <rcc rId="3292" ua="false" sId="5">
    <oc r="C11" t="n">
      <v>0.3275</v>
    </oc>
    <nc r="C11" t="n">
      <v>0.3225</v>
    </nc>
  </rcc>
  <rcc rId="3293" ua="false" sId="5">
    <oc r="D11" t="n">
      <v>0.8075</v>
    </oc>
    <nc r="D11" t="n">
      <v>0.8425</v>
    </nc>
  </rcc>
  <rcc rId="3294" ua="false" sId="11">
    <oc r="C2" t="n">
      <v>0.18</v>
    </oc>
    <nc r="C2" t="n">
      <v>0.1925</v>
    </nc>
  </rcc>
  <rcc rId="3295" ua="false" sId="11">
    <oc r="D2" t="n">
      <v>-0.8725</v>
    </oc>
    <nc r="D2" t="n">
      <v>-0.9575</v>
    </nc>
  </rcc>
  <rcc rId="3296" ua="false" sId="11">
    <oc r="C3" t="n">
      <v>0.1875</v>
    </oc>
    <nc r="C3" t="n">
      <v>0.2225</v>
    </nc>
  </rcc>
  <rcc rId="3297" ua="false" sId="11">
    <oc r="D3" t="n">
      <v>-1.04</v>
    </oc>
    <nc r="D3" t="n">
      <v>-1.14</v>
    </nc>
  </rcc>
  <rcc rId="3298" ua="false" sId="11">
    <oc r="C4" t="n">
      <v>0.32</v>
    </oc>
    <nc r="C4" t="n">
      <v>0.27</v>
    </nc>
  </rcc>
  <rcc rId="3299" ua="false" sId="11">
    <oc r="D4" t="n">
      <v>-1.07</v>
    </oc>
    <nc r="D4" t="n">
      <v>-1.125</v>
    </nc>
  </rcc>
  <rcc rId="3300" ua="false" sId="11">
    <oc r="C5" t="n">
      <v>0.22</v>
    </oc>
    <nc r="C5" t="n">
      <v>0.25</v>
    </nc>
  </rcc>
  <rcc rId="3301" ua="false" sId="11">
    <oc r="D5" t="n">
      <v>-1.2775</v>
    </oc>
    <nc r="D5" t="n">
      <v>-1.35</v>
    </nc>
  </rcc>
  <rcc rId="3302" ua="false" sId="11">
    <oc r="C6" t="n">
      <v>0.2775</v>
    </oc>
    <nc r="C6" t="n">
      <v>0.3075</v>
    </nc>
  </rcc>
  <rcc rId="3303" ua="false" sId="11">
    <oc r="D6" t="n">
      <v>-1.6875</v>
    </oc>
    <nc r="D6" t="n">
      <v>-1.7625</v>
    </nc>
  </rcc>
  <rcc rId="3304" ua="false" sId="11">
    <oc r="C7" t="n">
      <v>0.3175</v>
    </oc>
    <nc r="C7" t="n">
      <v>0.3425</v>
    </nc>
  </rcc>
  <rcc rId="3305" ua="false" sId="11">
    <oc r="D7" t="n">
      <v>-2.0275</v>
    </oc>
    <nc r="D7" t="n">
      <v>-2.0725</v>
    </nc>
  </rcc>
  <rcc rId="3306" ua="false" sId="11">
    <oc r="C8" t="n">
      <v>0.38</v>
    </oc>
    <nc r="C8" t="n">
      <v>0.405</v>
    </nc>
  </rcc>
  <rcc rId="3307" ua="false" sId="11">
    <oc r="D8" t="n">
      <v>-2.3575</v>
    </oc>
    <nc r="D8" t="n">
      <v>-2.445</v>
    </nc>
  </rcc>
  <rcc rId="3308" ua="false" sId="11">
    <oc r="C9" t="n">
      <v>0.425</v>
    </oc>
    <nc r="C9" t="n">
      <v>0.4375</v>
    </nc>
  </rcc>
  <rcc rId="3309" ua="false" sId="11">
    <oc r="D9" t="n">
      <v>-2.5475</v>
    </oc>
    <nc r="D9" t="n">
      <v>-2.6275</v>
    </nc>
  </rcc>
  <rcc rId="3310" ua="false" sId="11">
    <oc r="C10" t="n">
      <v>0.4575</v>
    </oc>
    <nc r="C10" t="n">
      <v>0.4525</v>
    </nc>
  </rcc>
  <rcc rId="3311" ua="false" sId="11">
    <oc r="D10" t="n">
      <v>-2.705</v>
    </oc>
    <nc r="D10" t="n">
      <v>-2.755</v>
    </nc>
  </rcc>
  <rcc rId="3312" ua="false" sId="11">
    <oc r="C11" t="n">
      <v>0.35</v>
    </oc>
    <nc r="C11" t="n">
      <v>0.44</v>
    </nc>
  </rcc>
  <rcc rId="3313" ua="false" sId="11">
    <oc r="D11" t="n">
      <v>-3.055</v>
    </oc>
    <nc r="D11" t="n">
      <v>-3.14</v>
    </nc>
  </rcc>
  <rcc rId="3314" ua="false" sId="12">
    <oc r="C2" t="n">
      <v>0.18</v>
    </oc>
    <nc r="C2" t="n">
      <v>0.19</v>
    </nc>
  </rcc>
  <rcc rId="3315" ua="false" sId="12">
    <oc r="D2" t="n">
      <v>-0.345</v>
    </oc>
    <nc r="D2" t="n">
      <v>-0.49</v>
    </nc>
  </rcc>
  <rcc rId="3316" ua="false" sId="12">
    <oc r="C3" t="n">
      <v>0.1925</v>
    </oc>
    <nc r="C3" t="n">
      <v>0.1975</v>
    </nc>
  </rcc>
  <rcc rId="3317" ua="false" sId="12">
    <oc r="D3" t="n">
      <v>-0.3975</v>
    </oc>
    <nc r="D3" t="n">
      <v>-0.5325</v>
    </nc>
  </rcc>
  <rcc rId="3318" ua="false" sId="12">
    <oc r="C4" t="n">
      <v>0.17</v>
    </oc>
    <nc r="C4" t="n">
      <v>0.18</v>
    </nc>
  </rcc>
  <rcc rId="3319" ua="false" sId="12">
    <oc r="D4" t="n">
      <v>-0.43</v>
    </oc>
    <nc r="D4" t="n">
      <v>-0.535</v>
    </nc>
  </rcc>
  <rcc rId="3320" ua="false" sId="12">
    <oc r="D5" t="n">
      <v>-0.4225</v>
    </oc>
    <nc r="D5" t="n">
      <v>-0.5325</v>
    </nc>
  </rcc>
  <rcc rId="3321" ua="false" sId="12">
    <oc r="D6" t="n">
      <v>-0.6125</v>
    </oc>
    <nc r="D6" t="n">
      <v>-0.7175</v>
    </nc>
  </rcc>
  <rcc rId="3322" ua="false" sId="12">
    <oc r="C7" t="n">
      <v>0.28</v>
    </oc>
    <nc r="C7" t="n">
      <v>0.285</v>
    </nc>
  </rcc>
  <rcc rId="3323" ua="false" sId="12">
    <oc r="D7" t="n">
      <v>-0.7675</v>
    </oc>
    <nc r="D7" t="n">
      <v>-0.87</v>
    </nc>
  </rcc>
  <rcc rId="3324" ua="false" sId="12">
    <oc r="D8" t="n">
      <v>-1.0175</v>
    </oc>
    <nc r="D8" t="n">
      <v>-1.105</v>
    </nc>
  </rcc>
  <rcc rId="3325" ua="false" sId="12">
    <oc r="C9" t="n">
      <v>0.395</v>
    </oc>
    <nc r="C9" t="n">
      <v>0.39</v>
    </nc>
  </rcc>
  <rcc rId="3326" ua="false" sId="12">
    <oc r="D9" t="n">
      <v>-1.175</v>
    </oc>
    <nc r="D9" t="n">
      <v>-1.2425</v>
    </nc>
  </rcc>
  <rcc rId="3327" ua="false" sId="12">
    <oc r="D10" t="n">
      <v>-1.2225</v>
    </oc>
    <nc r="D10" t="n">
      <v>-1.2925</v>
    </nc>
  </rcc>
  <rcc rId="3328" ua="false" sId="12">
    <oc r="C11" t="n">
      <v>0.435</v>
    </oc>
    <nc r="C11" t="n">
      <v>0.425</v>
    </nc>
  </rcc>
  <rcc rId="3329" ua="false" sId="12">
    <oc r="D11" t="n">
      <v>-1.4</v>
    </oc>
    <nc r="D11" t="n">
      <v>-1.47</v>
    </nc>
  </rcc>
  <rcc rId="3330" ua="false" sId="13">
    <oc r="C2" t="n">
      <v>0.1375</v>
    </oc>
    <nc r="C2" t="n">
      <v>0.13</v>
    </nc>
  </rcc>
  <rcc rId="3331" ua="false" sId="13">
    <oc r="D2" t="n">
      <v>-0.0225</v>
    </oc>
    <nc r="D2" t="n">
      <v>-0.045</v>
    </nc>
  </rcc>
  <rcc rId="3332" ua="false" sId="13">
    <oc r="C3" t="n">
      <v>0.14</v>
    </oc>
    <nc r="C3" t="n">
      <v>0.1325</v>
    </nc>
  </rcc>
  <rcc rId="3333" ua="false" sId="13">
    <oc r="D3" t="n">
      <v>-0.0325</v>
    </oc>
    <nc r="D3" t="n">
      <v>-0.05</v>
    </nc>
  </rcc>
  <rcc rId="3334" ua="false" sId="13">
    <oc r="C4" t="n">
      <v>0.1425</v>
    </oc>
    <nc r="C4" t="n">
      <v>0.145</v>
    </nc>
  </rcc>
  <rcc rId="3335" ua="false" sId="13">
    <oc r="D4" t="n">
      <v>-0.0225</v>
    </oc>
    <nc r="D4" t="n">
      <v>-0.0375</v>
    </nc>
  </rcc>
  <rcc rId="3336" ua="false" sId="13">
    <oc r="C5" t="n">
      <v>0.1475</v>
    </oc>
    <nc r="C5" t="n">
      <v>0.145</v>
    </nc>
  </rcc>
  <rcc rId="3337" ua="false" sId="13">
    <oc r="D5" t="n">
      <v>-0.015</v>
    </oc>
    <nc r="D5" t="n">
      <v>-0.035</v>
    </nc>
  </rcc>
  <rcc rId="3338" ua="false" sId="13">
    <oc r="C6" t="n">
      <v>0.1725</v>
    </oc>
    <nc r="C6" t="n">
      <v>0.1775</v>
    </nc>
  </rcc>
  <rcc rId="3339" ua="false" sId="13">
    <oc r="D6" t="n">
      <v>0.045</v>
    </oc>
    <nc r="D6" t="n">
      <v>0.025</v>
    </nc>
  </rcc>
  <rcc rId="3340" ua="false" sId="13">
    <oc r="C7" t="n">
      <v>0.2025</v>
    </oc>
    <nc r="C7" t="n">
      <v>0.2</v>
    </nc>
  </rcc>
  <rcc rId="3341" ua="false" sId="13">
    <oc r="D7" t="n">
      <v>0.075</v>
    </oc>
    <nc r="D7" t="n">
      <v>0.0625</v>
    </nc>
  </rcc>
  <rcc rId="3342" ua="false" sId="13">
    <oc r="C8" t="n">
      <v>0.26</v>
    </oc>
    <nc r="C8" t="n">
      <v>0.2525</v>
    </nc>
  </rcc>
  <rcc rId="3343" ua="false" sId="13">
    <oc r="D8" t="n">
      <v>0.1625</v>
    </oc>
    <nc r="D8" t="n">
      <v>0.1475</v>
    </nc>
  </rcc>
  <rcc rId="3344" ua="false" sId="13">
    <oc r="D9" t="n">
      <v>0.205</v>
    </oc>
    <nc r="D9" t="n">
      <v>0.18</v>
    </nc>
  </rcc>
  <rcc rId="3345" ua="false" sId="13">
    <oc r="C10" t="n">
      <v>0.315</v>
    </oc>
    <nc r="C10" t="n">
      <v>0.32</v>
    </nc>
  </rcc>
  <rcc rId="3346" ua="false" sId="13">
    <oc r="D10" t="n">
      <v>0.2275</v>
    </oc>
    <nc r="D10" t="n">
      <v>0.2</v>
    </nc>
  </rcc>
  <rcc rId="3347" ua="false" sId="13">
    <oc r="C11" t="n">
      <v>0.3275</v>
    </oc>
    <nc r="C11" t="n">
      <v>0.33</v>
    </nc>
  </rcc>
  <rcc rId="3348" ua="false" sId="13">
    <oc r="D11" t="n">
      <v>0.145</v>
    </oc>
    <nc r="D11" t="n">
      <v>0.0975</v>
    </nc>
  </rcc>
  <rcc rId="3349" ua="false" sId="14">
    <oc r="C2" t="n">
      <v>0.2025</v>
    </oc>
    <nc r="C2" t="n">
      <v>0.215</v>
    </nc>
  </rcc>
  <rcc rId="3350" ua="false" sId="14">
    <oc r="D2" t="n">
      <v>-0.685</v>
    </oc>
    <nc r="D2" t="n">
      <v>-0.635</v>
    </nc>
  </rcc>
  <rcc rId="3351" ua="false" sId="14">
    <oc r="C3" t="n">
      <v>0.225</v>
    </oc>
    <nc r="C3" t="n">
      <v>0.235</v>
    </nc>
  </rcc>
  <rcc rId="3352" ua="false" sId="14">
    <oc r="D3" t="n">
      <v>-0.815</v>
    </oc>
    <nc r="D3" t="n">
      <v>-0.76</v>
    </nc>
  </rcc>
  <rcc rId="3353" ua="false" sId="14">
    <oc r="C4" t="n">
      <v>0.265</v>
    </oc>
    <nc r="C4" t="n">
      <v>0.26</v>
    </nc>
  </rcc>
  <rcc rId="3354" ua="false" sId="14">
    <oc r="D4" t="n">
      <v>-0.9</v>
    </oc>
    <nc r="D4" t="n">
      <v>-0.875</v>
    </nc>
  </rcc>
  <rcc rId="3355" ua="false" sId="14">
    <oc r="D5" t="n">
      <v>-0.9775</v>
    </oc>
    <nc r="D5" t="n">
      <v>-0.9425</v>
    </nc>
  </rcc>
  <rcc rId="3356" ua="false" sId="14">
    <oc r="C6" t="n">
      <v>0.32</v>
    </oc>
    <nc r="C6" t="n">
      <v>0.315</v>
    </nc>
  </rcc>
  <rcc rId="3357" ua="false" sId="14">
    <oc r="D6" t="n">
      <v>-1.1325</v>
    </oc>
    <nc r="D6" t="n">
      <v>-1.115</v>
    </nc>
  </rcc>
  <rcc rId="3358" ua="false" sId="14">
    <oc r="C7" t="n">
      <v>0.345</v>
    </oc>
    <nc r="C7" t="n">
      <v>0.34</v>
    </nc>
  </rcc>
  <rcc rId="3359" ua="false" sId="14">
    <oc r="D7" t="n">
      <v>-1.2625</v>
    </oc>
    <nc r="D7" t="n">
      <v>-1.245</v>
    </nc>
  </rcc>
  <rcc rId="3360" ua="false" sId="14">
    <oc r="C8" t="n">
      <v>0.385</v>
    </oc>
    <nc r="C8" t="n">
      <v>0.39</v>
    </nc>
  </rcc>
  <rcc rId="3361" ua="false" sId="14">
    <oc r="D8" t="n">
      <v>-1.4275</v>
    </oc>
    <nc r="D8" t="n">
      <v>-1.44</v>
    </nc>
  </rcc>
  <rcc rId="3362" ua="false" sId="14">
    <oc r="C9" t="n">
      <v>0.41</v>
    </oc>
    <nc r="C9" t="n">
      <v>0.42</v>
    </nc>
  </rcc>
  <rcc rId="3363" ua="false" sId="14">
    <oc r="D9" t="n">
      <v>-1.4875</v>
    </oc>
    <nc r="D9" t="n">
      <v>-1.53</v>
    </nc>
  </rcc>
  <rcc rId="3364" ua="false" sId="14">
    <oc r="C10" t="n">
      <v>0.44</v>
    </oc>
    <nc r="C10" t="n">
      <v>0.4375</v>
    </nc>
  </rcc>
  <rcc rId="3365" ua="false" sId="14">
    <oc r="D10" t="n">
      <v>-1.5625</v>
    </oc>
    <nc r="D10" t="n">
      <v>-1.5975</v>
    </nc>
  </rcc>
  <rcc rId="3366" ua="false" sId="14">
    <oc r="C11" t="n">
      <v>0.4725</v>
    </oc>
    <nc r="C11" t="n">
      <v>0.47</v>
    </nc>
  </rcc>
  <rcc rId="3367" ua="false" sId="14">
    <oc r="D11" t="n">
      <v>-1.74</v>
    </oc>
    <nc r="D11" t="n">
      <v>-1.745</v>
    </nc>
  </rcc>
  <rcc rId="3368" ua="false" sId="15">
    <oc r="C2" t="n">
      <v>0.175</v>
    </oc>
    <nc r="C2" t="n">
      <v>0.2025</v>
    </nc>
  </rcc>
  <rcc rId="3369" ua="false" sId="15">
    <oc r="D2" t="n">
      <v>-0.17</v>
    </oc>
    <nc r="D2" t="n">
      <v>-0.4225</v>
    </nc>
  </rcc>
  <rcc rId="3370" ua="false" sId="15">
    <oc r="C3" t="n">
      <v>0.185</v>
    </oc>
    <nc r="C3" t="n">
      <v>0.2</v>
    </nc>
  </rcc>
  <rcc rId="3371" ua="false" sId="15">
    <oc r="D3" t="n">
      <v>-0.21</v>
    </oc>
    <nc r="D3" t="n">
      <v>-0.425</v>
    </nc>
  </rcc>
  <rcc rId="3372" ua="false" sId="15">
    <oc r="C4" t="n">
      <v>0.2075</v>
    </oc>
    <nc r="C4" t="n">
      <v>0.225</v>
    </nc>
  </rcc>
  <rcc rId="3373" ua="false" sId="15">
    <oc r="D4" t="n">
      <v>-0.2775</v>
    </oc>
    <nc r="D4" t="n">
      <v>-0.4725</v>
    </nc>
  </rcc>
  <rcc rId="3374" ua="false" sId="15">
    <oc r="C5" t="n">
      <v>0.1925</v>
    </oc>
    <nc r="C5" t="n">
      <v>0.215</v>
    </nc>
  </rcc>
  <rcc rId="3375" ua="false" sId="15">
    <oc r="D5" t="n">
      <v>-0.26</v>
    </oc>
    <nc r="D5" t="n">
      <v>-0.45</v>
    </nc>
  </rcc>
  <rcc rId="3376" ua="false" sId="15">
    <oc r="C6" t="n">
      <v>0.2325</v>
    </oc>
    <nc r="C6" t="n">
      <v>0.2425</v>
    </nc>
  </rcc>
  <rcc rId="3377" ua="false" sId="15">
    <oc r="D6" t="n">
      <v>-0.4925</v>
    </oc>
    <nc r="D6" t="n">
      <v>-0.6475</v>
    </nc>
  </rcc>
  <rcc rId="3378" ua="false" sId="15">
    <oc r="C7" t="n">
      <v>0.2575</v>
    </oc>
    <nc r="C7" t="n">
      <v>0.2725</v>
    </nc>
  </rcc>
  <rcc rId="3379" ua="false" sId="15">
    <oc r="D7" t="n">
      <v>-0.71</v>
    </oc>
    <nc r="D7" t="n">
      <v>-0.825</v>
    </nc>
  </rcc>
  <rcc rId="3380" ua="false" sId="15">
    <oc r="C8" t="n">
      <v>0.305</v>
    </oc>
    <nc r="C8" t="n">
      <v>0.32</v>
    </nc>
  </rcc>
  <rcc rId="3381" ua="false" sId="15">
    <oc r="D8" t="n">
      <v>-1.05</v>
    </oc>
    <nc r="D8" t="n">
      <v>-1.1125</v>
    </nc>
  </rcc>
  <rcc rId="3382" ua="false" sId="15">
    <oc r="C9" t="n">
      <v>0.34</v>
    </oc>
    <nc r="C9" t="n">
      <v>0.35</v>
    </nc>
  </rcc>
  <rcc rId="3383" ua="false" sId="15">
    <oc r="D9" t="n">
      <v>-1.1875</v>
    </oc>
    <nc r="D9" t="n">
      <v>-1.24</v>
    </nc>
  </rcc>
  <rcc rId="3384" ua="false" sId="15">
    <oc r="D10" t="n">
      <v>-1.2725</v>
    </oc>
    <nc r="D10" t="n">
      <v>-1.325</v>
    </nc>
  </rcc>
  <rcc rId="3385" ua="false" sId="15">
    <oc r="D11" t="n">
      <v>-1.535</v>
    </oc>
    <nc r="D11" t="n">
      <v>-1.57</v>
    </nc>
  </rcc>
</revisions>
</file>

<file path=xl/revisions/revisionLog354.xml><?xml version="1.0" encoding="utf-8"?>
<revisions xmlns="http://schemas.openxmlformats.org/spreadsheetml/2006/main" xmlns:r="http://schemas.openxmlformats.org/officeDocument/2006/relationships">
  <rcc rId="3386" ua="false" sId="18">
    <oc r="J3" t="n">
      <v>11</v>
    </oc>
    <nc r="J3" t="n">
      <v>11.05</v>
    </nc>
  </rcc>
  <rcc rId="3387" ua="false" sId="18">
    <oc r="J2" t="n">
      <v>11</v>
    </oc>
    <nc r="J2" t="n">
      <v>10.95</v>
    </nc>
  </rcc>
  <rcc rId="3388" ua="false" sId="18">
    <oc r="J5" t="n">
      <v>2</v>
    </oc>
    <nc r="J5" t="n">
      <v>2.3</v>
    </nc>
  </rcc>
  <rcc rId="3389" ua="false" sId="18">
    <oc r="J5" t="n">
      <v>2.3</v>
    </oc>
    <nc r="J5" t="n">
      <v>2.2</v>
    </nc>
  </rcc>
</revisions>
</file>

<file path=xl/revisions/revisionLog355.xml><?xml version="1.0" encoding="utf-8"?>
<revisions xmlns="http://schemas.openxmlformats.org/spreadsheetml/2006/main" xmlns:r="http://schemas.openxmlformats.org/officeDocument/2006/relationships">
  <rcc rId="3390" ua="false" sId="18">
    <oc r="K5" t="n">
      <v>-0.9</v>
    </oc>
    <nc r="K5" t="n">
      <v>0.6</v>
    </nc>
  </rcc>
  <rcc rId="3391" ua="false" sId="18">
    <oc r="K2" t="n">
      <v>0.43</v>
    </oc>
    <nc r="K2" t="n">
      <v>0.4</v>
    </nc>
  </rcc>
</revisions>
</file>

<file path=xl/revisions/revisionLog356.xml><?xml version="1.0" encoding="utf-8"?>
<revisions xmlns="http://schemas.openxmlformats.org/spreadsheetml/2006/main" xmlns:r="http://schemas.openxmlformats.org/officeDocument/2006/relationships">
  <rcc rId="3392" ua="false" sId="18">
    <oc r="F2" t="n">
      <v>6.1</v>
    </oc>
    <nc r="F2" t="n">
      <v>6.05</v>
    </nc>
  </rcc>
  <rcc rId="3393" ua="false" sId="18">
    <oc r="F19" t="n">
      <v>5</v>
    </oc>
    <nc r="F19" t="n">
      <v>5.5</v>
    </nc>
  </rcc>
</revisions>
</file>

<file path=xl/revisions/revisionLog357.xml><?xml version="1.0" encoding="utf-8"?>
<revisions xmlns="http://schemas.openxmlformats.org/spreadsheetml/2006/main" xmlns:r="http://schemas.openxmlformats.org/officeDocument/2006/relationships">
  <rcc rId="3394" ua="false" sId="18">
    <oc r="G2" t="n">
      <v>6.34</v>
    </oc>
    <nc r="G2" t="n">
      <v>6.25</v>
    </nc>
  </rcc>
  <rcc rId="3395" ua="false" sId="18">
    <oc r="G5" t="n">
      <v>2.95</v>
    </oc>
    <nc r="G5" t="n">
      <v>2.8</v>
    </nc>
  </rcc>
  <rcc rId="3396" ua="false" sId="18">
    <oc r="G3" t="n">
      <v>7.17</v>
    </oc>
    <nc r="G3" t="n">
      <v>7.1</v>
    </nc>
  </rcc>
</revisions>
</file>

<file path=xl/revisions/revisionLog358.xml><?xml version="1.0" encoding="utf-8"?>
<revisions xmlns="http://schemas.openxmlformats.org/spreadsheetml/2006/main" xmlns:r="http://schemas.openxmlformats.org/officeDocument/2006/relationships">
  <rcc rId="3397" ua="false" sId="18">
    <oc r="I5" t="n">
      <v>2.5</v>
    </oc>
    <nc r="I5" t="n">
      <v>2.3</v>
    </nc>
  </rcc>
  <rcc rId="3398" ua="false" sId="18">
    <oc r="I3" t="n">
      <v>9.45</v>
    </oc>
    <nc r="I3" t="n">
      <v>9.4</v>
    </nc>
  </rcc>
</revisions>
</file>

<file path=xl/revisions/revisionLog359.xml><?xml version="1.0" encoding="utf-8"?>
<revisions xmlns="http://schemas.openxmlformats.org/spreadsheetml/2006/main" xmlns:r="http://schemas.openxmlformats.org/officeDocument/2006/relationships">
  <rcc rId="3399" ua="false" sId="18">
    <oc r="I17" t="n">
      <v>5</v>
    </oc>
    <nc r="I17" t="n">
      <v>6</v>
    </nc>
  </rcc>
  <rcc rId="3400" ua="false" sId="18">
    <oc r="I2" t="n">
      <v>8</v>
    </oc>
    <nc r="I2" t="n">
      <v>7.9</v>
    </nc>
  </rcc>
  <rcc rId="3401" ua="false" sId="18">
    <oc r="I3" t="n">
      <v>9.2</v>
    </oc>
    <nc r="I3" t="n">
      <v>9.05</v>
    </nc>
  </rcc>
</revisions>
</file>

<file path=xl/revisions/revisionLog360.xml><?xml version="1.0" encoding="utf-8"?>
<revisions xmlns="http://schemas.openxmlformats.org/spreadsheetml/2006/main" xmlns:r="http://schemas.openxmlformats.org/officeDocument/2006/relationships">
  <rcc rId="3402" ua="false" sId="18">
    <oc r="H2" t="n">
      <v>11.5</v>
    </oc>
    <nc r="H2" t="n">
      <v>11.55</v>
    </nc>
  </rcc>
  <rcc rId="3403" ua="false" sId="18">
    <oc r="H5" t="n">
      <v>4.8</v>
    </oc>
    <nc r="H5" t="n">
      <v>4.9</v>
    </nc>
  </rcc>
</revisions>
</file>

<file path=xl/revisions/revisionLog361.xml><?xml version="1.0" encoding="utf-8"?>
<revisions xmlns="http://schemas.openxmlformats.org/spreadsheetml/2006/main" xmlns:r="http://schemas.openxmlformats.org/officeDocument/2006/relationships">
  <rcc rId="3404" ua="false" sId="19">
    <nc r="A47" t="n">
      <v>44259</v>
    </nc>
  </rcc>
  <rcc rId="3405" ua="false" sId="19">
    <nc r="B47" t="n">
      <v>29125</v>
    </nc>
  </rcc>
  <rcc rId="3406" ua="false" sId="19">
    <nc r="C47" t="n">
      <f>C46+B47</f>
    </nc>
  </rcc>
</revisions>
</file>

<file path=xl/revisions/revisionLog362.xml><?xml version="1.0" encoding="utf-8"?>
<revisions xmlns="http://schemas.openxmlformats.org/spreadsheetml/2006/main" xmlns:r="http://schemas.openxmlformats.org/officeDocument/2006/relationships">
  <rcc rId="3407" ua="false" sId="18">
    <oc r="K5" t="n">
      <v>0.6</v>
    </oc>
    <nc r="K5" t="n">
      <v>0.8</v>
    </nc>
  </rcc>
  <rcc rId="3408" ua="false" sId="18">
    <oc r="K2" t="n">
      <v>0.4</v>
    </oc>
    <nc r="K2" t="n">
      <v>0.39</v>
    </nc>
  </rcc>
</revisions>
</file>

<file path=xl/revisions/revisionLog363.xml><?xml version="1.0" encoding="utf-8"?>
<revisions xmlns="http://schemas.openxmlformats.org/spreadsheetml/2006/main" xmlns:r="http://schemas.openxmlformats.org/officeDocument/2006/relationships">
  <rcc rId="3409" ua="false" sId="18">
    <oc r="K2" t="n">
      <v>0.39</v>
    </oc>
    <nc r="K2" t="n">
      <v>0.38</v>
    </nc>
  </rcc>
  <rcc rId="3410" ua="false" sId="18">
    <oc r="K5" t="n">
      <v>0.8</v>
    </oc>
    <nc r="K5" t="n">
      <v>1</v>
    </nc>
  </rcc>
  <rcc rId="3411" ua="false" sId="18">
    <oc r="K3" t="n">
      <v>0.2</v>
    </oc>
    <nc r="K3" t="n">
      <v>0.195</v>
    </nc>
  </rcc>
</revisions>
</file>

<file path=xl/revisions/revisionLog364.xml><?xml version="1.0" encoding="utf-8"?>
<revisions xmlns="http://schemas.openxmlformats.org/spreadsheetml/2006/main" xmlns:r="http://schemas.openxmlformats.org/officeDocument/2006/relationships">
  <rcc rId="3412" ua="false" sId="18">
    <oc r="I5" t="n">
      <v>0.6</v>
    </oc>
    <nc r="I5" t="n">
      <v>0.4</v>
    </nc>
  </rcc>
  <rcc rId="3413" ua="false" sId="18">
    <oc r="I3" t="n">
      <v>8.65</v>
    </oc>
    <nc r="I3" t="n">
      <v>8.75</v>
    </nc>
  </rcc>
</revisions>
</file>

<file path=xl/revisions/revisionLog365.xml><?xml version="1.0" encoding="utf-8"?>
<revisions xmlns="http://schemas.openxmlformats.org/spreadsheetml/2006/main" xmlns:r="http://schemas.openxmlformats.org/officeDocument/2006/relationships">
  <rcc rId="3414" ua="false" sId="19">
    <oc r="B9" t="n">
      <v>0</v>
    </oc>
    <nc r="B9" t="n">
      <v>10</v>
    </nc>
  </rcc>
</revisions>
</file>

<file path=xl/revisions/revisionLog366.xml><?xml version="1.0" encoding="utf-8"?>
<revisions xmlns="http://schemas.openxmlformats.org/spreadsheetml/2006/main" xmlns:r="http://schemas.openxmlformats.org/officeDocument/2006/relationships">
  <rcc rId="3415" ua="false" sId="16">
    <oc r="D2" t="n">
      <v>0.3775</v>
    </oc>
    <nc r="D2" t="n">
      <v>0.365</v>
    </nc>
  </rcc>
  <rcc rId="3416" ua="false" sId="16">
    <oc r="C3" t="n">
      <v>0.1875</v>
    </oc>
    <nc r="C3" t="n">
      <v>0.1825</v>
    </nc>
  </rcc>
  <rcc rId="3417" ua="false" sId="16">
    <oc r="D3" t="n">
      <v>0.245</v>
    </oc>
    <nc r="D3" t="n">
      <v>0.2425</v>
    </nc>
  </rcc>
  <rcc rId="3418" ua="false" sId="16">
    <oc r="C4" t="n">
      <v>0.1975</v>
    </oc>
    <nc r="C4" t="n">
      <v>0.2</v>
    </nc>
  </rcc>
  <rcc rId="3419" ua="false" sId="16">
    <oc r="D4" t="n">
      <v>0.3575</v>
    </oc>
    <nc r="D4" t="n">
      <v>0.345</v>
    </nc>
  </rcc>
  <rcc rId="3420" ua="false" sId="16">
    <oc r="C5" t="n">
      <v>0.2025</v>
    </oc>
    <nc r="C5" t="n">
      <v>0.2125</v>
    </nc>
  </rcc>
  <rcc rId="3421" ua="false" sId="16">
    <oc r="D5" t="n">
      <v>0.4975</v>
    </oc>
    <nc r="D5" t="n">
      <v>0.4925</v>
    </nc>
  </rcc>
  <rcc rId="3422" ua="false" sId="16">
    <oc r="C6" t="n">
      <v>0.2325</v>
    </oc>
    <nc r="C6" t="n">
      <v>0.23</v>
    </nc>
  </rcc>
  <rcc rId="3423" ua="false" sId="16">
    <oc r="D6" t="n">
      <v>0.6425</v>
    </oc>
    <nc r="D6" t="n">
      <v>0.63</v>
    </nc>
  </rcc>
  <rcc rId="3424" ua="false" sId="16">
    <oc r="C7" t="n">
      <v>0.2775</v>
    </oc>
    <nc r="C7" t="n">
      <v>0.28</v>
    </nc>
  </rcc>
  <rcc rId="3425" ua="false" sId="16">
    <oc r="D7" t="n">
      <v>0.8675</v>
    </oc>
    <nc r="D7" t="n">
      <v>0.865</v>
    </nc>
  </rcc>
  <rcc rId="3426" ua="false" sId="16">
    <oc r="C8" t="n">
      <v>0.305</v>
    </oc>
    <nc r="C8" t="n">
      <v>0.3075</v>
    </nc>
  </rcc>
  <rcc rId="3427" ua="false" sId="16">
    <oc r="D8" t="n">
      <v>1.025</v>
    </oc>
    <nc r="D8" t="n">
      <v>1.0175</v>
    </nc>
  </rcc>
  <rcc rId="3428" ua="false" sId="16">
    <oc r="C9" t="n">
      <v>0.3275</v>
    </oc>
    <nc r="C9" t="n">
      <v>0.3325</v>
    </nc>
  </rcc>
  <rcc rId="3429" ua="false" sId="16">
    <oc r="D9" t="n">
      <v>1.1425</v>
    </oc>
    <nc r="D9" t="n">
      <v>1.145</v>
    </nc>
  </rcc>
  <rcc rId="3430" ua="false" sId="16">
    <oc r="D10" t="n">
      <v>1.245</v>
    </oc>
    <nc r="D10" t="n">
      <v>1.25</v>
    </nc>
  </rcc>
</revisions>
</file>

<file path=xl/revisions/revisionLog367.xml><?xml version="1.0" encoding="utf-8"?>
<revisions xmlns="http://schemas.openxmlformats.org/spreadsheetml/2006/main" xmlns:r="http://schemas.openxmlformats.org/officeDocument/2006/relationships">
  <rcc rId="3431" ua="false" sId="18">
    <oc r="I2" t="n">
      <v>6.6</v>
    </oc>
    <nc r="I2" t="n">
      <v>6.8</v>
    </nc>
  </rcc>
  <rcc rId="3432" ua="false" sId="18">
    <oc r="I5" t="n">
      <v>0.85</v>
    </oc>
    <nc r="I5" t="n">
      <v>1</v>
    </nc>
  </rcc>
  <rcc rId="3433" ua="false" sId="18">
    <oc r="I3" t="n">
      <v>8.7</v>
    </oc>
    <nc r="I3" t="n">
      <v>8.8</v>
    </nc>
  </rcc>
</revisions>
</file>

<file path=xl/revisions/revisionLog368.xml><?xml version="1.0" encoding="utf-8"?>
<revisions xmlns="http://schemas.openxmlformats.org/spreadsheetml/2006/main" xmlns:r="http://schemas.openxmlformats.org/officeDocument/2006/relationships">
  <rcc rId="3434" ua="false" sId="18">
    <oc r="G5" t="n">
      <v>2.8</v>
    </oc>
    <nc r="G5" t="n">
      <v>2.6</v>
    </nc>
  </rcc>
</revisions>
</file>

<file path=xl/revisions/revisionLog369.xml><?xml version="1.0" encoding="utf-8"?>
<revisions xmlns="http://schemas.openxmlformats.org/spreadsheetml/2006/main" xmlns:r="http://schemas.openxmlformats.org/officeDocument/2006/relationships">
  <rcc rId="3435" ua="false" sId="18">
    <oc r="G5" t="n">
      <v>0.65</v>
    </oc>
    <nc r="G5" t="n">
      <v>0.8</v>
    </nc>
  </rcc>
  <rcc rId="3436" ua="false" sId="18">
    <oc r="G3" t="n">
      <v>7.1</v>
    </oc>
    <nc r="G3" t="n">
      <v>7.05</v>
    </nc>
  </rcc>
</revisions>
</file>

<file path=xl/revisions/revisionLog370.xml><?xml version="1.0" encoding="utf-8"?>
<revisions xmlns="http://schemas.openxmlformats.org/spreadsheetml/2006/main" xmlns:r="http://schemas.openxmlformats.org/officeDocument/2006/relationships">
  <rcc rId="3437" ua="false" sId="18">
    <oc r="H3" t="n">
      <v>10.4</v>
    </oc>
    <nc r="H3" t="n">
      <v>10.39</v>
    </nc>
  </rcc>
</revisions>
</file>

<file path=xl/revisions/revisionLog371.xml><?xml version="1.0" encoding="utf-8"?>
<revisions xmlns="http://schemas.openxmlformats.org/spreadsheetml/2006/main" xmlns:r="http://schemas.openxmlformats.org/officeDocument/2006/relationships">
  <rcc rId="3438" ua="false" sId="2">
    <oc r="C2" t="n">
      <v>0.28</v>
    </oc>
    <nc r="C2" t="n">
      <v>0.29</v>
    </nc>
  </rcc>
  <rcc rId="3439" ua="false" sId="2">
    <oc r="D2" t="n">
      <v>-1.28</v>
    </oc>
    <nc r="D2" t="n">
      <v>-1.6825</v>
    </nc>
  </rcc>
  <rcc rId="3440" ua="false" sId="2">
    <oc r="C3" t="n">
      <v>0.2975</v>
    </oc>
    <nc r="C3" t="n">
      <v>0.3</v>
    </nc>
  </rcc>
  <rcc rId="3441" ua="false" sId="2">
    <oc r="D3" t="n">
      <v>-1.3675</v>
    </oc>
    <nc r="D3" t="n">
      <v>-1.75</v>
    </nc>
  </rcc>
  <rcc rId="3442" ua="false" sId="2">
    <oc r="C4" t="n">
      <v>0.3125</v>
    </oc>
    <nc r="C4" t="n">
      <v>0.325</v>
    </nc>
  </rcc>
  <rcc rId="3443" ua="false" sId="2">
    <oc r="D4" t="n">
      <v>-1.3625</v>
    </oc>
    <nc r="D4" t="n">
      <v>-1.745</v>
    </nc>
  </rcc>
  <rcc rId="3444" ua="false" sId="2">
    <oc r="C5" t="n">
      <v>0.325</v>
    </oc>
    <nc r="C5" t="n">
      <v>0.3275</v>
    </nc>
  </rcc>
  <rcc rId="3445" ua="false" sId="2">
    <oc r="D5" t="n">
      <v>-1.405</v>
    </oc>
    <nc r="D5" t="n">
      <v>-1.72</v>
    </nc>
  </rcc>
  <rcc rId="3446" ua="false" sId="2">
    <oc r="C6" t="n">
      <v>0.36</v>
    </oc>
    <nc r="C6" t="n">
      <v>0.3625</v>
    </nc>
  </rcc>
  <rcc rId="3447" ua="false" sId="2">
    <oc r="D6" t="n">
      <v>-1.4675</v>
    </oc>
    <nc r="D6" t="n">
      <v>-1.7575</v>
    </nc>
  </rcc>
  <rcc rId="3448" ua="false" sId="2">
    <oc r="C7" t="n">
      <v>0.3925</v>
    </oc>
    <nc r="C7" t="n">
      <v>0.39</v>
    </nc>
  </rcc>
  <rcc rId="3449" ua="false" sId="2">
    <oc r="D7" t="n">
      <v>-1.6025</v>
    </oc>
    <nc r="D7" t="n">
      <v>-1.86</v>
    </nc>
  </rcc>
  <rcc rId="3450" ua="false" sId="2">
    <oc r="D8" t="n">
      <v>-1.695</v>
    </oc>
    <nc r="D8" t="n">
      <v>-1.8825</v>
    </nc>
  </rcc>
  <rcc rId="3451" ua="false" sId="2">
    <oc r="C9" t="n">
      <v>0.44</v>
    </oc>
    <nc r="C9" t="n">
      <v>0.435</v>
    </nc>
  </rcc>
  <rcc rId="3452" ua="false" sId="2">
    <oc r="D9" t="n">
      <v>-1.7425</v>
    </oc>
    <nc r="D9" t="n">
      <v>-1.885</v>
    </nc>
  </rcc>
  <rcc rId="3453" ua="false" sId="2">
    <oc r="C10" t="n">
      <v>0.455</v>
    </oc>
    <nc r="C10" t="n">
      <v>0.4425</v>
    </nc>
  </rcc>
  <rcc rId="3454" ua="false" sId="2">
    <oc r="D10" t="n">
      <v>-1.775</v>
    </oc>
    <nc r="D10" t="n">
      <v>-1.9225</v>
    </nc>
  </rcc>
  <rcc rId="3455" ua="false" sId="2">
    <oc r="C11" t="n">
      <v>0.4125</v>
    </oc>
    <nc r="C11" t="n">
      <v>0.4175</v>
    </nc>
  </rcc>
  <rcc rId="3456" ua="false" sId="2">
    <oc r="D11" t="n">
      <v>-1.865</v>
    </oc>
    <nc r="D11" t="n">
      <v>-1.9725</v>
    </nc>
  </rcc>
  <rcc rId="3457" ua="false" sId="3">
    <oc r="C2" t="n">
      <v>0.18</v>
    </oc>
    <nc r="C2" t="n">
      <v>0.2</v>
    </nc>
  </rcc>
  <rcc rId="3458" ua="false" sId="3">
    <oc r="D2" t="n">
      <v>-0.4075</v>
    </oc>
    <nc r="D2" t="n">
      <v>-0.535</v>
    </nc>
  </rcc>
  <rcc rId="3459" ua="false" sId="3">
    <oc r="C3" t="n">
      <v>0.1925</v>
    </oc>
    <nc r="C3" t="n">
      <v>0.2025</v>
    </nc>
  </rcc>
  <rcc rId="3460" ua="false" sId="3">
    <oc r="D3" t="n">
      <v>-0.465</v>
    </oc>
    <nc r="D3" t="n">
      <v>-0.605</v>
    </nc>
  </rcc>
  <rcc rId="3461" ua="false" sId="3">
    <oc r="C4" t="n">
      <v>0.2</v>
    </oc>
    <nc r="C4" t="n">
      <v>0.215</v>
    </nc>
  </rcc>
  <rcc rId="3462" ua="false" sId="3">
    <oc r="D4" t="n">
      <v>-0.665</v>
    </oc>
    <nc r="D4" t="n">
      <v>-0.745</v>
    </nc>
  </rcc>
  <rcc rId="3463" ua="false" sId="3">
    <oc r="C5" t="n">
      <v>0.2225</v>
    </oc>
    <nc r="C5" t="n">
      <v>0.235</v>
    </nc>
  </rcc>
  <rcc rId="3464" ua="false" sId="3">
    <oc r="D5" t="n">
      <v>-0.61</v>
    </oc>
    <nc r="D5" t="n">
      <v>-0.675</v>
    </nc>
  </rcc>
  <rcc rId="3465" ua="false" sId="3">
    <oc r="C6" t="n">
      <v>0.26</v>
    </oc>
    <nc r="C6" t="n">
      <v>0.27</v>
    </nc>
  </rcc>
  <rcc rId="3466" ua="false" sId="3">
    <oc r="D6" t="n">
      <v>-0.7875</v>
    </oc>
    <nc r="D6" t="n">
      <v>-0.86</v>
    </nc>
  </rcc>
  <rcc rId="3467" ua="false" sId="3">
    <oc r="C7" t="n">
      <v>0.2975</v>
    </oc>
    <nc r="C7" t="n">
      <v>0.31</v>
    </nc>
  </rcc>
  <rcc rId="3468" ua="false" sId="3">
    <oc r="D7" t="n">
      <v>-0.84</v>
    </oc>
    <nc r="D7" t="n">
      <v>-0.935</v>
    </nc>
  </rcc>
  <rcc rId="3469" ua="false" sId="3">
    <oc r="C8" t="n">
      <v>0.365</v>
    </oc>
    <nc r="C8" t="n">
      <v>0.38</v>
    </nc>
  </rcc>
  <rcc rId="3470" ua="false" sId="3">
    <oc r="D8" t="n">
      <v>-0.99</v>
    </oc>
    <nc r="D8" t="n">
      <v>-1.055</v>
    </nc>
  </rcc>
  <rcc rId="3471" ua="false" sId="3">
    <oc r="C9" t="n">
      <v>0.4025</v>
    </oc>
    <nc r="C9" t="n">
      <v>0.42</v>
    </nc>
  </rcc>
  <rcc rId="3472" ua="false" sId="3">
    <oc r="D9" t="n">
      <v>-1.09</v>
    </oc>
    <nc r="D9" t="n">
      <v>-1.13</v>
    </nc>
  </rcc>
  <rcc rId="3473" ua="false" sId="3">
    <oc r="C10" t="n">
      <v>0.4175</v>
    </oc>
    <nc r="C10" t="n">
      <v>0.44</v>
    </nc>
  </rcc>
  <rcc rId="3474" ua="false" sId="3">
    <oc r="D10" t="n">
      <v>-1.085</v>
    </oc>
    <nc r="D10" t="n">
      <v>-1.19</v>
    </nc>
  </rcc>
  <rcc rId="3475" ua="false" sId="3">
    <oc r="C11" t="n">
      <v>0.43</v>
    </oc>
    <nc r="C11" t="n">
      <v>0.445</v>
    </nc>
  </rcc>
  <rcc rId="3476" ua="false" sId="3">
    <oc r="D11" t="n">
      <v>-1.2</v>
    </oc>
    <nc r="D11" t="n">
      <v>-1.23</v>
    </nc>
  </rcc>
  <rcc rId="3477" ua="false" sId="4">
    <oc r="C2" t="n">
      <v>0.2125</v>
    </oc>
    <nc r="C2" t="n">
      <v>0.225</v>
    </nc>
  </rcc>
  <rcc rId="3478" ua="false" sId="4">
    <oc r="D2" t="n">
      <v>0.595</v>
    </oc>
    <nc r="D2" t="n">
      <v>0.8775</v>
    </nc>
  </rcc>
  <rcc rId="3479" ua="false" sId="4">
    <oc r="C3" t="n">
      <v>0.215</v>
    </oc>
    <nc r="C3" t="n">
      <v>0.225</v>
    </nc>
  </rcc>
  <rcc rId="3480" ua="false" sId="4">
    <oc r="D3" t="n">
      <v>0.59</v>
    </oc>
    <nc r="D3" t="n">
      <v>0.8675</v>
    </nc>
  </rcc>
  <rcc rId="3481" ua="false" sId="4">
    <oc r="C4" t="n">
      <v>0.225</v>
    </oc>
    <nc r="C4" t="n">
      <v>0.2325</v>
    </nc>
  </rcc>
  <rcc rId="3482" ua="false" sId="4">
    <oc r="D4" t="n">
      <v>0.5875</v>
    </oc>
    <nc r="D4" t="n">
      <v>0.825</v>
    </nc>
  </rcc>
  <rcc rId="3483" ua="false" sId="4">
    <oc r="C5" t="n">
      <v>0.2325</v>
    </oc>
    <nc r="C5" t="n">
      <v>0.2375</v>
    </nc>
  </rcc>
  <rcc rId="3484" ua="false" sId="4">
    <oc r="D5" t="n">
      <v>0.6125</v>
    </oc>
    <nc r="D5" t="n">
      <v>0.8125</v>
    </nc>
  </rcc>
  <rcc rId="3485" ua="false" sId="4">
    <oc r="C6" t="n">
      <v>0.2625</v>
    </oc>
    <nc r="C6" t="n">
      <v>0.2675</v>
    </nc>
  </rcc>
  <rcc rId="3486" ua="false" sId="4">
    <oc r="D6" t="n">
      <v>0.635</v>
    </oc>
    <nc r="D6" t="n">
      <v>0.795</v>
    </nc>
  </rcc>
  <rcc rId="3487" ua="false" sId="4">
    <oc r="C7" t="n">
      <v>0.2925</v>
    </oc>
    <nc r="C7" t="n">
      <v>0.2975</v>
    </nc>
  </rcc>
  <rcc rId="3488" ua="false" sId="4">
    <oc r="D7" t="n">
      <v>0.67</v>
    </oc>
    <nc r="D7" t="n">
      <v>0.7825</v>
    </nc>
  </rcc>
  <rcc rId="3489" ua="false" sId="4">
    <oc r="C8" t="n">
      <v>0.3375</v>
    </oc>
    <nc r="C8" t="n">
      <v>0.3475</v>
    </nc>
  </rcc>
  <rcc rId="3490" ua="false" sId="4">
    <oc r="D8" t="n">
      <v>0.6975</v>
    </oc>
    <nc r="D8" t="n">
      <v>0.75</v>
    </nc>
  </rcc>
  <rcc rId="3491" ua="false" sId="4">
    <oc r="C9" t="n">
      <v>0.4</v>
    </oc>
    <nc r="C9" t="n">
      <v>0.4025</v>
    </nc>
  </rcc>
  <rcc rId="3492" ua="false" sId="4">
    <oc r="D9" t="n">
      <v>0.735</v>
    </oc>
    <nc r="D9" t="n">
      <v>0.7425</v>
    </nc>
  </rcc>
  <rcc rId="3493" ua="false" sId="4">
    <oc r="C10" t="n">
      <v>0.395</v>
    </oc>
    <nc r="C10" t="n">
      <v>0.405</v>
    </nc>
  </rcc>
  <rcc rId="3494" ua="false" sId="4">
    <oc r="D10" t="n">
      <v>0.67</v>
    </oc>
    <nc r="D10" t="n">
      <v>0.65</v>
    </nc>
  </rcc>
  <rcc rId="3495" ua="false" sId="4">
    <oc r="D11" t="n">
      <v>0.69</v>
    </oc>
    <nc r="D11" t="n">
      <v>0.66</v>
    </nc>
  </rcc>
  <rcc rId="3496" ua="false" sId="5">
    <oc r="C2" t="n">
      <v>0.135</v>
    </oc>
    <nc r="C2" t="n">
      <v>0.14</v>
    </nc>
  </rcc>
  <rcc rId="3497" ua="false" sId="5">
    <oc r="D2" t="n">
      <v>0.34</v>
    </oc>
    <nc r="D2" t="n">
      <v>0.375</v>
    </nc>
  </rcc>
  <rcc rId="3498" ua="false" sId="5">
    <oc r="C3" t="n">
      <v>0.15</v>
    </oc>
    <nc r="C3" t="n">
      <v>0.1475</v>
    </nc>
  </rcc>
  <rcc rId="3499" ua="false" sId="5">
    <oc r="D3" t="n">
      <v>0.41</v>
    </oc>
    <nc r="D3" t="n">
      <v>0.455</v>
    </nc>
  </rcc>
  <rcc rId="3500" ua="false" sId="5">
    <oc r="C4" t="n">
      <v>0.165</v>
    </oc>
    <nc r="C4" t="n">
      <v>0.17</v>
    </nc>
  </rcc>
  <rcc rId="3501" ua="false" sId="5">
    <oc r="D4" t="n">
      <v>0.5225</v>
    </oc>
    <nc r="D4" t="n">
      <v>0.52</v>
    </nc>
  </rcc>
  <rcc rId="3502" ua="false" sId="5">
    <oc r="C5" t="n">
      <v>0.1675</v>
    </oc>
    <nc r="C5" t="n">
      <v>0.165</v>
    </nc>
  </rcc>
  <rcc rId="3503" ua="false" sId="5">
    <oc r="D5" t="n">
      <v>0.52</v>
    </oc>
    <nc r="D5" t="n">
      <v>0.555</v>
    </nc>
  </rcc>
  <rcc rId="3504" ua="false" sId="5">
    <oc r="C6" t="n">
      <v>0.1875</v>
    </oc>
    <nc r="C6" t="n">
      <v>0.185</v>
    </nc>
  </rcc>
  <rcc rId="3505" ua="false" sId="5">
    <oc r="D6" t="n">
      <v>0.6525</v>
    </oc>
    <nc r="D6" t="n">
      <v>0.66</v>
    </nc>
  </rcc>
  <rcc rId="3506" ua="false" sId="5">
    <oc r="C7" t="n">
      <v>0.2225</v>
    </oc>
    <nc r="C7" t="n">
      <v>0.22</v>
    </nc>
  </rcc>
  <rcc rId="3507" ua="false" sId="5">
    <oc r="D7" t="n">
      <v>0.72</v>
    </oc>
    <nc r="D7" t="n">
      <v>0.74</v>
    </nc>
  </rcc>
  <rcc rId="3508" ua="false" sId="5">
    <oc r="C8" t="n">
      <v>0.28</v>
    </oc>
    <nc r="C8" t="n">
      <v>0.2775</v>
    </nc>
  </rcc>
  <rcc rId="3509" ua="false" sId="5">
    <oc r="D8" t="n">
      <v>0.825</v>
    </oc>
    <nc r="D8" t="n">
      <v>0.8525</v>
    </nc>
  </rcc>
  <rcc rId="3510" ua="false" sId="5">
    <oc r="D9" t="n">
      <v>0.875</v>
    </oc>
    <nc r="D9" t="n">
      <v>0.9075</v>
    </nc>
  </rcc>
  <rcc rId="3511" ua="false" sId="5">
    <oc r="D10" t="n">
      <v>0.9375</v>
    </oc>
    <nc r="D10" t="n">
      <v>0.9675</v>
    </nc>
  </rcc>
  <rcc rId="3512" ua="false" sId="5">
    <oc r="D11" t="n">
      <v>0.9175</v>
    </oc>
    <nc r="D11" t="n">
      <v>0.9375</v>
    </nc>
  </rcc>
  <rcc rId="3513" ua="false" sId="10">
    <oc r="C2" t="n">
      <v>0.145</v>
    </oc>
    <nc r="C2" t="n">
      <v>0.1325</v>
    </nc>
  </rcc>
  <rcc rId="3514" ua="false" sId="10">
    <oc r="D2" t="n">
      <v>0.155</v>
    </oc>
    <nc r="D2" t="n">
      <v>0.01</v>
    </nc>
  </rcc>
  <rcc rId="3515" ua="false" sId="10">
    <oc r="C3" t="n">
      <v>0.135</v>
    </oc>
    <nc r="C3" t="n">
      <v>0.1425</v>
    </nc>
  </rcc>
  <rcc rId="3516" ua="false" sId="10">
    <oc r="D3" t="n">
      <v>0.175</v>
    </oc>
    <nc r="D3" t="n">
      <v>0.07</v>
    </nc>
  </rcc>
  <rcc rId="3517" ua="false" sId="10">
    <oc r="D4" t="n">
      <v>0.2875</v>
    </oc>
    <nc r="D4" t="n">
      <v>0.21</v>
    </nc>
  </rcc>
  <rcc rId="3518" ua="false" sId="10">
    <oc r="C5" t="n">
      <v>0.1825</v>
    </oc>
    <nc r="C5" t="n">
      <v>0.18</v>
    </nc>
  </rcc>
  <rcc rId="3519" ua="false" sId="10">
    <oc r="D5" t="n">
      <v>0.4</v>
    </oc>
    <nc r="D5" t="n">
      <v>0.31</v>
    </nc>
  </rcc>
  <rcc rId="3520" ua="false" sId="10">
    <oc r="C6" t="n">
      <v>0.225</v>
    </oc>
    <nc r="C6" t="n">
      <v>0.2225</v>
    </nc>
  </rcc>
  <rcc rId="3521" ua="false" sId="10">
    <oc r="D6" t="n">
      <v>0.5025</v>
    </oc>
    <nc r="D6" t="n">
      <v>0.4125</v>
    </nc>
  </rcc>
  <rcc rId="3522" ua="false" sId="10">
    <oc r="D7" t="n">
      <v>0.69</v>
    </oc>
    <nc r="D7" t="n">
      <v>0.6125</v>
    </nc>
  </rcc>
  <rcc rId="3523" ua="false" sId="10">
    <oc r="C8" t="n">
      <v>0.26</v>
    </oc>
    <nc r="C8" t="n">
      <v>0.3025</v>
    </nc>
  </rcc>
  <rcc rId="3524" ua="false" sId="10">
    <oc r="D8" t="n">
      <v>0.5575</v>
    </oc>
    <nc r="D8" t="n">
      <v>0.4575</v>
    </nc>
  </rcc>
  <rcc rId="3525" ua="false" sId="10">
    <oc r="C9" t="n">
      <v>0.33</v>
    </oc>
    <nc r="C9" t="n">
      <v>0.3275</v>
    </nc>
  </rcc>
  <rcc rId="3526" ua="false" sId="10">
    <oc r="D9" t="n">
      <v>0.9525</v>
    </oc>
    <nc r="D9" t="n">
      <v>0.8775</v>
    </nc>
  </rcc>
  <rcc rId="3527" ua="false" sId="10">
    <oc r="C10" t="n">
      <v>0.36</v>
    </oc>
    <nc r="C10" t="n">
      <v>0.3625</v>
    </nc>
  </rcc>
  <rcc rId="3528" ua="false" sId="10">
    <oc r="D10" t="n">
      <v>1.0575</v>
    </oc>
    <nc r="D10" t="n">
      <v>1.09</v>
    </nc>
  </rcc>
  <rcc rId="3529" ua="false" sId="11">
    <oc r="C2" t="n">
      <v>0.26</v>
    </oc>
    <nc r="C2" t="n">
      <v>0.3025</v>
    </nc>
  </rcc>
  <rcc rId="3530" ua="false" sId="11">
    <oc r="D2" t="n">
      <v>-1.23</v>
    </oc>
    <nc r="D2" t="n">
      <v>-1.51</v>
    </nc>
  </rcc>
  <rcc rId="3531" ua="false" sId="11">
    <oc r="C3" t="n">
      <v>0.275</v>
    </oc>
    <nc r="C3" t="n">
      <v>0.3125</v>
    </nc>
  </rcc>
  <rcc rId="3532" ua="false" sId="11">
    <oc r="D3" t="n">
      <v>-1.385</v>
    </oc>
    <nc r="D3" t="n">
      <v>-1.6975</v>
    </nc>
  </rcc>
  <rcc rId="3533" ua="false" sId="11">
    <oc r="C4" t="n">
      <v>0.3475</v>
    </oc>
    <nc r="C4" t="n">
      <v>0.36</v>
    </nc>
  </rcc>
  <rcc rId="3534" ua="false" sId="11">
    <oc r="D4" t="n">
      <v>-1.425</v>
    </oc>
    <nc r="D4" t="n">
      <v>-1.62</v>
    </nc>
  </rcc>
  <rcc rId="3535" ua="false" sId="11">
    <oc r="C5" t="n">
      <v>0.3025</v>
    </oc>
    <nc r="C5" t="n">
      <v>0.335</v>
    </nc>
  </rcc>
  <rcc rId="3536" ua="false" sId="11">
    <oc r="D5" t="n">
      <v>-1.685</v>
    </oc>
    <nc r="D5" t="n">
      <v>-1.945</v>
    </nc>
  </rcc>
  <rcc rId="3537" ua="false" sId="11">
    <oc r="C6" t="n">
      <v>0.3675</v>
    </oc>
    <nc r="C6" t="n">
      <v>0.3925</v>
    </nc>
  </rcc>
  <rcc rId="3538" ua="false" sId="11">
    <oc r="D6" t="n">
      <v>-2.095</v>
    </oc>
    <nc r="D6" t="n">
      <v>-2.2825</v>
    </nc>
  </rcc>
  <rcc rId="3539" ua="false" sId="11">
    <oc r="C7" t="n">
      <v>0.4075</v>
    </oc>
    <nc r="C7" t="n">
      <v>0.435</v>
    </nc>
  </rcc>
  <rcc rId="3540" ua="false" sId="11">
    <oc r="D7" t="n">
      <v>-2.3725</v>
    </oc>
    <nc r="D7" t="n">
      <v>-2.5575</v>
    </nc>
  </rcc>
  <rcc rId="3541" ua="false" sId="11">
    <oc r="C8" t="n">
      <v>0.475</v>
    </oc>
    <nc r="C8" t="n">
      <v>0.5075</v>
    </nc>
  </rcc>
  <rcc rId="3542" ua="false" sId="11">
    <oc r="D8" t="n">
      <v>-2.76</v>
    </oc>
    <nc r="D8" t="n">
      <v>-2.895</v>
    </nc>
  </rcc>
  <rcc rId="3543" ua="false" sId="11">
    <oc r="C9" t="n">
      <v>0.5125</v>
    </oc>
    <nc r="C9" t="n">
      <v>0.5375</v>
    </nc>
  </rcc>
  <rcc rId="3544" ua="false" sId="11">
    <oc r="D9" t="n">
      <v>-2.92</v>
    </oc>
    <nc r="D9" t="n">
      <v>-3.03</v>
    </nc>
  </rcc>
  <rcc rId="3545" ua="false" sId="11">
    <oc r="C10" t="n">
      <v>0.53</v>
    </oc>
    <nc r="C10" t="n">
      <v>0.56</v>
    </nc>
  </rcc>
  <rcc rId="3546" ua="false" sId="11">
    <oc r="D10" t="n">
      <v>-3.06</v>
    </oc>
    <nc r="D10" t="n">
      <v>-3.14</v>
    </nc>
  </rcc>
  <rcc rId="3547" ua="false" sId="11">
    <oc r="C11" t="n">
      <v>0.52</v>
    </oc>
    <nc r="C11" t="n">
      <v>0.495</v>
    </nc>
  </rcc>
  <rcc rId="3548" ua="false" sId="11">
    <oc r="D11" t="n">
      <v>-3.4225</v>
    </oc>
    <nc r="D11" t="n">
      <v>-3.54</v>
    </nc>
  </rcc>
  <rcc rId="3549" ua="false" sId="12">
    <oc r="C2" t="n">
      <v>0.21</v>
    </oc>
    <nc r="C2" t="n">
      <v>0.205</v>
    </nc>
  </rcc>
  <rcc rId="3550" ua="false" sId="12">
    <oc r="D2" t="n">
      <v>-0.26</v>
    </oc>
    <nc r="D2" t="n">
      <v>-0.4675</v>
    </nc>
  </rcc>
  <rcc rId="3551" ua="false" sId="12">
    <oc r="C3" t="n">
      <v>0.215</v>
    </oc>
    <nc r="C3" t="n">
      <v>0.2125</v>
    </nc>
  </rcc>
  <rcc rId="3552" ua="false" sId="12">
    <oc r="D3" t="n">
      <v>-0.33</v>
    </oc>
    <nc r="D3" t="n">
      <v>-0.4925</v>
    </nc>
  </rcc>
  <rcc rId="3553" ua="false" sId="12">
    <oc r="C4" t="n">
      <v>0.205</v>
    </oc>
    <nc r="C4" t="n">
      <v>0.215</v>
    </nc>
  </rcc>
  <rcc rId="3554" ua="false" sId="12">
    <oc r="D4" t="n">
      <v>-0.445</v>
    </oc>
    <nc r="D4" t="n">
      <v>-0.48</v>
    </nc>
  </rcc>
  <rcc rId="3555" ua="false" sId="12">
    <oc r="C5" t="n">
      <v>0.25</v>
    </oc>
    <nc r="C5" t="n">
      <v>0.2425</v>
    </nc>
  </rcc>
  <rcc rId="3556" ua="false" sId="12">
    <oc r="D5" t="n">
      <v>-0.44</v>
    </oc>
    <nc r="D5" t="n">
      <v>-0.5375</v>
    </nc>
  </rcc>
  <rcc rId="3557" ua="false" sId="12">
    <oc r="C6" t="n">
      <v>0.275</v>
    </oc>
    <nc r="C6" t="n">
      <v>0.2675</v>
    </nc>
  </rcc>
  <rcc rId="3558" ua="false" sId="12">
    <oc r="D6" t="n">
      <v>-0.66</v>
    </oc>
    <nc r="D6" t="n">
      <v>-0.715</v>
    </nc>
  </rcc>
  <rcc rId="3559" ua="false" sId="12">
    <oc r="D7" t="n">
      <v>-0.84</v>
    </oc>
    <nc r="D7" t="n">
      <v>-0.905</v>
    </nc>
  </rcc>
  <rcc rId="3560" ua="false" sId="12">
    <oc r="C8" t="n">
      <v>0.37</v>
    </oc>
    <nc r="C8" t="n">
      <v>0.3625</v>
    </nc>
  </rcc>
  <rcc rId="3561" ua="false" sId="12">
    <oc r="D8" t="n">
      <v>-1.035</v>
    </oc>
    <nc r="D8" t="n">
      <v>-1.09</v>
    </nc>
  </rcc>
  <rcc rId="3562" ua="false" sId="12">
    <oc r="C9" t="n">
      <v>0.405</v>
    </oc>
    <nc r="C9" t="n">
      <v>0.395</v>
    </nc>
  </rcc>
  <rcc rId="3563" ua="false" sId="12">
    <oc r="D9" t="n">
      <v>-1.28</v>
    </oc>
    <nc r="D9" t="n">
      <v>-1.32</v>
    </nc>
  </rcc>
  <rcc rId="3564" ua="false" sId="12">
    <oc r="C10" t="n">
      <v>0.415</v>
    </oc>
    <nc r="C10" t="n">
      <v>0.4125</v>
    </nc>
  </rcc>
  <rcc rId="3565" ua="false" sId="12">
    <oc r="D10" t="n">
      <v>-1.405</v>
    </oc>
    <nc r="D10" t="n">
      <v>-1.435</v>
    </nc>
  </rcc>
  <rcc rId="3566" ua="false" sId="12">
    <oc r="C11" t="n">
      <v>0.445</v>
    </oc>
    <nc r="C11" t="n">
      <v>0.45</v>
    </nc>
  </rcc>
  <rcc rId="3567" ua="false" sId="12">
    <oc r="D11" t="n">
      <v>-1.6625</v>
    </oc>
    <nc r="D11" t="n">
      <v>-1.72</v>
    </nc>
  </rcc>
  <rcc rId="3568" ua="false" sId="13">
    <oc r="C2" t="n">
      <v>0.135</v>
    </oc>
    <nc r="C2" t="n">
      <v>0.1575</v>
    </nc>
  </rcc>
  <rcc rId="3569" ua="false" sId="13">
    <oc r="D2" t="n">
      <v>-0.0125</v>
    </oc>
    <nc r="D2" t="n">
      <v>-0.2925</v>
    </nc>
  </rcc>
  <rcc rId="3570" ua="false" sId="13">
    <oc r="C3" t="n">
      <v>0.145</v>
    </oc>
    <nc r="C3" t="n">
      <v>0.1575</v>
    </nc>
  </rcc>
  <rcc rId="3571" ua="false" sId="13">
    <oc r="D3" t="n">
      <v>-0.02</v>
    </oc>
    <nc r="D3" t="n">
      <v>-0.2525</v>
    </nc>
  </rcc>
  <rcc rId="3572" ua="false" sId="13">
    <oc r="C4" t="n">
      <v>0.175</v>
    </oc>
    <nc r="C4" t="n">
      <v>0.19</v>
    </nc>
  </rcc>
  <rcc rId="3573" ua="false" sId="13">
    <oc r="D4" t="n">
      <v>-0.02</v>
    </oc>
    <nc r="D4" t="n">
      <v>-0.305</v>
    </nc>
  </rcc>
  <rcc rId="3574" ua="false" sId="13">
    <oc r="C5" t="n">
      <v>0.1575</v>
    </oc>
    <nc r="C5" t="n">
      <v>0.165</v>
    </nc>
  </rcc>
  <rcc rId="3575" ua="false" sId="13">
    <oc r="D5" t="n">
      <v>-0.01</v>
    </oc>
    <nc r="D5" t="n">
      <v>-0.2</v>
    </nc>
  </rcc>
  <rcc rId="3576" ua="false" sId="13">
    <oc r="C6" t="n">
      <v>0.18</v>
    </oc>
    <nc r="C6" t="n">
      <v>0.19</v>
    </nc>
  </rcc>
  <rcc rId="3577" ua="false" sId="13">
    <oc r="D6" t="n">
      <v>0.005</v>
    </oc>
    <nc r="D6" t="n">
      <v>-0.12</v>
    </nc>
  </rcc>
  <rcc rId="3578" ua="false" sId="13">
    <oc r="C7" t="n">
      <v>0.2075</v>
    </oc>
    <nc r="C7" t="n">
      <v>0.215</v>
    </nc>
  </rcc>
  <rcc rId="3579" ua="false" sId="13">
    <oc r="D7" t="n">
      <v>0.0275</v>
    </oc>
    <nc r="D7" t="n">
      <v>-0.0725</v>
    </nc>
  </rcc>
  <rcc rId="3580" ua="false" sId="13">
    <oc r="C8" t="n">
      <v>0.2625</v>
    </oc>
    <nc r="C8" t="n">
      <v>0.275</v>
    </nc>
  </rcc>
  <rcc rId="3581" ua="false" sId="13">
    <oc r="D8" t="n">
      <v>0.05</v>
    </oc>
    <nc r="D8" t="n">
      <v>0.0125</v>
    </nc>
  </rcc>
  <rcc rId="3582" ua="false" sId="13">
    <oc r="C9" t="n">
      <v>0.295</v>
    </oc>
    <nc r="C9" t="n">
      <v>0.305</v>
    </nc>
  </rcc>
  <rcc rId="3583" ua="false" sId="13">
    <oc r="D9" t="n">
      <v>0.08</v>
    </oc>
    <nc r="D9" t="n">
      <v>0.06</v>
    </nc>
  </rcc>
  <rcc rId="3584" ua="false" sId="13">
    <oc r="C10" t="n">
      <v>0.3125</v>
    </oc>
    <nc r="C10" t="n">
      <v>0.3275</v>
    </nc>
  </rcc>
  <rcc rId="3585" ua="false" sId="13">
    <oc r="D10" t="n">
      <v>0.0975</v>
    </oc>
    <nc r="D10" t="n">
      <v>0.08</v>
    </nc>
  </rcc>
  <rcc rId="3586" ua="false" sId="13">
    <oc r="D11" t="n">
      <v>-0.005</v>
    </oc>
    <nc r="D11" t="n">
      <v>-0.035</v>
    </nc>
  </rcc>
  <rcc rId="3587" ua="false" sId="14">
    <oc r="C2" t="n">
      <v>0.2925</v>
    </oc>
    <nc r="C2" t="n">
      <v>0.3</v>
    </nc>
  </rcc>
  <rcc rId="3588" ua="false" sId="14">
    <oc r="D2" t="n">
      <v>-1.4125</v>
    </oc>
    <nc r="D2" t="n">
      <v>-1.62</v>
    </nc>
  </rcc>
  <rcc rId="3589" ua="false" sId="14">
    <oc r="C3" t="n">
      <v>0.3125</v>
    </oc>
    <nc r="C3" t="n">
      <v>0.3325</v>
    </nc>
  </rcc>
  <rcc rId="3590" ua="false" sId="14">
    <oc r="D3" t="n">
      <v>-1.4775</v>
    </oc>
    <nc r="D3" t="n">
      <v>-1.7325</v>
    </nc>
  </rcc>
  <rcc rId="3591" ua="false" sId="14">
    <oc r="C4" t="n">
      <v>0.335</v>
    </oc>
    <nc r="C4" t="n">
      <v>0.37</v>
    </nc>
  </rcc>
  <rcc rId="3592" ua="false" sId="14">
    <oc r="D4" t="n">
      <v>-1.555</v>
    </oc>
    <nc r="D4" t="n">
      <v>-1.855</v>
    </nc>
  </rcc>
  <rcc rId="3593" ua="false" sId="14">
    <oc r="C5" t="n">
      <v>0.355</v>
    </oc>
    <nc r="C5" t="n">
      <v>0.385</v>
    </nc>
  </rcc>
  <rcc rId="3594" ua="false" sId="14">
    <oc r="D5" t="n">
      <v>-1.575</v>
    </oc>
    <nc r="D5" t="n">
      <v>-1.84</v>
    </nc>
  </rcc>
  <rcc rId="3595" ua="false" sId="14">
    <oc r="C6" t="n">
      <v>0.38</v>
    </oc>
    <nc r="C6" t="n">
      <v>0.405</v>
    </nc>
  </rcc>
  <rcc rId="3596" ua="false" sId="14">
    <oc r="D6" t="n">
      <v>-1.665</v>
    </oc>
    <nc r="D6" t="n">
      <v>-1.905</v>
    </nc>
  </rcc>
  <rcc rId="3597" ua="false" sId="14">
    <oc r="C7" t="n">
      <v>0.4075</v>
    </oc>
    <nc r="C7" t="n">
      <v>0.4375</v>
    </nc>
  </rcc>
  <rcc rId="3598" ua="false" sId="14">
    <oc r="D7" t="n">
      <v>-1.7425</v>
    </oc>
    <nc r="D7" t="n">
      <v>-1.9375</v>
    </nc>
  </rcc>
  <rcc rId="3599" ua="false" sId="14">
    <oc r="C8" t="n">
      <v>0.4325</v>
    </oc>
    <nc r="C8" t="n">
      <v>0.4575</v>
    </nc>
  </rcc>
  <rcc rId="3600" ua="false" sId="14">
    <oc r="D8" t="n">
      <v>-1.7975</v>
    </oc>
    <nc r="D8" t="n">
      <v>-1.9775</v>
    </nc>
  </rcc>
  <rcc rId="3601" ua="false" sId="14">
    <oc r="C9" t="n">
      <v>0.4525</v>
    </oc>
    <nc r="C9" t="n">
      <v>0.4775</v>
    </nc>
  </rcc>
  <rcc rId="3602" ua="false" sId="14">
    <oc r="D9" t="n">
      <v>-1.8125</v>
    </oc>
    <nc r="D9" t="n">
      <v>-1.9775</v>
    </nc>
  </rcc>
  <rcc rId="3603" ua="false" sId="14">
    <oc r="C10" t="n">
      <v>0.455</v>
    </oc>
    <nc r="C10" t="n">
      <v>0.485</v>
    </nc>
  </rcc>
  <rcc rId="3604" ua="false" sId="14">
    <oc r="D10" t="n">
      <v>-1.85</v>
    </oc>
    <nc r="D10" t="n">
      <v>-2.025</v>
    </nc>
  </rcc>
  <rcc rId="3605" ua="false" sId="14">
    <oc r="C11" t="n">
      <v>0.485</v>
    </oc>
    <nc r="C11" t="n">
      <v>0.4975</v>
    </nc>
  </rcc>
  <rcc rId="3606" ua="false" sId="14">
    <oc r="D11" t="n">
      <v>-1.9975</v>
    </oc>
    <nc r="D11" t="n">
      <v>-2.1025</v>
    </nc>
  </rcc>
  <rcc rId="3607" ua="false" sId="15">
    <oc r="C2" t="n">
      <v>0.2</v>
    </oc>
    <nc r="C2" t="n">
      <v>0.2225</v>
    </nc>
  </rcc>
  <rcc rId="3608" ua="false" sId="15">
    <oc r="D2" t="n">
      <v>-0.045</v>
    </oc>
    <nc r="D2" t="n">
      <v>0.14</v>
    </nc>
  </rcc>
  <rcc rId="3609" ua="false" sId="15">
    <oc r="C3" t="n">
      <v>0.21</v>
    </oc>
    <nc r="C3" t="n">
      <v>0.23</v>
    </nc>
  </rcc>
  <rcc rId="3610" ua="false" sId="15">
    <oc r="D3" t="n">
      <v>-0.11</v>
    </oc>
    <nc r="D3" t="n">
      <v>0.1</v>
    </nc>
  </rcc>
  <rcc rId="3611" ua="false" sId="15">
    <oc r="C4" t="n">
      <v>0.2425</v>
    </oc>
    <nc r="C4" t="n">
      <v>0.275</v>
    </nc>
  </rcc>
  <rcc rId="3612" ua="false" sId="15">
    <oc r="D4" t="n">
      <v>-0.1225</v>
    </oc>
    <nc r="D4" t="n">
      <v>0.1125</v>
    </nc>
  </rcc>
  <rcc rId="3613" ua="false" sId="15">
    <oc r="C5" t="n">
      <v>0.2225</v>
    </oc>
    <nc r="C5" t="n">
      <v>0.2275</v>
    </nc>
  </rcc>
  <rcc rId="3614" ua="false" sId="15">
    <oc r="D5" t="n">
      <v>-0.205</v>
    </oc>
    <nc r="D5" t="n">
      <v>-0.105</v>
    </nc>
  </rcc>
  <rcc rId="3615" ua="false" sId="15">
    <oc r="C6" t="n">
      <v>0.2525</v>
    </oc>
    <nc r="C6" t="n">
      <v>0.255</v>
    </nc>
  </rcc>
  <rcc rId="3616" ua="false" sId="15">
    <oc r="D6" t="n">
      <v>-0.4225</v>
    </oc>
    <nc r="D6" t="n">
      <v>-0.375</v>
    </nc>
  </rcc>
  <rcc rId="3617" ua="false" sId="15">
    <oc r="C7" t="n">
      <v>0.2725</v>
    </oc>
    <nc r="C7" t="n">
      <v>0.2825</v>
    </nc>
  </rcc>
  <rcc rId="3618" ua="false" sId="15">
    <oc r="D7" t="n">
      <v>-0.6175</v>
    </oc>
    <nc r="D7" t="n">
      <v>-0.6075</v>
    </nc>
  </rcc>
  <rcc rId="3619" ua="false" sId="15">
    <oc r="C8" t="n">
      <v>0.3225</v>
    </oc>
    <nc r="C8" t="n">
      <v>0.33</v>
    </nc>
  </rcc>
  <rcc rId="3620" ua="false" sId="15">
    <oc r="D8" t="n">
      <v>-0.9775</v>
    </oc>
    <nc r="D8" t="n">
      <v>-0.9675</v>
    </nc>
  </rcc>
  <rcc rId="3621" ua="false" sId="15">
    <oc r="C9" t="n">
      <v>0.34</v>
    </oc>
    <nc r="C9" t="n">
      <v>0.36</v>
    </nc>
  </rcc>
  <rcc rId="3622" ua="false" sId="15">
    <oc r="D9" t="n">
      <v>-1.145</v>
    </oc>
    <nc r="D9" t="n">
      <v>-1.1525</v>
    </nc>
  </rcc>
  <rcc rId="3623" ua="false" sId="15">
    <oc r="C10" t="n">
      <v>0.3575</v>
    </oc>
    <nc r="C10" t="n">
      <v>0.3675</v>
    </nc>
  </rcc>
  <rcc rId="3624" ua="false" sId="15">
    <oc r="D10" t="n">
      <v>-1.2825</v>
    </oc>
    <nc r="D10" t="n">
      <v>-1.27</v>
    </nc>
  </rcc>
  <rcc rId="3625" ua="false" sId="15">
    <oc r="C11" t="n">
      <v>0.38</v>
    </oc>
    <nc r="C11" t="n">
      <v>0.39</v>
    </nc>
  </rcc>
  <rcc rId="3626" ua="false" sId="15">
    <oc r="D11" t="n">
      <v>-1.495</v>
    </oc>
    <nc r="D11" t="n">
      <v>-1.4825</v>
    </nc>
  </rcc>
  <rcc rId="3627" ua="false" sId="16">
    <oc r="C2" t="n">
      <v>0.1725</v>
    </oc>
    <nc r="C2" t="n">
      <v>0.1775</v>
    </nc>
  </rcc>
  <rcc rId="3628" ua="false" sId="16">
    <oc r="D2" t="n">
      <v>0.2375</v>
    </oc>
    <nc r="D2" t="n">
      <v>0.2275</v>
    </nc>
  </rcc>
  <rcc rId="3629" ua="false" sId="16">
    <oc r="C3" t="n">
      <v>0.1825</v>
    </oc>
    <nc r="C3" t="n">
      <v>0.18</v>
    </nc>
  </rcc>
  <rcc rId="3630" ua="false" sId="16">
    <oc r="D3" t="n">
      <v>0.27</v>
    </oc>
    <nc r="D3" t="n">
      <v>0.275</v>
    </nc>
  </rcc>
  <rcc rId="3631" ua="false" sId="16">
    <oc r="D4" t="n">
      <v>0.335</v>
    </oc>
    <nc r="D4" t="n">
      <v>0.3475</v>
    </nc>
  </rcc>
  <rcc rId="3632" ua="false" sId="16">
    <oc r="C5" t="n">
      <v>0.215</v>
    </oc>
    <nc r="C5" t="n">
      <v>0.21</v>
    </nc>
  </rcc>
  <rcc rId="3633" ua="false" sId="16">
    <oc r="D5" t="n">
      <v>0.5</v>
    </oc>
    <nc r="D5" t="n">
      <v>0.505</v>
    </nc>
  </rcc>
  <rcc rId="3634" ua="false" sId="16">
    <oc r="D6" t="n">
      <v>0.635</v>
    </oc>
    <nc r="D6" t="n">
      <v>0.625</v>
    </nc>
  </rcc>
  <rcc rId="3635" ua="false" sId="16">
    <oc r="C7" t="n">
      <v>0.2825</v>
    </oc>
    <nc r="C7" t="n">
      <v>0.2775</v>
    </nc>
  </rcc>
  <rcc rId="3636" ua="false" sId="16">
    <oc r="D7" t="n">
      <v>0.8625</v>
    </oc>
    <nc r="D7" t="n">
      <v>0.8325</v>
    </nc>
  </rcc>
  <rcc rId="3637" ua="false" sId="16">
    <oc r="D8" t="n">
      <v>0.9975</v>
    </oc>
    <nc r="D8" t="n">
      <v>0.9825</v>
    </nc>
  </rcc>
  <rcc rId="3638" ua="false" sId="16">
    <oc r="C9" t="n">
      <v>0.3325</v>
    </oc>
    <nc r="C9" t="n">
      <v>0.3275</v>
    </nc>
  </rcc>
  <rcc rId="3639" ua="false" sId="16">
    <oc r="D9" t="n">
      <v>1.1075</v>
    </oc>
    <nc r="D9" t="n">
      <v>1.0725</v>
    </nc>
  </rcc>
  <rcc rId="3640" ua="false" sId="16">
    <oc r="C10" t="n">
      <v>0.3675</v>
    </oc>
    <nc r="C10" t="n">
      <v>0.365</v>
    </nc>
  </rcc>
  <rcc rId="3641" ua="false" sId="16">
    <oc r="D10" t="n">
      <v>1.2325</v>
    </oc>
    <nc r="D10" t="n">
      <v>1.2</v>
    </nc>
  </rcc>
</revisions>
</file>

<file path=xl/revisions/revisionLog372.xml><?xml version="1.0" encoding="utf-8"?>
<revisions xmlns="http://schemas.openxmlformats.org/spreadsheetml/2006/main" xmlns:r="http://schemas.openxmlformats.org/officeDocument/2006/relationships">
  <rcc rId="3642" ua="false" sId="18">
    <oc r="I5" t="n">
      <v>1</v>
    </oc>
    <nc r="I5" t="n">
      <v>1.1</v>
    </nc>
  </rcc>
  <rcc rId="3643" ua="false" sId="18">
    <oc r="I3" t="n">
      <v>8.78</v>
    </oc>
    <nc r="I3" t="n">
      <v>8.8</v>
    </nc>
  </rcc>
</revisions>
</file>

<file path=xl/revisions/revisionLog373.xml><?xml version="1.0" encoding="utf-8"?>
<revisions xmlns="http://schemas.openxmlformats.org/spreadsheetml/2006/main" xmlns:r="http://schemas.openxmlformats.org/officeDocument/2006/relationships">
  <rcc rId="3644" ua="false" sId="18">
    <oc r="G3" t="n">
      <v>7.1</v>
    </oc>
    <nc r="G3" t="n">
      <v>7.15</v>
    </nc>
  </rcc>
  <rcc rId="3645" ua="false" sId="18">
    <oc r="G2" t="n">
      <v>6.2</v>
    </oc>
    <nc r="G2" t="n">
      <v>6.4</v>
    </nc>
  </rcc>
  <rcc rId="3646" ua="false" sId="18">
    <oc r="G5" t="n">
      <v>1</v>
    </oc>
    <nc r="G5" t="n">
      <v>2.1</v>
    </nc>
  </rcc>
</revisions>
</file>

<file path=xl/revisions/revisionLog374.xml><?xml version="1.0" encoding="utf-8"?>
<revisions xmlns="http://schemas.openxmlformats.org/spreadsheetml/2006/main" xmlns:r="http://schemas.openxmlformats.org/officeDocument/2006/relationships">
  <rcc rId="3647" ua="false" sId="18">
    <oc r="H3" t="n">
      <v>10.7</v>
    </oc>
    <nc r="H3" t="n">
      <v>10.65</v>
    </nc>
  </rcc>
</revisions>
</file>

<file path=xl/revisions/revisionLog375.xml><?xml version="1.0" encoding="utf-8"?>
<revisions xmlns="http://schemas.openxmlformats.org/spreadsheetml/2006/main" xmlns:r="http://schemas.openxmlformats.org/officeDocument/2006/relationships">
  <rcc rId="3648" ua="false" sId="18">
    <oc r="G2" t="n">
      <v>6.4</v>
    </oc>
    <nc r="G2" t="n">
      <v>6.35</v>
    </nc>
  </rcc>
  <rcc rId="3649" ua="false" sId="18">
    <oc r="G3" t="n">
      <v>7.15</v>
    </oc>
    <nc r="G3" t="n">
      <v>7.13</v>
    </nc>
  </rcc>
  <rcc rId="3650" ua="false" sId="18">
    <oc r="G2" t="n">
      <v>6.35</v>
    </oc>
    <nc r="G2" t="n">
      <v>6.3</v>
    </nc>
  </rcc>
  <rcc rId="3651" ua="false" sId="18">
    <oc r="G5" t="n">
      <v>2.1</v>
    </oc>
    <nc r="G5" t="n">
      <v>2.5</v>
    </nc>
  </rcc>
</revisions>
</file>

<file path=xl/revisions/revisionLog376.xml><?xml version="1.0" encoding="utf-8"?>
<revisions xmlns="http://schemas.openxmlformats.org/spreadsheetml/2006/main" xmlns:r="http://schemas.openxmlformats.org/officeDocument/2006/relationships">
  <rcc rId="3652" ua="false" sId="18">
    <oc r="G5" t="n">
      <v>1</v>
    </oc>
    <nc r="G5" t="n">
      <v>0.7</v>
    </nc>
  </rcc>
  <rcc rId="3653" ua="false" sId="18">
    <oc r="G18" t="n">
      <v>4</v>
    </oc>
    <nc r="G18" t="n">
      <v>5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>
  <rcc rId="3654" ua="false" sId="18">
    <oc r="G5" t="n">
      <v>0</v>
    </oc>
    <nc r="G5" t="n">
      <v>0.2</v>
    </nc>
  </rcc>
  <rcc rId="3655" ua="false" sId="18">
    <oc r="G2" t="n">
      <v>5.68</v>
    </oc>
    <nc r="G2" t="n">
      <v>5.8</v>
    </nc>
  </rcc>
  <rcc rId="3656" ua="false" sId="18">
    <oc r="G3" t="n">
      <v>6.925</v>
    </oc>
    <nc r="G3" t="n">
      <v>6.95</v>
    </nc>
  </rcc>
  <rcc rId="3657" ua="false" sId="18">
    <oc r="G2" t="n">
      <v>5.8</v>
    </oc>
    <nc r="G2" t="n">
      <v>5.9</v>
    </nc>
  </rcc>
  <rcc rId="3658" ua="false" sId="18">
    <oc r="G3" t="n">
      <v>6.95</v>
    </oc>
    <nc r="G3" t="n">
      <v>7</v>
    </nc>
  </rcc>
</revisions>
</file>

<file path=xl/revisions/revisionLog378.xml><?xml version="1.0" encoding="utf-8"?>
<revisions xmlns="http://schemas.openxmlformats.org/spreadsheetml/2006/main" xmlns:r="http://schemas.openxmlformats.org/officeDocument/2006/relationships">
  <rcc rId="3659" ua="false" sId="18">
    <oc r="G5" t="n">
      <v>2.5</v>
    </oc>
    <nc r="G5" t="n">
      <v>2.35</v>
    </nc>
  </rcc>
  <rcc rId="3660" ua="false" sId="18">
    <oc r="G2" t="n">
      <v>6.3</v>
    </oc>
    <nc r="G2" t="n">
      <v>6.25</v>
    </nc>
  </rcc>
</revisions>
</file>

<file path=xl/revisions/revisionLog379.xml><?xml version="1.0" encoding="utf-8"?>
<revisions xmlns="http://schemas.openxmlformats.org/spreadsheetml/2006/main" xmlns:r="http://schemas.openxmlformats.org/officeDocument/2006/relationships">
  <rcc rId="3661" ua="false" sId="18">
    <oc r="H5" t="n">
      <v>0.5</v>
    </oc>
    <nc r="H5" t="n">
      <v>0</v>
    </nc>
  </rcc>
  <rcc rId="3662" ua="false" sId="18">
    <oc r="H2" t="n">
      <v>9.45</v>
    </oc>
    <nc r="H2" t="n">
      <v>9.6</v>
    </nc>
  </rcc>
</revisions>
</file>

<file path=xl/revisions/revisionLog380.xml><?xml version="1.0" encoding="utf-8"?>
<revisions xmlns="http://schemas.openxmlformats.org/spreadsheetml/2006/main" xmlns:r="http://schemas.openxmlformats.org/officeDocument/2006/relationships">
  <rcc rId="3663" ua="false" sId="18">
    <oc r="I5" t="n">
      <v>3.5</v>
    </oc>
    <nc r="I5" t="n">
      <v>3.8</v>
    </nc>
  </rcc>
</revisions>
</file>

<file path=xl/revisions/revisionLog381.xml><?xml version="1.0" encoding="utf-8"?>
<revisions xmlns="http://schemas.openxmlformats.org/spreadsheetml/2006/main" xmlns:r="http://schemas.openxmlformats.org/officeDocument/2006/relationships">
  <rcc rId="3664" ua="false" sId="18">
    <oc r="I2" t="n">
      <v>6.8</v>
    </oc>
    <nc r="I2" t="n">
      <v>6.85</v>
    </nc>
  </rcc>
  <rcc rId="3665" ua="false" sId="18">
    <oc r="I5" t="n">
      <v>1</v>
    </oc>
    <nc r="I5" t="n">
      <v>1.05</v>
    </nc>
  </rcc>
</revisions>
</file>

<file path=xl/revisions/revisionLog382.xml><?xml version="1.0" encoding="utf-8"?>
<revisions xmlns="http://schemas.openxmlformats.org/spreadsheetml/2006/main" xmlns:r="http://schemas.openxmlformats.org/officeDocument/2006/relationships">
  <rcc rId="3666" ua="false" sId="18">
    <oc r="G2" t="n">
      <v>6.25</v>
    </oc>
    <nc r="G2" t="n">
      <v>6.2</v>
    </nc>
  </rcc>
  <rcc rId="3667" ua="false" sId="18">
    <oc r="G3" t="n">
      <v>7.13</v>
    </oc>
    <nc r="G3" t="n">
      <v>7.15</v>
    </nc>
  </rcc>
  <rcc rId="3668" ua="false" sId="18">
    <oc r="G5" t="n">
      <v>2.35</v>
    </oc>
    <nc r="G5" t="n">
      <v>2.5</v>
    </nc>
  </rcc>
</revisions>
</file>

<file path=xl/revisions/revisionLog383.xml><?xml version="1.0" encoding="utf-8"?>
<revisions xmlns="http://schemas.openxmlformats.org/spreadsheetml/2006/main" xmlns:r="http://schemas.openxmlformats.org/officeDocument/2006/relationships">
  <rrc rId="3669" ua="false" sId="19" eol="1" ref="75:75" action="insertRow"/>
  <rcc rId="3670" ua="false" sId="19">
    <nc r="B75" t="n">
      <v>127599</v>
    </nc>
  </rcc>
  <rcc rId="3671" ua="false" sId="19">
    <nc r="C75" t="n">
      <f>C73+B75</f>
    </nc>
  </rcc>
  <rcc rId="3672" ua="false" sId="19">
    <nc r="A75" t="n">
      <v>44267</v>
    </nc>
  </rcc>
</revisions>
</file>

<file path=xl/revisions/revisionLog384.xml><?xml version="1.0" encoding="utf-8"?>
<revisions xmlns="http://schemas.openxmlformats.org/spreadsheetml/2006/main" xmlns:r="http://schemas.openxmlformats.org/officeDocument/2006/relationships">
  <rcc rId="3673" ua="false" sId="18">
    <oc r="B5" t="n">
      <v>0</v>
    </oc>
    <nc r="B5" t="n">
      <v>-0.1</v>
    </nc>
  </rcc>
</revisions>
</file>

<file path=xl/revisions/revisionLog385.xml><?xml version="1.0" encoding="utf-8"?>
<revisions xmlns="http://schemas.openxmlformats.org/spreadsheetml/2006/main" xmlns:r="http://schemas.openxmlformats.org/officeDocument/2006/relationships">
  <rcc rId="3674" ua="false" sId="18">
    <oc r="G2" t="n">
      <v>6.1</v>
    </oc>
    <nc r="G2" t="n">
      <v>6.15</v>
    </nc>
  </rcc>
  <rcc rId="3675" ua="false" sId="18">
    <oc r="G5" t="n">
      <v>1.3</v>
    </oc>
    <nc r="G5" t="n">
      <v>1.1</v>
    </nc>
  </rcc>
  <rcc rId="3676" ua="false" sId="18">
    <oc r="G19" t="n">
      <v>5</v>
    </oc>
    <nc r="G19" t="n">
      <v>6</v>
    </nc>
  </rcc>
</revisions>
</file>

<file path=xl/revisions/revisionLog386.xml><?xml version="1.0" encoding="utf-8"?>
<revisions xmlns="http://schemas.openxmlformats.org/spreadsheetml/2006/main" xmlns:r="http://schemas.openxmlformats.org/officeDocument/2006/relationships">
  <rcc rId="3677" ua="false" sId="18">
    <oc r="B6" t="n">
      <v>5</v>
    </oc>
    <nc r="B6" t="n">
      <v>4.5</v>
    </nc>
  </rcc>
</revisions>
</file>

<file path=xl/revisions/revisionLog387.xml><?xml version="1.0" encoding="utf-8"?>
<revisions xmlns="http://schemas.openxmlformats.org/spreadsheetml/2006/main" xmlns:r="http://schemas.openxmlformats.org/officeDocument/2006/relationships">
  <rcc rId="3678" ua="false" sId="18">
    <oc r="F3" t="n">
      <v>7.8</v>
    </oc>
    <nc r="F3" t="n">
      <v>7.85</v>
    </nc>
  </rcc>
  <rcc rId="3679" ua="false" sId="18">
    <oc r="F2" t="n">
      <v>5.85</v>
    </oc>
    <nc r="F2" t="n">
      <v>6.05</v>
    </nc>
  </rcc>
  <rcc rId="3680" ua="false" sId="18">
    <oc r="F5" t="n">
      <v>0.75</v>
    </oc>
    <nc r="F5" t="n">
      <v>1.5</v>
    </nc>
  </rcc>
</revisions>
</file>

<file path=xl/revisions/revisionLog388.xml><?xml version="1.0" encoding="utf-8"?>
<revisions xmlns="http://schemas.openxmlformats.org/spreadsheetml/2006/main" xmlns:r="http://schemas.openxmlformats.org/officeDocument/2006/relationships">
  <rcc rId="3681" ua="false" sId="18">
    <oc r="F5" t="n">
      <v>-0.2</v>
    </oc>
    <nc r="F5" t="n">
      <v>-0.3</v>
    </nc>
  </rcc>
  <rcc rId="3682" ua="false" sId="18">
    <oc r="F2" t="n">
      <v>6.25</v>
    </oc>
    <nc r="F2" t="n">
      <v>6.2</v>
    </nc>
  </rcc>
  <rcc rId="3683" ua="false" sId="18">
    <oc r="F3" t="n">
      <v>7.95</v>
    </oc>
    <nc r="F3" t="n">
      <v>7.85</v>
    </nc>
  </rcc>
</revisions>
</file>

<file path=xl/revisions/revisionLog389.xml><?xml version="1.0" encoding="utf-8"?>
<revisions xmlns="http://schemas.openxmlformats.org/spreadsheetml/2006/main" xmlns:r="http://schemas.openxmlformats.org/officeDocument/2006/relationships">
  <rcc rId="3684" ua="false" sId="18">
    <oc r="G2" t="n">
      <v>5.8</v>
    </oc>
    <nc r="G2" t="n">
      <v>5.7</v>
    </nc>
  </rcc>
  <rcc rId="3685" ua="false" sId="18">
    <oc r="G3" t="n">
      <v>6.75</v>
    </oc>
    <nc r="G3" t="n">
      <v>6.85</v>
    </nc>
  </rcc>
</revisions>
</file>

<file path=xl/revisions/revisionLog390.xml><?xml version="1.0" encoding="utf-8"?>
<revisions xmlns="http://schemas.openxmlformats.org/spreadsheetml/2006/main" xmlns:r="http://schemas.openxmlformats.org/officeDocument/2006/relationships">
  <rcc rId="3686" ua="false" sId="16">
    <oc r="C2" t="n">
      <v>0.18</v>
    </oc>
    <nc r="C2" t="n">
      <v>0.17</v>
    </nc>
  </rcc>
  <rcc rId="3687" ua="false" sId="16">
    <oc r="D2" t="n">
      <v>0.43</v>
    </oc>
    <nc r="D2" t="n">
      <v>0.41</v>
    </nc>
  </rcc>
  <rcc rId="3688" ua="false" sId="16">
    <oc r="D3" t="n">
      <v>0.48</v>
    </oc>
    <nc r="D3" t="n">
      <v>0.465</v>
    </nc>
  </rcc>
  <rcc rId="3689" ua="false" sId="16">
    <oc r="C4" t="n">
      <v>0.195</v>
    </oc>
    <nc r="C4" t="n">
      <v>0.2</v>
    </nc>
  </rcc>
  <rcc rId="3690" ua="false" sId="16">
    <oc r="D4" t="n">
      <v>0.56</v>
    </oc>
    <nc r="D4" t="n">
      <v>0.54</v>
    </nc>
  </rcc>
  <rcc rId="3691" ua="false" sId="16">
    <oc r="D5" t="n">
      <v>0.6825</v>
    </oc>
    <nc r="D5" t="n">
      <v>0.6775</v>
    </nc>
  </rcc>
  <rcc rId="3692" ua="false" sId="16">
    <oc r="D6" t="n">
      <v>0.77</v>
    </oc>
    <nc r="D6" t="n">
      <v>0.76</v>
    </nc>
  </rcc>
  <rcc rId="3693" ua="false" sId="16">
    <oc r="C7" t="n">
      <v>0.28</v>
    </oc>
    <nc r="C7" t="n">
      <v>0.275</v>
    </nc>
  </rcc>
  <rcc rId="3694" ua="false" sId="16">
    <oc r="D7" t="n">
      <v>0.965</v>
    </oc>
    <nc r="D7" t="n">
      <v>0.97</v>
    </nc>
  </rcc>
  <rcc rId="3695" ua="false" sId="16">
    <oc r="D8" t="n">
      <v>1.12</v>
    </oc>
    <nc r="D8" t="n">
      <v>1.125</v>
    </nc>
  </rcc>
  <rcc rId="3696" ua="false" sId="16">
    <oc r="D9" t="n">
      <v>1.235</v>
    </oc>
    <nc r="D9" t="n">
      <v>1.24</v>
    </nc>
  </rcc>
  <rcc rId="3697" ua="false" sId="16">
    <oc r="C10" t="n">
      <v>0.355</v>
    </oc>
    <nc r="C10" t="n">
      <v>0.3525</v>
    </nc>
  </rcc>
</revisions>
</file>

<file path=xl/revisions/revisionLog391.xml><?xml version="1.0" encoding="utf-8"?>
<revisions xmlns="http://schemas.openxmlformats.org/spreadsheetml/2006/main" xmlns:r="http://schemas.openxmlformats.org/officeDocument/2006/relationships">
  <rcc rId="3698" ua="false" sId="18">
    <oc r="F5" t="n">
      <v>1.5</v>
    </oc>
    <nc r="F5" t="n">
      <v>2</v>
    </nc>
  </rcc>
</revisions>
</file>

<file path=xl/revisions/revisionLog392.xml><?xml version="1.0" encoding="utf-8"?>
<revisions xmlns="http://schemas.openxmlformats.org/spreadsheetml/2006/main" xmlns:r="http://schemas.openxmlformats.org/officeDocument/2006/relationships">
  <rcc rId="3699" ua="false" sId="18">
    <oc r="F2" t="n">
      <v>6.25</v>
    </oc>
    <nc r="F2" t="n">
      <v>6.22</v>
    </nc>
  </rcc>
  <rcc rId="3700" ua="false" sId="18">
    <oc r="F3" t="n">
      <v>7.55</v>
    </oc>
    <nc r="F3" t="n">
      <v>7.62</v>
    </nc>
  </rcc>
</revisions>
</file>

<file path=xl/revisions/revisionLog393.xml><?xml version="1.0" encoding="utf-8"?>
<revisions xmlns="http://schemas.openxmlformats.org/spreadsheetml/2006/main" xmlns:r="http://schemas.openxmlformats.org/officeDocument/2006/relationships">
  <rcc rId="3701" ua="false" sId="18">
    <oc r="F5" t="n">
      <v>2</v>
    </oc>
    <nc r="F5" t="n">
      <v>1.9</v>
    </nc>
  </rcc>
  <rcc rId="3702" ua="false" sId="18">
    <oc r="F3" t="n">
      <v>7.85</v>
    </oc>
    <nc r="F3" t="n">
      <v>7.83</v>
    </nc>
  </rcc>
</revisions>
</file>

<file path=xl/revisions/revisionLog394.xml><?xml version="1.0" encoding="utf-8"?>
<revisions xmlns="http://schemas.openxmlformats.org/spreadsheetml/2006/main" xmlns:r="http://schemas.openxmlformats.org/officeDocument/2006/relationships">
  <rcc rId="3703" ua="false" sId="18">
    <oc r="I2" t="n">
      <v>8.41</v>
    </oc>
    <nc r="I2" t="n">
      <v>8.6</v>
    </nc>
  </rcc>
  <rcc rId="3704" ua="false" sId="18">
    <oc r="I3" t="n">
      <v>9.1</v>
    </oc>
    <nc r="I3" t="n">
      <v>9.15</v>
    </nc>
  </rcc>
  <rcc rId="3705" ua="false" sId="18">
    <oc r="I5" t="n">
      <v>0.85</v>
    </oc>
    <nc r="I5" t="n">
      <v>2.5</v>
    </nc>
  </rcc>
</revisions>
</file>

<file path=xl/revisions/revisionLog395.xml><?xml version="1.0" encoding="utf-8"?>
<revisions xmlns="http://schemas.openxmlformats.org/spreadsheetml/2006/main" xmlns:r="http://schemas.openxmlformats.org/officeDocument/2006/relationships">
  <rcc rId="3706" ua="false" sId="18">
    <oc r="B3" t="n">
      <v>6.6</v>
    </oc>
    <nc r="B3" t="n">
      <v>6.7</v>
    </nc>
  </rcc>
  <rcc rId="3707" ua="false" sId="18">
    <oc r="B5" t="n">
      <v>-0.1</v>
    </oc>
    <nc r="B5" t="n">
      <v>0.3</v>
    </nc>
  </rcc>
</revisions>
</file>

<file path=xl/revisions/revisionLog396.xml><?xml version="1.0" encoding="utf-8"?>
<revisions xmlns="http://schemas.openxmlformats.org/spreadsheetml/2006/main" xmlns:r="http://schemas.openxmlformats.org/officeDocument/2006/relationships">
  <rcc rId="3708" ua="false" sId="18">
    <oc r="I2" t="n">
      <v>7.15</v>
    </oc>
    <nc r="I2" t="n">
      <v>7.45</v>
    </nc>
  </rcc>
</revisions>
</file>

<file path=xl/revisions/revisionLog397.xml><?xml version="1.0" encoding="utf-8"?>
<revisions xmlns="http://schemas.openxmlformats.org/spreadsheetml/2006/main" xmlns:r="http://schemas.openxmlformats.org/officeDocument/2006/relationships">
  <rcc rId="3709" ua="false" sId="18">
    <oc r="I2" t="n">
      <v>8.6</v>
    </oc>
    <nc r="I2" t="n">
      <v>8.55</v>
    </nc>
  </rcc>
  <rcc rId="3710" ua="false" sId="18">
    <oc r="I5" t="n">
      <v>2.5</v>
    </oc>
    <nc r="I5" t="n">
      <v>2.3</v>
    </nc>
  </rcc>
  <rcc rId="3711" ua="false" sId="18">
    <oc r="I3" t="n">
      <v>9.15</v>
    </oc>
    <nc r="I3" t="n">
      <v>9.17</v>
    </nc>
  </rcc>
</revisions>
</file>

<file path=xl/revisions/revisionLog398.xml><?xml version="1.0" encoding="utf-8"?>
<revisions xmlns="http://schemas.openxmlformats.org/spreadsheetml/2006/main" xmlns:r="http://schemas.openxmlformats.org/officeDocument/2006/relationships">
  <rcc rId="3712" ua="false" sId="18">
    <oc r="I3" t="n">
      <v>9.17</v>
    </oc>
    <nc r="I3" t="n">
      <v>9.2</v>
    </nc>
  </rcc>
  <rcc rId="3713" ua="false" sId="18">
    <oc r="I5" t="n">
      <v>2.3</v>
    </oc>
    <nc r="I5" t="n">
      <v>2</v>
    </nc>
  </rcc>
</revisions>
</file>

<file path=xl/revisions/revisionLog399.xml><?xml version="1.0" encoding="utf-8"?>
<revisions xmlns="http://schemas.openxmlformats.org/spreadsheetml/2006/main" xmlns:r="http://schemas.openxmlformats.org/officeDocument/2006/relationships">
  <rcc rId="3714" ua="false" sId="18">
    <oc r="I2" t="n">
      <v>8.55</v>
    </oc>
    <nc r="I2" t="n">
      <v>8.5</v>
    </nc>
  </rcc>
  <rcc rId="3715" ua="false" sId="18">
    <oc r="I3" t="n">
      <v>9.2</v>
    </oc>
    <nc r="I3" t="n">
      <v>9.22</v>
    </nc>
  </rcc>
</revisions>
</file>

<file path=xl/revisions/revisionLog400.xml><?xml version="1.0" encoding="utf-8"?>
<revisions xmlns="http://schemas.openxmlformats.org/spreadsheetml/2006/main" xmlns:r="http://schemas.openxmlformats.org/officeDocument/2006/relationships">
  <rcc rId="3716" ua="false" sId="18">
    <oc r="B3" t="n">
      <v>6.65</v>
    </oc>
    <nc r="B3" t="n">
      <v>6.7</v>
    </nc>
  </rcc>
</revisions>
</file>

<file path=xl/revisions/revisionLog401.xml><?xml version="1.0" encoding="utf-8"?>
<revisions xmlns="http://schemas.openxmlformats.org/spreadsheetml/2006/main" xmlns:r="http://schemas.openxmlformats.org/officeDocument/2006/relationships">
  <rcc rId="3717" ua="false" sId="2">
    <oc r="C2" t="n">
      <v>0.275</v>
    </oc>
    <nc r="C2" t="n">
      <v>0.27</v>
    </nc>
  </rcc>
  <rcc rId="3718" ua="false" sId="2">
    <oc r="D2" t="n">
      <v>-1.3775</v>
    </oc>
    <nc r="D2" t="n">
      <v>-1.16</v>
    </nc>
  </rcc>
  <rcc rId="3719" ua="false" sId="2">
    <oc r="C3" t="n">
      <v>0.295</v>
    </oc>
    <nc r="C3" t="n">
      <v>0.29</v>
    </nc>
  </rcc>
  <rcc rId="3720" ua="false" sId="2">
    <oc r="D3" t="n">
      <v>-1.43</v>
    </oc>
    <nc r="D3" t="n">
      <v>-1.2575</v>
    </nc>
  </rcc>
  <rcc rId="3721" ua="false" sId="2">
    <oc r="C4" t="n">
      <v>0.3375</v>
    </oc>
    <nc r="C4" t="n">
      <v>0.3325</v>
    </nc>
  </rcc>
  <rcc rId="3722" ua="false" sId="2">
    <oc r="D4" t="n">
      <v>-1.45</v>
    </oc>
    <nc r="D4" t="n">
      <v>-1.2975</v>
    </nc>
  </rcc>
  <rcc rId="3723" ua="false" sId="2">
    <oc r="C5" t="n">
      <v>0.33</v>
    </oc>
    <nc r="C5" t="n">
      <v>0.325</v>
    </nc>
  </rcc>
  <rcc rId="3724" ua="false" sId="2">
    <oc r="D5" t="n">
      <v>-1.52</v>
    </oc>
    <nc r="D5" t="n">
      <v>-1.3475</v>
    </nc>
  </rcc>
  <rcc rId="3725" ua="false" sId="2">
    <oc r="C6" t="n">
      <v>0.3625</v>
    </oc>
    <nc r="C6" t="n">
      <v>0.355</v>
    </nc>
  </rcc>
  <rcc rId="3726" ua="false" sId="2">
    <oc r="D6" t="n">
      <v>-1.535</v>
    </oc>
    <nc r="D6" t="n">
      <v>-1.405</v>
    </nc>
  </rcc>
  <rcc rId="3727" ua="false" sId="2">
    <oc r="C7" t="n">
      <v>0.395</v>
    </oc>
    <nc r="C7" t="n">
      <v>0.3875</v>
    </nc>
  </rcc>
  <rcc rId="3728" ua="false" sId="2">
    <oc r="D7" t="n">
      <v>-1.7075</v>
    </oc>
    <nc r="D7" t="n">
      <v>-1.585</v>
    </nc>
  </rcc>
  <rcc rId="3729" ua="false" sId="2">
    <oc r="C8" t="n">
      <v>0.4175</v>
    </oc>
    <nc r="C8" t="n">
      <v>0.4125</v>
    </nc>
  </rcc>
  <rcc rId="3730" ua="false" sId="2">
    <oc r="D8" t="n">
      <v>-1.7775</v>
    </oc>
    <nc r="D8" t="n">
      <v>-1.6825</v>
    </nc>
  </rcc>
  <rcc rId="3731" ua="false" sId="2">
    <oc r="C9" t="n">
      <v>0.4425</v>
    </oc>
    <nc r="C9" t="n">
      <v>0.4325</v>
    </nc>
  </rcc>
  <rcc rId="3732" ua="false" sId="2">
    <oc r="D9" t="n">
      <v>-1.805</v>
    </oc>
    <nc r="D9" t="n">
      <v>-1.7425</v>
    </nc>
  </rcc>
  <rcc rId="3733" ua="false" sId="2">
    <oc r="C10" t="n">
      <v>0.4625</v>
    </oc>
    <nc r="C10" t="n">
      <v>0.45</v>
    </nc>
  </rcc>
  <rcc rId="3734" ua="false" sId="2">
    <oc r="D10" t="n">
      <v>-1.885</v>
    </oc>
    <nc r="D10" t="n">
      <v>-1.805</v>
    </nc>
  </rcc>
  <rcc rId="3735" ua="false" sId="2">
    <oc r="C11" t="n">
      <v>0.4625</v>
    </oc>
    <nc r="C11" t="n">
      <v>0.465</v>
    </nc>
  </rcc>
  <rcc rId="3736" ua="false" sId="2">
    <oc r="D11" t="n">
      <v>-1.9875</v>
    </oc>
    <nc r="D11" t="n">
      <v>-1.9575</v>
    </nc>
  </rcc>
  <rcc rId="3737" ua="false" sId="3">
    <oc r="C2" t="n">
      <v>0.21</v>
    </oc>
    <nc r="C2" t="n">
      <v>0.2125</v>
    </nc>
  </rcc>
  <rcc rId="3738" ua="false" sId="3">
    <oc r="D2" t="n">
      <v>-0.7</v>
    </oc>
    <nc r="D2" t="n">
      <v>-0.5975</v>
    </nc>
  </rcc>
  <rcc rId="3739" ua="false" sId="3">
    <oc r="D3" t="n">
      <v>-0.71</v>
    </oc>
    <nc r="D3" t="n">
      <v>-0.625</v>
    </nc>
  </rcc>
  <rcc rId="3740" ua="false" sId="3">
    <oc r="C4" t="n">
      <v>0.245</v>
    </oc>
    <nc r="C4" t="n">
      <v>0.26</v>
    </nc>
  </rcc>
  <rcc rId="3741" ua="false" sId="3">
    <oc r="D4" t="n">
      <v>-0.69</v>
    </oc>
    <nc r="D4" t="n">
      <v>-0.67</v>
    </nc>
  </rcc>
  <rcc rId="3742" ua="false" sId="3">
    <oc r="C5" t="n">
      <v>0.2425</v>
    </oc>
    <nc r="C5" t="n">
      <v>0.245</v>
    </nc>
  </rcc>
  <rcc rId="3743" ua="false" sId="3">
    <oc r="D5" t="n">
      <v>-0.795</v>
    </oc>
    <nc r="D5" t="n">
      <v>-0.7175</v>
    </nc>
  </rcc>
  <rcc rId="3744" ua="false" sId="3">
    <oc r="C6" t="n">
      <v>0.275</v>
    </oc>
    <nc r="C6" t="n">
      <v>0.27</v>
    </nc>
  </rcc>
  <rcc rId="3745" ua="false" sId="3">
    <oc r="D6" t="n">
      <v>-0.8525</v>
    </oc>
    <nc r="D6" t="n">
      <v>-0.8125</v>
    </nc>
  </rcc>
  <rcc rId="3746" ua="false" sId="3">
    <oc r="C7" t="n">
      <v>0.32</v>
    </oc>
    <nc r="C7" t="n">
      <v>0.305</v>
    </nc>
  </rcc>
  <rcc rId="3747" ua="false" sId="3">
    <oc r="D7" t="n">
      <v>-0.92</v>
    </oc>
    <nc r="D7" t="n">
      <v>-0.9075</v>
    </nc>
  </rcc>
  <rcc rId="3748" ua="false" sId="3">
    <oc r="C8" t="n">
      <v>0.3825</v>
    </oc>
    <nc r="C8" t="n">
      <v>0.38</v>
    </nc>
  </rcc>
  <rcc rId="3749" ua="false" sId="3">
    <oc r="D8" t="n">
      <v>-1.0475</v>
    </oc>
    <nc r="D8" t="n">
      <v>-1.05</v>
    </nc>
  </rcc>
  <rcc rId="3750" ua="false" sId="3">
    <oc r="D9" t="n">
      <v>-1.11</v>
    </oc>
    <nc r="D9" t="n">
      <v>-1.115</v>
    </nc>
  </rcc>
  <rcc rId="3751" ua="false" sId="3">
    <oc r="D10" t="n">
      <v>-1.175</v>
    </oc>
    <nc r="D10" t="n">
      <v>-1.16</v>
    </nc>
  </rcc>
  <rcc rId="3752" ua="false" sId="3">
    <oc r="D11" t="n">
      <v>-1.26</v>
    </oc>
    <nc r="D11" t="n">
      <v>-1.25</v>
    </nc>
  </rcc>
  <rcc rId="3753" ua="false" sId="4">
    <oc r="C2" t="n">
      <v>0.225</v>
    </oc>
    <nc r="C2" t="n">
      <v>0.215</v>
    </nc>
  </rcc>
  <rcc rId="3754" ua="false" sId="4">
    <oc r="D2" t="n">
      <v>0.64</v>
    </oc>
    <nc r="D2" t="n">
      <v>0.5525</v>
    </nc>
  </rcc>
  <rcc rId="3755" ua="false" sId="4">
    <oc r="C3" t="n">
      <v>0.2225</v>
    </oc>
    <nc r="C3" t="n">
      <v>0.215</v>
    </nc>
  </rcc>
  <rcc rId="3756" ua="false" sId="4">
    <oc r="D3" t="n">
      <v>0.6375</v>
    </oc>
    <nc r="D3" t="n">
      <v>0.5625</v>
    </nc>
  </rcc>
  <rcc rId="3757" ua="false" sId="4">
    <oc r="D4" t="n">
      <v>0.6425</v>
    </oc>
    <nc r="D4" t="n">
      <v>0.575</v>
    </nc>
  </rcc>
  <rcc rId="3758" ua="false" sId="4">
    <oc r="C5" t="n">
      <v>0.2325</v>
    </oc>
    <nc r="C5" t="n">
      <v>0.23</v>
    </nc>
  </rcc>
  <rcc rId="3759" ua="false" sId="4">
    <oc r="D5" t="n">
      <v>0.67</v>
    </oc>
    <nc r="D5" t="n">
      <v>0.6025</v>
    </nc>
  </rcc>
  <rcc rId="3760" ua="false" sId="4">
    <oc r="D6" t="n">
      <v>0.7275</v>
    </oc>
    <nc r="D6" t="n">
      <v>0.61</v>
    </nc>
  </rcc>
  <rcc rId="3761" ua="false" sId="4">
    <oc r="C7" t="n">
      <v>0.3</v>
    </oc>
    <nc r="C7" t="n">
      <v>0.3025</v>
    </nc>
  </rcc>
  <rcc rId="3762" ua="false" sId="4">
    <oc r="D7" t="n">
      <v>0.7475</v>
    </oc>
    <nc r="D7" t="n">
      <v>0.6675</v>
    </nc>
  </rcc>
  <rcc rId="3763" ua="false" sId="4">
    <oc r="D8" t="n">
      <v>0.7825</v>
    </oc>
    <nc r="D8" t="n">
      <v>0.69</v>
    </nc>
  </rcc>
  <rcc rId="3764" ua="false" sId="4">
    <oc r="C9" t="n">
      <v>0.405</v>
    </oc>
    <nc r="C9" t="n">
      <v>0.3975</v>
    </nc>
  </rcc>
  <rcc rId="3765" ua="false" sId="4">
    <oc r="D9" t="n">
      <v>0.79</v>
    </oc>
    <nc r="D9" t="n">
      <v>0.7225</v>
    </nc>
  </rcc>
  <rcc rId="3766" ua="false" sId="4">
    <oc r="D10" t="n">
      <v>0.745</v>
    </oc>
    <nc r="D10" t="n">
      <v>0.6725</v>
    </nc>
  </rcc>
  <rcc rId="3767" ua="false" sId="4">
    <oc r="D11" t="n">
      <v>0.815</v>
    </oc>
    <nc r="D11" t="n">
      <v>0.705</v>
    </nc>
  </rcc>
  <rcc rId="3768" ua="false" sId="5">
    <oc r="C2" t="n">
      <v>0.135</v>
    </oc>
    <nc r="C2" t="n">
      <v>0.13</v>
    </nc>
  </rcc>
  <rcc rId="3769" ua="false" sId="5">
    <oc r="D2" t="n">
      <v>0.53</v>
    </oc>
    <nc r="D2" t="n">
      <v>0.48</v>
    </nc>
  </rcc>
  <rcc rId="3770" ua="false" sId="5">
    <oc r="C3" t="n">
      <v>0.145</v>
    </oc>
    <nc r="C3" t="n">
      <v>0.14</v>
    </nc>
  </rcc>
  <rcc rId="3771" ua="false" sId="5">
    <oc r="D3" t="n">
      <v>0.59</v>
    </oc>
    <nc r="D3" t="n">
      <v>0.555</v>
    </nc>
  </rcc>
  <rcc rId="3772" ua="false" sId="5">
    <oc r="C4" t="n">
      <v>0.175</v>
    </oc>
    <nc r="C4" t="n">
      <v>0.17</v>
    </nc>
  </rcc>
  <rcc rId="3773" ua="false" sId="5">
    <oc r="D4" t="n">
      <v>0.6075</v>
    </oc>
    <nc r="D4" t="n">
      <v>0.5825</v>
    </nc>
  </rcc>
  <rcc rId="3774" ua="false" sId="5">
    <oc r="C5" t="n">
      <v>0.155</v>
    </oc>
    <nc r="C5" t="n">
      <v>0.1575</v>
    </nc>
  </rcc>
  <rcc rId="3775" ua="false" sId="5">
    <oc r="D5" t="n">
      <v>0.68</v>
    </oc>
    <nc r="D5" t="n">
      <v>0.655</v>
    </nc>
  </rcc>
  <rcc rId="3776" ua="false" sId="5">
    <oc r="C6" t="n">
      <v>0.18</v>
    </oc>
    <nc r="C6" t="n">
      <v>0.1775</v>
    </nc>
  </rcc>
  <rcc rId="3777" ua="false" sId="5">
    <oc r="D6" t="n">
      <v>0.7375</v>
    </oc>
    <nc r="D6" t="n">
      <v>0.71</v>
    </nc>
  </rcc>
  <rcc rId="3778" ua="false" sId="5">
    <oc r="C7" t="n">
      <v>0.2025</v>
    </oc>
    <nc r="C7" t="n">
      <v>0.215</v>
    </nc>
  </rcc>
  <rcc rId="3779" ua="false" sId="5">
    <oc r="D7" t="n">
      <v>0.795</v>
    </oc>
    <nc r="D7" t="n">
      <v>0.7925</v>
    </nc>
  </rcc>
  <rcc rId="3780" ua="false" sId="5">
    <oc r="C8" t="n">
      <v>0.25</v>
    </oc>
    <nc r="C8" t="n">
      <v>0.2625</v>
    </nc>
  </rcc>
  <rcc rId="3781" ua="false" sId="5">
    <oc r="D8" t="n">
      <v>0.8925</v>
    </oc>
    <nc r="D8" t="n">
      <v>0.89</v>
    </nc>
  </rcc>
  <rcc rId="3782" ua="false" sId="5">
    <oc r="C9" t="n">
      <v>0.28</v>
    </oc>
    <nc r="C9" t="n">
      <v>0.2925</v>
    </nc>
  </rcc>
  <rcc rId="3783" ua="false" sId="5">
    <oc r="D9" t="n">
      <v>0.925</v>
    </oc>
    <nc r="D9" t="n">
      <v>0.9225</v>
    </nc>
  </rcc>
  <rcc rId="3784" ua="false" sId="5">
    <oc r="C10" t="n">
      <v>0.2675</v>
    </oc>
    <nc r="C10" t="n">
      <v>0.2925</v>
    </nc>
  </rcc>
  <rcc rId="3785" ua="false" sId="5">
    <oc r="D10" t="n">
      <v>0.9975</v>
    </oc>
    <nc r="D10" t="n">
      <v>0.9875</v>
    </nc>
  </rcc>
  <rcc rId="3786" ua="false" sId="5">
    <oc r="D11" t="n">
      <v>0.98</v>
    </oc>
    <nc r="D11" t="n">
      <v>0.965</v>
    </nc>
  </rcc>
  <rcc rId="3787" ua="false" sId="10">
    <oc r="C2" t="n">
      <v>0.1375</v>
    </oc>
    <nc r="C2" t="n">
      <v>0.135</v>
    </nc>
  </rcc>
  <rcc rId="3788" ua="false" sId="10">
    <oc r="D2" t="n">
      <v>0.1775</v>
    </oc>
    <nc r="D2" t="n">
      <v>0.17</v>
    </nc>
  </rcc>
  <rcc rId="3789" ua="false" sId="10">
    <oc r="C3" t="n">
      <v>0.135</v>
    </oc>
    <nc r="C3" t="n">
      <v>0.1375</v>
    </nc>
  </rcc>
  <rcc rId="3790" ua="false" sId="10">
    <oc r="D3" t="n">
      <v>0.1</v>
    </oc>
    <nc r="D3" t="n">
      <v>0.2275</v>
    </nc>
  </rcc>
  <rcc rId="3791" ua="false" sId="10">
    <oc r="C4" t="n">
      <v>0.16</v>
    </oc>
    <nc r="C4" t="n">
      <v>0.1575</v>
    </nc>
  </rcc>
  <rcc rId="3792" ua="false" sId="10">
    <oc r="D4" t="n">
      <v>0.285</v>
    </oc>
    <nc r="D4" t="n">
      <v>0.3175</v>
    </nc>
  </rcc>
  <rcc rId="3793" ua="false" sId="10">
    <oc r="C5" t="n">
      <v>0.185</v>
    </oc>
    <nc r="C5" t="n">
      <v>0.1825</v>
    </nc>
  </rcc>
  <rcc rId="3794" ua="false" sId="10">
    <oc r="D5" t="n">
      <v>0.4275</v>
    </oc>
    <nc r="D5" t="n">
      <v>0.4475</v>
    </nc>
  </rcc>
  <rcc rId="3795" ua="false" sId="10">
    <oc r="C6" t="n">
      <v>0.2325</v>
    </oc>
    <nc r="C6" t="n">
      <v>0.2275</v>
    </nc>
  </rcc>
  <rcc rId="3796" ua="false" sId="10">
    <oc r="D6" t="n">
      <v>0.5275</v>
    </oc>
    <nc r="D6" t="n">
      <v>0.525</v>
    </nc>
  </rcc>
  <rcc rId="3797" ua="false" sId="10">
    <oc r="D7" t="n">
      <v>0.7</v>
    </oc>
    <nc r="D7" t="n">
      <v>0.67</v>
    </nc>
  </rcc>
  <rcc rId="3798" ua="false" sId="10">
    <oc r="C8" t="n">
      <v>0.3125</v>
    </oc>
    <nc r="C8" t="n">
      <v>0.315</v>
    </nc>
  </rcc>
  <rcc rId="3799" ua="false" sId="10">
    <oc r="D8" t="n">
      <v>0.8575</v>
    </oc>
    <nc r="D8" t="n">
      <v>0.8375</v>
    </nc>
  </rcc>
  <rcc rId="3800" ua="false" sId="10">
    <oc r="C9" t="n">
      <v>0.33</v>
    </oc>
    <nc r="C9" t="n">
      <v>0.3325</v>
    </nc>
  </rcc>
  <rcc rId="3801" ua="false" sId="10">
    <oc r="D9" t="n">
      <v>0.9675</v>
    </oc>
    <nc r="D9" t="n">
      <v>0.9375</v>
    </nc>
  </rcc>
  <rcc rId="3802" ua="false" sId="10">
    <oc r="C10" t="n">
      <v>0.355</v>
    </oc>
    <nc r="C10" t="n">
      <v>0.36</v>
    </nc>
  </rcc>
  <rcc rId="3803" ua="false" sId="10">
    <oc r="D10" t="n">
      <v>1.0925</v>
    </oc>
    <nc r="D10" t="n">
      <v>1.0525</v>
    </nc>
  </rcc>
  <rcc rId="3804" ua="false" sId="11">
    <oc r="C2" t="n">
      <v>0.2475</v>
    </oc>
    <nc r="C2" t="n">
      <v>0.235</v>
    </nc>
  </rcc>
  <rcc rId="3805" ua="false" sId="11">
    <oc r="D2" t="n">
      <v>-1.4375</v>
    </oc>
    <nc r="D2" t="n">
      <v>-1.255</v>
    </nc>
  </rcc>
  <rcc rId="3806" ua="false" sId="11">
    <oc r="C3" t="n">
      <v>0.26</v>
    </oc>
    <nc r="C3" t="n">
      <v>0.25</v>
    </nc>
  </rcc>
  <rcc rId="3807" ua="false" sId="11">
    <oc r="D3" t="n">
      <v>-1.555</v>
    </oc>
    <nc r="D3" t="n">
      <v>-1.36</v>
    </nc>
  </rcc>
  <rcc rId="3808" ua="false" sId="11">
    <oc r="C4" t="n">
      <v>0.365</v>
    </oc>
    <nc r="C4" t="n">
      <v>0.3325</v>
    </nc>
  </rcc>
  <rcc rId="3809" ua="false" sId="11">
    <oc r="D4" t="n">
      <v>-1.7025</v>
    </oc>
    <nc r="D4" t="n">
      <v>-1.525</v>
    </nc>
  </rcc>
  <rcc rId="3810" ua="false" sId="11">
    <oc r="C5" t="n">
      <v>0.295</v>
    </oc>
    <nc r="C5" t="n">
      <v>0.29</v>
    </nc>
  </rcc>
  <rcc rId="3811" ua="false" sId="11">
    <oc r="D5" t="n">
      <v>-1.8575</v>
    </oc>
    <nc r="D5" t="n">
      <v>-1.635</v>
    </nc>
  </rcc>
  <rcc rId="3812" ua="false" sId="11">
    <oc r="C6" t="n">
      <v>0.345</v>
    </oc>
    <nc r="C6" t="n">
      <v>0.34</v>
    </nc>
  </rcc>
  <rcc rId="3813" ua="false" sId="11">
    <oc r="D6" t="n">
      <v>-2.235</v>
    </oc>
    <nc r="D6" t="n">
      <v>-2.03</v>
    </nc>
  </rcc>
  <rcc rId="3814" ua="false" sId="11">
    <oc r="D7" t="n">
      <v>-2.5225</v>
    </oc>
    <nc r="D7" t="n">
      <v>-2.3275</v>
    </nc>
  </rcc>
  <rcc rId="3815" ua="false" sId="11">
    <oc r="D8" t="n">
      <v>-2.9275</v>
    </oc>
    <nc r="D8" t="n">
      <v>-2.73</v>
    </nc>
  </rcc>
  <rcc rId="3816" ua="false" sId="11">
    <oc r="C9" t="n">
      <v>0.4725</v>
    </oc>
    <nc r="C9" t="n">
      <v>0.475</v>
    </nc>
  </rcc>
  <rcc rId="3817" ua="false" sId="11">
    <oc r="D9" t="n">
      <v>-3.0975</v>
    </oc>
    <nc r="D9" t="n">
      <v>-2.8975</v>
    </nc>
  </rcc>
  <rcc rId="3818" ua="false" sId="11">
    <oc r="D10" t="n">
      <v>-3.2575</v>
    </oc>
    <nc r="D10" t="n">
      <v>-3.03</v>
    </nc>
  </rcc>
  <rcc rId="3819" ua="false" sId="11">
    <oc r="C11" t="n">
      <v>0.4875</v>
    </oc>
    <nc r="C11" t="n">
      <v>0.465</v>
    </nc>
  </rcc>
  <rcc rId="3820" ua="false" sId="11">
    <oc r="D11" t="n">
      <v>-3.6225</v>
    </oc>
    <nc r="D11" t="n">
      <v>-3.395</v>
    </nc>
  </rcc>
  <rcc rId="3821" ua="false" sId="12">
    <oc r="C2" t="n">
      <v>0.21</v>
    </oc>
    <nc r="C2" t="n">
      <v>0.19</v>
    </nc>
  </rcc>
  <rcc rId="3822" ua="false" sId="12">
    <oc r="D2" t="n">
      <v>-0.36</v>
    </oc>
    <nc r="D2" t="n">
      <v>-0.34</v>
    </nc>
  </rcc>
  <rcc rId="3823" ua="false" sId="12">
    <oc r="C3" t="n">
      <v>0.2175</v>
    </oc>
    <nc r="C3" t="n">
      <v>0.205</v>
    </nc>
  </rcc>
  <rcc rId="3824" ua="false" sId="12">
    <oc r="D3" t="n">
      <v>-0.4525</v>
    </oc>
    <nc r="D3" t="n">
      <v>-0.365</v>
    </nc>
  </rcc>
  <rcc rId="3825" ua="false" sId="12">
    <oc r="C4" t="n">
      <v>0.21</v>
    </oc>
    <nc r="C4" t="n">
      <v>0.205</v>
    </nc>
  </rcc>
  <rcc rId="3826" ua="false" sId="12">
    <oc r="D4" t="n">
      <v>-0.41</v>
    </oc>
    <nc r="D4" t="n">
      <v>-0.455</v>
    </nc>
  </rcc>
  <rcc rId="3827" ua="false" sId="12">
    <oc r="C5" t="n">
      <v>0.25</v>
    </oc>
    <nc r="C5" t="n">
      <v>0.23</v>
    </nc>
  </rcc>
  <rcc rId="3828" ua="false" sId="12">
    <oc r="D5" t="n">
      <v>-0.535</v>
    </oc>
    <nc r="D5" t="n">
      <v>-0.455</v>
    </nc>
  </rcc>
  <rcc rId="3829" ua="false" sId="12">
    <oc r="C6" t="n">
      <v>0.28</v>
    </oc>
    <nc r="C6" t="n">
      <v>0.265</v>
    </nc>
  </rcc>
  <rcc rId="3830" ua="false" sId="12">
    <oc r="D6" t="n">
      <v>-0.73</v>
    </oc>
    <nc r="D6" t="n">
      <v>-0.67</v>
    </nc>
  </rcc>
  <rcc rId="3831" ua="false" sId="12">
    <oc r="C7" t="n">
      <v>0.3175</v>
    </oc>
    <nc r="C7" t="n">
      <v>0.295</v>
    </nc>
  </rcc>
  <rcc rId="3832" ua="false" sId="12">
    <oc r="D7" t="n">
      <v>-0.9225</v>
    </oc>
    <nc r="D7" t="n">
      <v>-0.875</v>
    </nc>
  </rcc>
  <rcc rId="3833" ua="false" sId="12">
    <oc r="C8" t="n">
      <v>0.3675</v>
    </oc>
    <nc r="C8" t="n">
      <v>0.355</v>
    </nc>
  </rcc>
  <rcc rId="3834" ua="false" sId="12">
    <oc r="D8" t="n">
      <v>-1.0575</v>
    </oc>
    <nc r="D8" t="n">
      <v>-1.115</v>
    </nc>
  </rcc>
  <rcc rId="3835" ua="false" sId="12">
    <oc r="C9" t="n">
      <v>0.4125</v>
    </oc>
    <nc r="C9" t="n">
      <v>0.39</v>
    </nc>
  </rcc>
  <rcc rId="3836" ua="false" sId="12">
    <oc r="D9" t="n">
      <v>-1.3175</v>
    </oc>
    <nc r="D9" t="n">
      <v>-1.34</v>
    </nc>
  </rcc>
  <rcc rId="3837" ua="false" sId="12">
    <oc r="C10" t="n">
      <v>0.4175</v>
    </oc>
    <nc r="C10" t="n">
      <v>0.405</v>
    </nc>
  </rcc>
  <rcc rId="3838" ua="false" sId="12">
    <oc r="D10" t="n">
      <v>-1.4175</v>
    </oc>
    <nc r="D10" t="n">
      <v>-1.435</v>
    </nc>
  </rcc>
  <rcc rId="3839" ua="false" sId="12">
    <oc r="C11" t="n">
      <v>0.45</v>
    </oc>
    <nc r="C11" t="n">
      <v>0.43</v>
    </nc>
  </rcc>
  <rcc rId="3840" ua="false" sId="12">
    <oc r="D11" t="n">
      <v>-1.68</v>
    </oc>
    <nc r="D11" t="n">
      <v>-1.71</v>
    </nc>
  </rcc>
  <rcc rId="3841" ua="false" sId="13">
    <oc r="C2" t="n">
      <v>0.1375</v>
    </oc>
    <nc r="C2" t="n">
      <v>0.1425</v>
    </nc>
  </rcc>
  <rcc rId="3842" ua="false" sId="13">
    <oc r="D2" t="n">
      <v>-0.225</v>
    </oc>
    <nc r="D2" t="n">
      <v>-0.0225</v>
    </nc>
  </rcc>
  <rcc rId="3843" ua="false" sId="13">
    <oc r="C3" t="n">
      <v>0.1475</v>
    </oc>
    <nc r="C3" t="n">
      <v>0.155</v>
    </nc>
  </rcc>
  <rcc rId="3844" ua="false" sId="13">
    <oc r="D3" t="n">
      <v>-0.2325</v>
    </oc>
    <nc r="D3" t="n">
      <v>-0.02</v>
    </nc>
  </rcc>
  <rcc rId="3845" ua="false" sId="13">
    <oc r="C4" t="n">
      <v>0.175</v>
    </oc>
    <nc r="C4" t="n">
      <v>0.18</v>
    </nc>
  </rcc>
  <rcc rId="3846" ua="false" sId="13">
    <oc r="D4" t="n">
      <v>-0.205</v>
    </oc>
    <nc r="D4" t="n">
      <v>0.01</v>
    </nc>
  </rcc>
  <rcc rId="3847" ua="false" sId="13">
    <oc r="C5" t="n">
      <v>0.165</v>
    </oc>
    <nc r="C5" t="n">
      <v>0.1675</v>
    </nc>
  </rcc>
  <rcc rId="3848" ua="false" sId="13">
    <oc r="D5" t="n">
      <v>-0.23</v>
    </oc>
    <nc r="D5" t="n">
      <v>0.005</v>
    </nc>
  </rcc>
  <rcc rId="3849" ua="false" sId="13">
    <oc r="C6" t="n">
      <v>0.19</v>
    </oc>
    <nc r="C6" t="n">
      <v>0.1925</v>
    </nc>
  </rcc>
  <rcc rId="3850" ua="false" sId="13">
    <oc r="D6" t="n">
      <v>-0.175</v>
    </oc>
    <nc r="D6" t="n">
      <v>0.0175</v>
    </nc>
  </rcc>
  <rcc rId="3851" ua="false" sId="13">
    <oc r="C7" t="n">
      <v>0.215</v>
    </oc>
    <nc r="C7" t="n">
      <v>0.2175</v>
    </nc>
  </rcc>
  <rcc rId="3852" ua="false" sId="13">
    <oc r="D7" t="n">
      <v>-0.105</v>
    </oc>
    <nc r="D7" t="n">
      <v>0.03</v>
    </nc>
  </rcc>
  <rcc rId="3853" ua="false" sId="13">
    <oc r="C8" t="n">
      <v>0.275</v>
    </oc>
    <nc r="C8" t="n">
      <v>0.27</v>
    </nc>
  </rcc>
  <rcc rId="3854" ua="false" sId="13">
    <oc r="D8" t="n">
      <v>0.0025</v>
    </oc>
    <nc r="D8" t="n">
      <v>0.0475</v>
    </nc>
  </rcc>
  <rcc rId="3855" ua="false" sId="13">
    <oc r="C9" t="n">
      <v>0.305</v>
    </oc>
    <nc r="C9" t="n">
      <v>0.3025</v>
    </nc>
  </rcc>
  <rcc rId="3856" ua="false" sId="13">
    <oc r="D9" t="n">
      <v>0.0575</v>
    </oc>
    <nc r="D9" t="n">
      <v>0.075</v>
    </nc>
  </rcc>
  <rcc rId="3857" ua="false" sId="13">
    <oc r="C10" t="n">
      <v>0.32</v>
    </oc>
    <nc r="C10" t="n">
      <v>0.315</v>
    </nc>
  </rcc>
  <rcc rId="3858" ua="false" sId="13">
    <oc r="D10" t="n">
      <v>0.0825</v>
    </oc>
    <nc r="D10" t="n">
      <v>0.095</v>
    </nc>
  </rcc>
  <rcc rId="3859" ua="false" sId="13">
    <oc r="C11" t="n">
      <v>0.35</v>
    </oc>
    <nc r="C11" t="n">
      <v>0.345</v>
    </nc>
  </rcc>
  <rcc rId="3860" ua="false" sId="13">
    <oc r="D11" t="n">
      <v>-0.01</v>
    </oc>
    <nc r="D11" t="n">
      <v>-0.0075</v>
    </nc>
  </rcc>
  <rcc rId="3861" ua="false" sId="14">
    <oc r="C2" t="n">
      <v>0.28</v>
    </oc>
    <nc r="C2" t="n">
      <v>0.2875</v>
    </nc>
  </rcc>
  <rcc rId="3862" ua="false" sId="14">
    <oc r="D2" t="n">
      <v>-1.4025</v>
    </oc>
    <nc r="D2" t="n">
      <v>-1.2425</v>
    </nc>
  </rcc>
  <rcc rId="3863" ua="false" sId="14">
    <oc r="C3" t="n">
      <v>0.3</v>
    </oc>
    <nc r="C3" t="n">
      <v>0.3125</v>
    </nc>
  </rcc>
  <rcc rId="3864" ua="false" sId="14">
    <oc r="D3" t="n">
      <v>-1.4875</v>
    </oc>
    <nc r="D3" t="n">
      <v>-1.3125</v>
    </nc>
  </rcc>
  <rcc rId="3865" ua="false" sId="14">
    <oc r="C4" t="n">
      <v>0.315</v>
    </oc>
    <nc r="C4" t="n">
      <v>0.335</v>
    </nc>
  </rcc>
  <rcc rId="3866" ua="false" sId="14">
    <oc r="D4" t="n">
      <v>-1.53</v>
    </oc>
    <nc r="D4" t="n">
      <v>-1.445</v>
    </nc>
  </rcc>
  <rcc rId="3867" ua="false" sId="14">
    <oc r="C5" t="n">
      <v>0.3475</v>
    </oc>
    <nc r="C5" t="n">
      <v>0.3575</v>
    </nc>
  </rcc>
  <rcc rId="3868" ua="false" sId="14">
    <oc r="D5" t="n">
      <v>-1.6025</v>
    </oc>
    <nc r="D5" t="n">
      <v>-1.4275</v>
    </nc>
  </rcc>
  <rcc rId="3869" ua="false" sId="14">
    <oc r="D6" t="n">
      <v>-1.665</v>
    </oc>
    <nc r="D6" t="n">
      <v>-1.545</v>
    </nc>
  </rcc>
  <rcc rId="3870" ua="false" sId="14">
    <oc r="D7" t="n">
      <v>-1.7425</v>
    </oc>
    <nc r="D7" t="n">
      <v>-1.63</v>
    </nc>
  </rcc>
  <rcc rId="3871" ua="false" sId="14">
    <oc r="D8" t="n">
      <v>-1.835</v>
    </oc>
    <nc r="D8" t="n">
      <v>-1.7575</v>
    </nc>
  </rcc>
  <rcc rId="3872" ua="false" sId="14">
    <oc r="D9" t="n">
      <v>-1.905</v>
    </oc>
    <nc r="D9" t="n">
      <v>-1.83</v>
    </nc>
  </rcc>
  <rcc rId="3873" ua="false" sId="14">
    <oc r="C10" t="n">
      <v>0.47</v>
    </oc>
    <nc r="C10" t="n">
      <v>0.465</v>
    </nc>
  </rcc>
  <rcc rId="3874" ua="false" sId="14">
    <oc r="D10" t="n">
      <v>-1.9525</v>
    </oc>
    <nc r="D10" t="n">
      <v>-1.88</v>
    </nc>
  </rcc>
  <rcc rId="3875" ua="false" sId="14">
    <oc r="C11" t="n">
      <v>0.49</v>
    </oc>
    <nc r="C11" t="n">
      <v>0.4925</v>
    </nc>
  </rcc>
  <rcc rId="3876" ua="false" sId="14">
    <oc r="D11" t="n">
      <v>-2.0875</v>
    </oc>
    <nc r="D11" t="n">
      <v>-2.0575</v>
    </nc>
  </rcc>
  <rcc rId="3877" ua="false" sId="15">
    <oc r="C2" t="n">
      <v>0.2125</v>
    </oc>
    <nc r="C2" t="n">
      <v>0.19</v>
    </nc>
  </rcc>
  <rcc rId="3878" ua="false" sId="15">
    <oc r="D2" t="n">
      <v>-0.0825</v>
    </oc>
    <nc r="D2" t="n">
      <v>-0.0875</v>
    </nc>
  </rcc>
  <rcc rId="3879" ua="false" sId="15">
    <oc r="C3" t="n">
      <v>0.22</v>
    </oc>
    <nc r="C3" t="n">
      <v>0.1925</v>
    </nc>
  </rcc>
  <rcc rId="3880" ua="false" sId="15">
    <oc r="D3" t="n">
      <v>-0.15</v>
    </oc>
    <nc r="D3" t="n">
      <v>-0.12</v>
    </nc>
  </rcc>
  <rcc rId="3881" ua="false" sId="15">
    <oc r="C4" t="n">
      <v>0.2375</v>
    </oc>
    <nc r="C4" t="n">
      <v>0.2325</v>
    </nc>
  </rcc>
  <rcc rId="3882" ua="false" sId="15">
    <oc r="D4" t="n">
      <v>-0.085</v>
    </oc>
    <nc r="D4" t="n">
      <v>-0.12</v>
    </nc>
  </rcc>
  <rcc rId="3883" ua="false" sId="15">
    <oc r="C5" t="n">
      <v>0.2375</v>
    </oc>
    <nc r="C5" t="n">
      <v>0.215</v>
    </nc>
  </rcc>
  <rcc rId="3884" ua="false" sId="15">
    <oc r="D5" t="n">
      <v>-0.205</v>
    </oc>
    <nc r="D5" t="n">
      <v>-0.2275</v>
    </nc>
  </rcc>
  <rcc rId="3885" ua="false" sId="15">
    <oc r="C6" t="n">
      <v>0.265</v>
    </oc>
    <nc r="C6" t="n">
      <v>0.24</v>
    </nc>
  </rcc>
  <rcc rId="3886" ua="false" sId="15">
    <oc r="D6" t="n">
      <v>-0.4375</v>
    </oc>
    <nc r="D6" t="n">
      <v>-0.4625</v>
    </nc>
  </rcc>
  <rcc rId="3887" ua="false" sId="15">
    <oc r="C7" t="n">
      <v>0.29</v>
    </oc>
    <nc r="C7" t="n">
      <v>0.27</v>
    </nc>
  </rcc>
  <rcc rId="3888" ua="false" sId="15">
    <oc r="D7" t="n">
      <v>-0.6675</v>
    </oc>
    <nc r="D7" t="n">
      <v>-0.6925</v>
    </nc>
  </rcc>
  <rcc rId="3889" ua="false" sId="15">
    <oc r="C8" t="n">
      <v>0.3375</v>
    </oc>
    <nc r="C8" t="n">
      <v>0.3225</v>
    </nc>
  </rcc>
  <rcc rId="3890" ua="false" sId="15">
    <oc r="D8" t="n">
      <v>-1.0325</v>
    </oc>
    <nc r="D8" t="n">
      <v>-1.045</v>
    </nc>
  </rcc>
  <rcc rId="3891" ua="false" sId="15">
    <oc r="D9" t="n">
      <v>-1.1825</v>
    </oc>
    <nc r="D9" t="n">
      <v>-1.195</v>
    </nc>
  </rcc>
  <rcc rId="3892" ua="false" sId="15">
    <oc r="C10" t="n">
      <v>0.3675</v>
    </oc>
    <nc r="C10" t="n">
      <v>0.3725</v>
    </nc>
  </rcc>
  <rcc rId="3893" ua="false" sId="15">
    <oc r="D10" t="n">
      <v>-1.29</v>
    </oc>
    <nc r="D10" t="n">
      <v>-1.305</v>
    </nc>
  </rcc>
  <rcc rId="3894" ua="false" sId="15">
    <oc r="C11" t="n">
      <v>0.385</v>
    </oc>
    <nc r="C11" t="n">
      <v>0.4</v>
    </nc>
  </rcc>
  <rcc rId="3895" ua="false" sId="15">
    <oc r="D11" t="n">
      <v>-1.535</v>
    </oc>
    <nc r="D11" t="n">
      <v>-1.5475</v>
    </nc>
  </rcc>
  <rcc rId="3896" ua="false" sId="16">
    <oc r="D2" t="n">
      <v>0.31</v>
    </oc>
    <nc r="D2" t="n">
      <v>0.2275</v>
    </nc>
  </rcc>
  <rcc rId="3897" ua="false" sId="16">
    <oc r="C3" t="n">
      <v>0.1825</v>
    </oc>
    <nc r="C3" t="n">
      <v>0.18</v>
    </nc>
  </rcc>
  <rcc rId="3898" ua="false" sId="16">
    <oc r="D3" t="n">
      <v>0.3375</v>
    </oc>
    <nc r="D3" t="n">
      <v>0.285</v>
    </nc>
  </rcc>
  <rcc rId="3899" ua="false" sId="16">
    <oc r="D4" t="n">
      <v>0.425</v>
    </oc>
    <nc r="D4" t="n">
      <v>0.355</v>
    </nc>
  </rcc>
  <rcc rId="3900" ua="false" sId="16">
    <oc r="C5" t="n">
      <v>0.2175</v>
    </oc>
    <nc r="C5" t="n">
      <v>0.21</v>
    </nc>
  </rcc>
  <rcc rId="3901" ua="false" sId="16">
    <oc r="D5" t="n">
      <v>0.6</v>
    </oc>
    <nc r="D5" t="n">
      <v>0.5375</v>
    </nc>
  </rcc>
  <rcc rId="3902" ua="false" sId="16">
    <oc r="C6" t="n">
      <v>0.235</v>
    </oc>
    <nc r="C6" t="n">
      <v>0.23</v>
    </nc>
  </rcc>
  <rcc rId="3903" ua="false" sId="16">
    <oc r="D6" t="n">
      <v>0.745</v>
    </oc>
    <nc r="D6" t="n">
      <v>0.67</v>
    </nc>
  </rcc>
  <rcc rId="3904" ua="false" sId="16">
    <oc r="C7" t="n">
      <v>0.29</v>
    </oc>
    <nc r="C7" t="n">
      <v>0.2825</v>
    </nc>
  </rcc>
  <rcc rId="3905" ua="false" sId="16">
    <oc r="D7" t="n">
      <v>0.99</v>
    </oc>
    <nc r="D7" t="n">
      <v>0.8875</v>
    </nc>
  </rcc>
  <rcc rId="3906" ua="false" sId="16">
    <oc r="C8" t="n">
      <v>0.32</v>
    </oc>
    <nc r="C8" t="n">
      <v>0.3025</v>
    </nc>
  </rcc>
  <rcc rId="3907" ua="false" sId="16">
    <oc r="D8" t="n">
      <v>1.11</v>
    </oc>
    <nc r="D8" t="n">
      <v>1.0125</v>
    </nc>
  </rcc>
  <rcc rId="3908" ua="false" sId="16">
    <oc r="C9" t="n">
      <v>0.34</v>
    </oc>
    <nc r="C9" t="n">
      <v>0.3275</v>
    </nc>
  </rcc>
  <rcc rId="3909" ua="false" sId="16">
    <oc r="D9" t="n">
      <v>1.22</v>
    </oc>
    <nc r="D9" t="n">
      <v>1.1225</v>
    </nc>
  </rcc>
  <rcc rId="3910" ua="false" sId="16">
    <oc r="C10" t="n">
      <v>0.3725</v>
    </oc>
    <nc r="C10" t="n">
      <v>0.365</v>
    </nc>
  </rcc>
  <rcc rId="3911" ua="false" sId="16">
    <oc r="D10" t="n">
      <v>1.2975</v>
    </oc>
    <nc r="D10" t="n">
      <v>1.25</v>
    </nc>
  </rcc>
</revisions>
</file>

<file path=xl/revisions/revisionLog402.xml><?xml version="1.0" encoding="utf-8"?>
<revisions xmlns="http://schemas.openxmlformats.org/spreadsheetml/2006/main" xmlns:r="http://schemas.openxmlformats.org/officeDocument/2006/relationships">
  <rcc rId="3912" ua="false" sId="18">
    <oc r="H2" t="n">
      <v>9.75</v>
    </oc>
    <nc r="H2" t="n">
      <v>9.45</v>
    </nc>
  </rcc>
  <rcc rId="3913" ua="false" sId="18">
    <oc r="H3" t="n">
      <v>10.25</v>
    </oc>
    <nc r="H3" t="n">
      <v>10.3</v>
    </nc>
  </rcc>
</revisions>
</file>

<file path=xl/revisions/revisionLog403.xml><?xml version="1.0" encoding="utf-8"?>
<revisions xmlns="http://schemas.openxmlformats.org/spreadsheetml/2006/main" xmlns:r="http://schemas.openxmlformats.org/officeDocument/2006/relationships">
  <rcc rId="3914" ua="false" sId="18">
    <oc r="G2" t="n">
      <v>6.3</v>
    </oc>
    <nc r="G2" t="n">
      <v>6.15</v>
    </nc>
  </rcc>
  <rcc rId="3915" ua="false" sId="18">
    <oc r="G5" t="n">
      <v>0.4</v>
    </oc>
    <nc r="G5" t="n">
      <v>0.7</v>
    </nc>
  </rcc>
  <rcc rId="3916" ua="false" sId="18">
    <oc r="G3" t="n">
      <v>7</v>
    </oc>
    <nc r="G3" t="n">
      <v>7.1</v>
    </nc>
  </rcc>
</revisions>
</file>

<file path=xl/revisions/revisionLog404.xml><?xml version="1.0" encoding="utf-8"?>
<revisions xmlns="http://schemas.openxmlformats.org/spreadsheetml/2006/main" xmlns:r="http://schemas.openxmlformats.org/officeDocument/2006/relationships">
  <rcc rId="3917" ua="false" sId="18">
    <oc r="K3" t="n">
      <v>0.195</v>
    </oc>
    <nc r="K3" t="n">
      <v>0.19</v>
    </nc>
  </rcc>
  <rcc rId="3918" ua="false" sId="18">
    <oc r="K2" t="n">
      <v>0.38</v>
    </oc>
    <nc r="K2" t="n">
      <v>0.37</v>
    </nc>
  </rcc>
  <rcc rId="3919" ua="false" sId="18">
    <oc r="K5" t="n">
      <v>1</v>
    </oc>
    <nc r="K5" t="n">
      <v>1.5</v>
    </nc>
  </rcc>
</revisions>
</file>

<file path=xl/revisions/revisionLog405.xml><?xml version="1.0" encoding="utf-8"?>
<revisions xmlns="http://schemas.openxmlformats.org/spreadsheetml/2006/main" xmlns:r="http://schemas.openxmlformats.org/officeDocument/2006/relationships">
  <rcc rId="3920" ua="false" sId="18">
    <oc r="B6" t="n">
      <v>5</v>
    </oc>
    <nc r="B6" t="n">
      <v>5.5</v>
    </nc>
  </rcc>
</revisions>
</file>

<file path=xl/revisions/revisionLog406.xml><?xml version="1.0" encoding="utf-8"?>
<revisions xmlns="http://schemas.openxmlformats.org/spreadsheetml/2006/main" xmlns:r="http://schemas.openxmlformats.org/officeDocument/2006/relationships">
  <rcc rId="3921" ua="false" sId="18">
    <oc r="I5" t="n">
      <v>0.8</v>
    </oc>
    <nc r="I5" t="n">
      <v>0.9</v>
    </nc>
  </rcc>
</revisions>
</file>

<file path=xl/revisions/revisionLog407.xml><?xml version="1.0" encoding="utf-8"?>
<revisions xmlns="http://schemas.openxmlformats.org/spreadsheetml/2006/main" xmlns:r="http://schemas.openxmlformats.org/officeDocument/2006/relationships">
  <rcc rId="3922" ua="false" sId="18">
    <oc r="J2" t="n">
      <v>11</v>
    </oc>
    <nc r="J2" t="n">
      <v>10.9</v>
    </nc>
  </rcc>
  <rcc rId="3923" ua="false" sId="18">
    <oc r="J5" t="n">
      <v>2.4</v>
    </oc>
    <nc r="J5" t="n">
      <v>1.1</v>
    </nc>
  </rcc>
  <rcc rId="3924" ua="false" sId="18">
    <oc r="J19" t="n">
      <v>6</v>
    </oc>
    <nc r="J19" t="n">
      <v>6.5</v>
    </nc>
  </rcc>
  <rcc rId="3925" ua="false" sId="18">
    <oc r="J3" t="n">
      <v>11</v>
    </oc>
    <nc r="J3" t="n">
      <v>10.75</v>
    </nc>
  </rcc>
</revisions>
</file>

<file path=xl/revisions/revisionLog408.xml><?xml version="1.0" encoding="utf-8"?>
<revisions xmlns="http://schemas.openxmlformats.org/spreadsheetml/2006/main" xmlns:r="http://schemas.openxmlformats.org/officeDocument/2006/relationships">
  <rcc rId="3926" ua="false" sId="18">
    <oc r="F5" t="n">
      <v>0.8</v>
    </oc>
    <nc r="F5" t="n">
      <v>1</v>
    </nc>
  </rcc>
  <rcc rId="3927" ua="false" sId="18">
    <oc r="F2" t="n">
      <v>5.95</v>
    </oc>
    <nc r="F2" t="n">
      <v>5.92</v>
    </nc>
  </rcc>
  <rcc rId="3928" ua="false" sId="18">
    <oc r="F3" t="n">
      <v>7.55</v>
    </oc>
    <nc r="F3" t="n">
      <v>7.58</v>
    </nc>
  </rcc>
</revisions>
</file>

<file path=xl/revisions/revisionLog409.xml><?xml version="1.0" encoding="utf-8"?>
<revisions xmlns="http://schemas.openxmlformats.org/spreadsheetml/2006/main" xmlns:r="http://schemas.openxmlformats.org/officeDocument/2006/relationships">
  <rcc rId="3929" ua="false" sId="18">
    <oc r="F5" t="n">
      <v>-0.3</v>
    </oc>
    <nc r="F5" t="n">
      <v>-0.2</v>
    </nc>
  </rcc>
  <rcc rId="3930" ua="false" sId="18">
    <oc r="F2" t="n">
      <v>6.2</v>
    </oc>
    <nc r="F2" t="n">
      <v>6.15</v>
    </nc>
  </rcc>
  <rcc rId="3931" ua="false" sId="18">
    <oc r="F3" t="n">
      <v>7.85</v>
    </oc>
    <nc r="F3" t="n">
      <v>7.8</v>
    </nc>
  </rcc>
</revisions>
</file>

<file path=xl/revisions/revisionLog410.xml><?xml version="1.0" encoding="utf-8"?>
<revisions xmlns="http://schemas.openxmlformats.org/spreadsheetml/2006/main" xmlns:r="http://schemas.openxmlformats.org/officeDocument/2006/relationships">
  <rcc rId="3932" ua="false" sId="18">
    <oc r="H3" t="n">
      <v>10.86</v>
    </oc>
    <nc r="H3" t="n">
      <v>10.95</v>
    </nc>
  </rcc>
  <rcc rId="3933" ua="false" sId="18">
    <oc r="H2" t="n">
      <v>10.84</v>
    </oc>
    <nc r="H2" t="n">
      <v>11.1</v>
    </nc>
  </rcc>
  <rcc rId="3934" ua="false" sId="18">
    <oc r="H5" t="n">
      <v>2.5</v>
    </oc>
    <nc r="H5" t="n">
      <v>3</v>
    </nc>
  </rcc>
</revisions>
</file>

<file path=xl/revisions/revisionLog411.xml><?xml version="1.0" encoding="utf-8"?>
<revisions xmlns="http://schemas.openxmlformats.org/spreadsheetml/2006/main" xmlns:r="http://schemas.openxmlformats.org/officeDocument/2006/relationships">
  <rcc rId="3935" ua="false" sId="18">
    <oc r="B2" t="n">
      <v>5.9</v>
    </oc>
    <nc r="B2" t="n">
      <v>5.5</v>
    </nc>
  </rcc>
</revisions>
</file>

<file path=xl/revisions/revisionLog412.xml><?xml version="1.0" encoding="utf-8"?>
<revisions xmlns="http://schemas.openxmlformats.org/spreadsheetml/2006/main" xmlns:r="http://schemas.openxmlformats.org/officeDocument/2006/relationships">
  <rcc rId="3936" ua="false" sId="18">
    <oc r="B5" t="n">
      <v>-0.5</v>
    </oc>
    <nc r="B5" t="n">
      <v>-0.2</v>
    </nc>
  </rcc>
</revisions>
</file>

<file path=xl/revisions/revisionLog413.xml><?xml version="1.0" encoding="utf-8"?>
<revisions xmlns="http://schemas.openxmlformats.org/spreadsheetml/2006/main" xmlns:r="http://schemas.openxmlformats.org/officeDocument/2006/relationships">
  <rcc rId="3937" ua="false" sId="18">
    <oc r="G2" t="n">
      <v>6.2</v>
    </oc>
    <nc r="G2" t="n">
      <v>6.1</v>
    </nc>
  </rcc>
  <rcc rId="3938" ua="false" sId="18">
    <oc r="G5" t="n">
      <v>2.5</v>
    </oc>
    <nc r="G5" t="n">
      <v>2.1</v>
    </nc>
  </rcc>
</revisions>
</file>

<file path=xl/revisions/revisionLog414.xml><?xml version="1.0" encoding="utf-8"?>
<revisions xmlns="http://schemas.openxmlformats.org/spreadsheetml/2006/main" xmlns:r="http://schemas.openxmlformats.org/officeDocument/2006/relationships">
  <rcc rId="3939" ua="false" sId="18">
    <oc r="H3" t="n">
      <v>10.95</v>
    </oc>
    <nc r="H3" t="n">
      <v>11</v>
    </nc>
  </rcc>
  <rcc rId="3940" ua="false" sId="18">
    <oc r="H2" t="n">
      <v>11.1</v>
    </oc>
    <nc r="H2" t="n">
      <v>11.15</v>
    </nc>
  </rcc>
  <rcc rId="3941" ua="false" sId="18">
    <oc r="H5" t="n">
      <v>3</v>
    </oc>
    <nc r="H5" t="n">
      <v>3.3</v>
    </nc>
  </rcc>
</revisions>
</file>

<file path=xl/revisions/revisionLog415.xml><?xml version="1.0" encoding="utf-8"?>
<revisions xmlns="http://schemas.openxmlformats.org/spreadsheetml/2006/main" xmlns:r="http://schemas.openxmlformats.org/officeDocument/2006/relationships">
  <rcc rId="3942" ua="false" sId="18">
    <oc r="H3" t="n">
      <v>10.4</v>
    </oc>
    <nc r="H3" t="n">
      <v>10.55</v>
    </nc>
  </rcc>
  <rcc rId="3943" ua="false" sId="18">
    <oc r="H2" t="n">
      <v>10.25</v>
    </oc>
    <nc r="H2" t="n">
      <v>10.2</v>
    </nc>
  </rcc>
  <rcc rId="3944" ua="false" sId="18">
    <oc r="H5" t="n">
      <v>0.5</v>
    </oc>
    <nc r="H5" t="n">
      <v>0.4</v>
    </nc>
  </rcc>
</revisions>
</file>

<file path=xl/revisions/revisionLog416.xml><?xml version="1.0" encoding="utf-8"?>
<revisions xmlns="http://schemas.openxmlformats.org/spreadsheetml/2006/main" xmlns:r="http://schemas.openxmlformats.org/officeDocument/2006/relationships">
  <rcc rId="3945" ua="false" sId="18">
    <oc r="H5" t="n">
      <v>2.3</v>
    </oc>
    <nc r="H5" t="n">
      <v>2</v>
    </nc>
  </rcc>
  <rcc rId="3946" ua="false" sId="18">
    <oc r="H2" t="n">
      <v>11.1</v>
    </oc>
    <nc r="H2" t="n">
      <v>11</v>
    </nc>
  </rcc>
</revisions>
</file>

<file path=xl/revisions/revisionLog417.xml><?xml version="1.0" encoding="utf-8"?>
<revisions xmlns="http://schemas.openxmlformats.org/spreadsheetml/2006/main" xmlns:r="http://schemas.openxmlformats.org/officeDocument/2006/relationships">
  <rcc rId="3947" ua="false" sId="18">
    <oc r="H5" t="n">
      <v>4</v>
    </oc>
    <nc r="H5" t="n">
      <v>4.6</v>
    </nc>
  </rcc>
</revisions>
</file>

<file path=xl/revisions/revisionLog418.xml><?xml version="1.0" encoding="utf-8"?>
<revisions xmlns="http://schemas.openxmlformats.org/spreadsheetml/2006/main" xmlns:r="http://schemas.openxmlformats.org/officeDocument/2006/relationships">
  <rrc rId="3948" ua="false" sId="19" eol="1" ref="48:48" action="insertRow"/>
  <rcc rId="3949" ua="false" sId="19">
    <nc r="B48" t="n">
      <v>143283</v>
    </nc>
  </rcc>
  <rcc rId="3950" ua="false" sId="19">
    <nc r="C48" t="n">
      <f>C47+B48</f>
    </nc>
  </rcc>
  <rcc rId="3951" ua="false" sId="19">
    <nc r="A48" t="n">
      <v>44260</v>
    </nc>
  </rcc>
</revisions>
</file>

<file path=xl/revisions/revisionLog419.xml><?xml version="1.0" encoding="utf-8"?>
<revisions xmlns="http://schemas.openxmlformats.org/spreadsheetml/2006/main" xmlns:r="http://schemas.openxmlformats.org/officeDocument/2006/relationships">
  <rcc rId="3952" ua="false" sId="18">
    <oc r="B2" t="n">
      <v>4.5</v>
    </oc>
    <nc r="B2" t="n">
      <v>5</v>
    </nc>
  </rcc>
</revisions>
</file>

<file path=xl/revisions/revisionLog420.xml><?xml version="1.0" encoding="utf-8"?>
<revisions xmlns="http://schemas.openxmlformats.org/spreadsheetml/2006/main" xmlns:r="http://schemas.openxmlformats.org/officeDocument/2006/relationships">
  <rcc rId="3953" ua="false" sId="16">
    <oc r="C2" t="n">
      <v>0.1825</v>
    </oc>
    <nc r="C2" t="n">
      <v>0.1875</v>
    </nc>
  </rcc>
  <rcc rId="3954" ua="false" sId="16">
    <oc r="D2" t="n">
      <v>0.225</v>
    </oc>
    <nc r="D2" t="n">
      <v>0.55</v>
    </nc>
  </rcc>
  <rcc rId="3955" ua="false" sId="16">
    <oc r="C3" t="n">
      <v>0.1825</v>
    </oc>
    <nc r="C3" t="n">
      <v>0.185</v>
    </nc>
  </rcc>
  <rcc rId="3956" ua="false" sId="16">
    <oc r="D3" t="n">
      <v>0.2425</v>
    </oc>
    <nc r="D3" t="n">
      <v>0.375</v>
    </nc>
  </rcc>
  <rcc rId="3957" ua="false" sId="16">
    <oc r="D4" t="n">
      <v>0.345</v>
    </oc>
    <nc r="D4" t="n">
      <v>0.485</v>
    </nc>
  </rcc>
  <rcc rId="3958" ua="false" sId="16">
    <oc r="C5" t="n">
      <v>0.2125</v>
    </oc>
    <nc r="C5" t="n">
      <v>0.22</v>
    </nc>
  </rcc>
  <rcc rId="3959" ua="false" sId="16">
    <oc r="D5" t="n">
      <v>0.4925</v>
    </oc>
    <nc r="D5" t="n">
      <v>0.5825</v>
    </nc>
  </rcc>
  <rcc rId="3960" ua="false" sId="16">
    <oc r="C6" t="n">
      <v>0.23</v>
    </oc>
    <nc r="C6" t="n">
      <v>0.24</v>
    </nc>
  </rcc>
  <rcc rId="3961" ua="false" sId="16">
    <oc r="D6" t="n">
      <v>0.63</v>
    </oc>
    <nc r="D6" t="n">
      <v>0.695</v>
    </nc>
  </rcc>
  <rcc rId="3962" ua="false" sId="16">
    <oc r="C7" t="n">
      <v>0.28</v>
    </oc>
    <nc r="C7" t="n">
      <v>0.2875</v>
    </nc>
  </rcc>
  <rcc rId="3963" ua="false" sId="16">
    <oc r="D7" t="n">
      <v>0.865</v>
    </oc>
    <nc r="D7" t="n">
      <v>0.9225</v>
    </nc>
  </rcc>
  <rcc rId="3964" ua="false" sId="16">
    <oc r="C8" t="n">
      <v>0.3075</v>
    </oc>
    <nc r="C8" t="n">
      <v>0.3175</v>
    </nc>
  </rcc>
  <rcc rId="3965" ua="false" sId="16">
    <oc r="D8" t="n">
      <v>1.0175</v>
    </oc>
    <nc r="D8" t="n">
      <v>1.08</v>
    </nc>
  </rcc>
  <rcc rId="3966" ua="false" sId="16">
    <oc r="C9" t="n">
      <v>0.3325</v>
    </oc>
    <nc r="C9" t="n">
      <v>0.34</v>
    </nc>
  </rcc>
  <rcc rId="3967" ua="false" sId="16">
    <oc r="D9" t="n">
      <v>1.145</v>
    </oc>
    <nc r="D9" t="n">
      <v>1.2125</v>
    </nc>
  </rcc>
  <rcc rId="3968" ua="false" sId="16">
    <oc r="C10" t="n">
      <v>0.365</v>
    </oc>
    <nc r="C10" t="n">
      <v>0.37</v>
    </nc>
  </rcc>
  <rcc rId="3969" ua="false" sId="16">
    <oc r="D10" t="n">
      <v>1.25</v>
    </oc>
    <nc r="D10" t="n">
      <v>1.31</v>
    </nc>
  </rcc>
</revisions>
</file>

<file path=xl/revisions/revisionLog421.xml><?xml version="1.0" encoding="utf-8"?>
<revisions xmlns="http://schemas.openxmlformats.org/spreadsheetml/2006/main" xmlns:r="http://schemas.openxmlformats.org/officeDocument/2006/relationships">
  <rcc rId="3970" ua="false" sId="16">
    <oc r="D2" t="n">
      <v>0.365</v>
    </oc>
    <nc r="D2" t="n">
      <v>0.225</v>
    </nc>
  </rcc>
</revisions>
</file>

<file path=xl/revisions/revisionLog422.xml><?xml version="1.0" encoding="utf-8"?>
<revisions xmlns="http://schemas.openxmlformats.org/spreadsheetml/2006/main" xmlns:r="http://schemas.openxmlformats.org/officeDocument/2006/relationships">
  <rcc rId="3971" ua="false" sId="18">
    <oc r="B2" t="n">
      <v>5</v>
    </oc>
    <nc r="B2" t="n">
      <v>5.15</v>
    </nc>
  </rcc>
  <rcc rId="3972" ua="false" sId="18">
    <oc r="B3" t="n">
      <v>7</v>
    </oc>
    <nc r="B3" t="n">
      <v>6.9</v>
    </nc>
  </rcc>
  <rcc rId="3973" ua="false" sId="18">
    <oc r="B5" t="n">
      <v>0</v>
    </oc>
    <nc r="B5" t="n">
      <v>0.2</v>
    </nc>
  </rcc>
</revisions>
</file>

<file path=xl/revisions/revisionLog423.xml><?xml version="1.0" encoding="utf-8"?>
<revisions xmlns="http://schemas.openxmlformats.org/spreadsheetml/2006/main" xmlns:r="http://schemas.openxmlformats.org/officeDocument/2006/relationships">
  <rcc rId="3974" ua="false" sId="18">
    <oc r="H3" t="n">
      <v>10.8</v>
    </oc>
    <nc r="H3" t="n">
      <v>10.82</v>
    </nc>
  </rcc>
  <rcc rId="3975" ua="false" sId="18">
    <oc r="H5" t="n">
      <v>1.8</v>
    </oc>
    <nc r="H5" t="n">
      <v>1.6</v>
    </nc>
  </rcc>
  <rcc rId="3976" ua="false" sId="18">
    <oc r="H2" t="n">
      <v>10.85</v>
    </oc>
    <nc r="H2" t="n">
      <v>10.83</v>
    </nc>
  </rcc>
</revisions>
</file>

<file path=xl/revisions/revisionLog424.xml><?xml version="1.0" encoding="utf-8"?>
<revisions xmlns="http://schemas.openxmlformats.org/spreadsheetml/2006/main" xmlns:r="http://schemas.openxmlformats.org/officeDocument/2006/relationships">
  <rcc rId="3977" ua="false" sId="18">
    <oc r="H2" t="n">
      <v>10.9</v>
    </oc>
    <nc r="H2" t="n">
      <v>10.85</v>
    </nc>
  </rcc>
  <rcc rId="3978" ua="false" sId="18">
    <oc r="H3" t="n">
      <v>10.85</v>
    </oc>
    <nc r="H3" t="n">
      <v>10.8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>
  <rcc rId="3979" ua="false" sId="18">
    <oc r="B2" t="n">
      <v>5</v>
    </oc>
    <nc r="B2" t="n">
      <v>5.1</v>
    </nc>
  </rcc>
</revisions>
</file>

<file path=xl/revisions/revisionLog426.xml><?xml version="1.0" encoding="utf-8"?>
<revisions xmlns="http://schemas.openxmlformats.org/spreadsheetml/2006/main" xmlns:r="http://schemas.openxmlformats.org/officeDocument/2006/relationships">
  <rcc rId="3980" ua="false" sId="2">
    <oc r="C2" t="n">
      <v>0.29</v>
    </oc>
    <nc r="C2" t="n">
      <v>0.285</v>
    </nc>
  </rcc>
  <rcc rId="3981" ua="false" sId="2">
    <oc r="D2" t="n">
      <v>-1.6825</v>
    </oc>
    <nc r="D2" t="n">
      <v>-1.33</v>
    </nc>
  </rcc>
  <rcc rId="3982" ua="false" sId="2">
    <oc r="C3" t="n">
      <v>0.3</v>
    </oc>
    <nc r="C3" t="n">
      <v>0.3075</v>
    </nc>
  </rcc>
  <rcc rId="3983" ua="false" sId="2">
    <oc r="D3" t="n">
      <v>-1.75</v>
    </oc>
    <nc r="D3" t="n">
      <v>-1.4775</v>
    </nc>
  </rcc>
  <rcc rId="3984" ua="false" sId="2">
    <oc r="C4" t="n">
      <v>0.325</v>
    </oc>
    <nc r="C4" t="n">
      <v>0.33</v>
    </nc>
  </rcc>
  <rcc rId="3985" ua="false" sId="2">
    <oc r="D4" t="n">
      <v>-1.745</v>
    </oc>
    <nc r="D4" t="n">
      <v>-1.58</v>
    </nc>
  </rcc>
  <rcc rId="3986" ua="false" sId="2">
    <oc r="C5" t="n">
      <v>0.3275</v>
    </oc>
    <nc r="C5" t="n">
      <v>0.345</v>
    </nc>
  </rcc>
  <rcc rId="3987" ua="false" sId="2">
    <oc r="D5" t="n">
      <v>-1.72</v>
    </oc>
    <nc r="D5" t="n">
      <v>-1.555</v>
    </nc>
  </rcc>
  <rcc rId="3988" ua="false" sId="2">
    <oc r="C6" t="n">
      <v>0.3625</v>
    </oc>
    <nc r="C6" t="n">
      <v>0.385</v>
    </nc>
  </rcc>
  <rcc rId="3989" ua="false" sId="2">
    <oc r="D6" t="n">
      <v>-1.7575</v>
    </oc>
    <nc r="D6" t="n">
      <v>-1.615</v>
    </nc>
  </rcc>
  <rcc rId="3990" ua="false" sId="2">
    <oc r="C7" t="n">
      <v>0.39</v>
    </oc>
    <nc r="C7" t="n">
      <v>0.41</v>
    </nc>
  </rcc>
  <rcc rId="3991" ua="false" sId="2">
    <oc r="D7" t="n">
      <v>-1.86</v>
    </oc>
    <nc r="D7" t="n">
      <v>-1.725</v>
    </nc>
  </rcc>
  <rcc rId="3992" ua="false" sId="2">
    <oc r="C8" t="n">
      <v>0.42</v>
    </oc>
    <nc r="C8" t="n">
      <v>0.435</v>
    </nc>
  </rcc>
  <rcc rId="3993" ua="false" sId="2">
    <oc r="D8" t="n">
      <v>-1.8825</v>
    </oc>
    <nc r="D8" t="n">
      <v>-1.765</v>
    </nc>
  </rcc>
  <rcc rId="3994" ua="false" sId="2">
    <oc r="C9" t="n">
      <v>0.435</v>
    </oc>
    <nc r="C9" t="n">
      <v>0.455</v>
    </nc>
  </rcc>
  <rcc rId="3995" ua="false" sId="2">
    <oc r="D9" t="n">
      <v>-1.885</v>
    </oc>
    <nc r="D9" t="n">
      <v>-1.825</v>
    </nc>
  </rcc>
  <rcc rId="3996" ua="false" sId="2">
    <oc r="C10" t="n">
      <v>0.4425</v>
    </oc>
    <nc r="C10" t="n">
      <v>0.4575</v>
    </nc>
  </rcc>
  <rcc rId="3997" ua="false" sId="2">
    <oc r="D10" t="n">
      <v>-1.9225</v>
    </oc>
    <nc r="D10" t="n">
      <v>-1.8475</v>
    </nc>
  </rcc>
  <rcc rId="3998" ua="false" sId="2">
    <oc r="C11" t="n">
      <v>0.4175</v>
    </oc>
    <nc r="C11" t="n">
      <v>0.4475</v>
    </nc>
  </rcc>
  <rcc rId="3999" ua="false" sId="3">
    <oc r="C2" t="n">
      <v>0.2</v>
    </oc>
    <nc r="C2" t="n">
      <v>0.2175</v>
    </nc>
  </rcc>
  <rcc rId="4000" ua="false" sId="3">
    <oc r="D2" t="n">
      <v>-0.535</v>
    </oc>
    <nc r="D2" t="n">
      <v>-0.5875</v>
    </nc>
  </rcc>
  <rcc rId="4001" ua="false" sId="3">
    <oc r="C3" t="n">
      <v>0.2025</v>
    </oc>
    <nc r="C3" t="n">
      <v>0.21</v>
    </nc>
  </rcc>
  <rcc rId="4002" ua="false" sId="3">
    <oc r="D3" t="n">
      <v>-0.605</v>
    </oc>
    <nc r="D3" t="n">
      <v>-0.665</v>
    </nc>
  </rcc>
  <rcc rId="4003" ua="false" sId="3">
    <oc r="C4" t="n">
      <v>0.215</v>
    </oc>
    <nc r="C4" t="n">
      <v>0.2125</v>
    </nc>
  </rcc>
  <rcc rId="4004" ua="false" sId="3">
    <oc r="D4" t="n">
      <v>-0.745</v>
    </oc>
    <nc r="D4" t="n">
      <v>-0.6925</v>
    </nc>
  </rcc>
  <rcc rId="4005" ua="false" sId="3">
    <oc r="C5" t="n">
      <v>0.235</v>
    </oc>
    <nc r="C5" t="n">
      <v>0.25</v>
    </nc>
  </rcc>
  <rcc rId="4006" ua="false" sId="3">
    <oc r="D5" t="n">
      <v>-0.675</v>
    </oc>
    <nc r="D5" t="n">
      <v>-0.7325</v>
    </nc>
  </rcc>
  <rcc rId="4007" ua="false" sId="3">
    <oc r="C6" t="n">
      <v>0.27</v>
    </oc>
    <nc r="C6" t="n">
      <v>0.2875</v>
    </nc>
  </rcc>
  <rcc rId="4008" ua="false" sId="3">
    <oc r="D6" t="n">
      <v>-0.86</v>
    </oc>
    <nc r="D6" t="n">
      <v>-0.8975</v>
    </nc>
  </rcc>
  <rcc rId="4009" ua="false" sId="3">
    <oc r="C7" t="n">
      <v>0.31</v>
    </oc>
    <nc r="C7" t="n">
      <v>0.335</v>
    </nc>
  </rcc>
  <rcc rId="4010" ua="false" sId="3">
    <oc r="D7" t="n">
      <v>-0.935</v>
    </oc>
    <nc r="D7" t="n">
      <v>-0.96</v>
    </nc>
  </rcc>
  <rcc rId="4011" ua="false" sId="3">
    <oc r="C8" t="n">
      <v>0.38</v>
    </oc>
    <nc r="C8" t="n">
      <v>0.385</v>
    </nc>
  </rcc>
  <rcc rId="4012" ua="false" sId="3">
    <oc r="D8" t="n">
      <v>-1.055</v>
    </oc>
    <nc r="D8" t="n">
      <v>-1.01</v>
    </nc>
  </rcc>
  <rcc rId="4013" ua="false" sId="3">
    <oc r="C9" t="n">
      <v>0.42</v>
    </oc>
    <nc r="C9" t="n">
      <v>0.41</v>
    </nc>
  </rcc>
  <rcc rId="4014" ua="false" sId="3">
    <oc r="D9" t="n">
      <v>-1.13</v>
    </oc>
    <nc r="D9" t="n">
      <v>-1.0825</v>
    </nc>
  </rcc>
  <rcc rId="4015" ua="false" sId="3">
    <oc r="C10" t="n">
      <v>0.44</v>
    </oc>
    <nc r="C10" t="n">
      <v>0.425</v>
    </nc>
  </rcc>
  <rcc rId="4016" ua="false" sId="3">
    <oc r="D10" t="n">
      <v>-1.19</v>
    </oc>
    <nc r="D10" t="n">
      <v>-1.1275</v>
    </nc>
  </rcc>
  <rcc rId="4017" ua="false" sId="3">
    <oc r="C11" t="n">
      <v>0.445</v>
    </oc>
    <nc r="C11" t="n">
      <v>0.4525</v>
    </nc>
  </rcc>
  <rcc rId="4018" ua="false" sId="3">
    <oc r="D11" t="n">
      <v>-1.23</v>
    </oc>
    <nc r="D11" t="n">
      <v>-1.2275</v>
    </nc>
  </rcc>
  <rcc rId="4019" ua="false" sId="4">
    <oc r="C2" t="n">
      <v>0.225</v>
    </oc>
    <nc r="C2" t="n">
      <v>0.23</v>
    </nc>
  </rcc>
  <rcc rId="4020" ua="false" sId="4">
    <oc r="D2" t="n">
      <v>0.8775</v>
    </oc>
    <nc r="D2" t="n">
      <v>0.61</v>
    </nc>
  </rcc>
  <rcc rId="4021" ua="false" sId="4">
    <oc r="C3" t="n">
      <v>0.225</v>
    </oc>
    <nc r="C3" t="n">
      <v>0.2375</v>
    </nc>
  </rcc>
  <rcc rId="4022" ua="false" sId="4">
    <oc r="D3" t="n">
      <v>0.8675</v>
    </oc>
    <nc r="D3" t="n">
      <v>0.65</v>
    </nc>
  </rcc>
  <rcc rId="4023" ua="false" sId="4">
    <oc r="C4" t="n">
      <v>0.2325</v>
    </oc>
    <nc r="C4" t="n">
      <v>0.2425</v>
    </nc>
  </rcc>
  <rcc rId="4024" ua="false" sId="4">
    <oc r="D4" t="n">
      <v>0.825</v>
    </oc>
    <nc r="D4" t="n">
      <v>0.62</v>
    </nc>
  </rcc>
  <rcc rId="4025" ua="false" sId="4">
    <oc r="C5" t="n">
      <v>0.2375</v>
    </oc>
    <nc r="C5" t="n">
      <v>0.255</v>
    </nc>
  </rcc>
  <rcc rId="4026" ua="false" sId="4">
    <oc r="D5" t="n">
      <v>0.8125</v>
    </oc>
    <nc r="D5" t="n">
      <v>0.64</v>
    </nc>
  </rcc>
  <rcc rId="4027" ua="false" sId="4">
    <oc r="C6" t="n">
      <v>0.2675</v>
    </oc>
    <nc r="C6" t="n">
      <v>0.275</v>
    </nc>
  </rcc>
  <rcc rId="4028" ua="false" sId="4">
    <oc r="D6" t="n">
      <v>0.795</v>
    </oc>
    <nc r="D6" t="n">
      <v>0.6375</v>
    </nc>
  </rcc>
  <rcc rId="4029" ua="false" sId="4">
    <oc r="C7" t="n">
      <v>0.2975</v>
    </oc>
    <nc r="C7" t="n">
      <v>0.3075</v>
    </nc>
  </rcc>
  <rcc rId="4030" ua="false" sId="4">
    <oc r="D7" t="n">
      <v>0.7825</v>
    </oc>
    <nc r="D7" t="n">
      <v>0.655</v>
    </nc>
  </rcc>
  <rcc rId="4031" ua="false" sId="4">
    <oc r="C8" t="n">
      <v>0.3475</v>
    </oc>
    <nc r="C8" t="n">
      <v>0.36</v>
    </nc>
  </rcc>
  <rcc rId="4032" ua="false" sId="4">
    <oc r="D8" t="n">
      <v>0.75</v>
    </oc>
    <nc r="D8" t="n">
      <v>0.6525</v>
    </nc>
  </rcc>
  <rcc rId="4033" ua="false" sId="4">
    <oc r="C9" t="n">
      <v>0.4025</v>
    </oc>
    <nc r="C9" t="n">
      <v>0.42</v>
    </nc>
  </rcc>
  <rcc rId="4034" ua="false" sId="4">
    <oc r="D9" t="n">
      <v>0.7425</v>
    </oc>
    <nc r="D9" t="n">
      <v>0.7025</v>
    </nc>
  </rcc>
  <rcc rId="4035" ua="false" sId="4">
    <oc r="C10" t="n">
      <v>0.405</v>
    </oc>
    <nc r="C10" t="n">
      <v>0.4175</v>
    </nc>
  </rcc>
  <rcc rId="4036" ua="false" sId="4">
    <oc r="D10" t="n">
      <v>0.65</v>
    </oc>
    <nc r="D10" t="n">
      <v>0.6575</v>
    </nc>
  </rcc>
  <rcc rId="4037" ua="false" sId="4">
    <oc r="C11" t="n">
      <v>0.425</v>
    </oc>
    <nc r="C11" t="n">
      <v>0.43</v>
    </nc>
  </rcc>
  <rcc rId="4038" ua="false" sId="4">
    <oc r="D11" t="n">
      <v>0.66</v>
    </oc>
    <nc r="D11" t="n">
      <v>0.715</v>
    </nc>
  </rcc>
  <rcc rId="4039" ua="false" sId="5">
    <oc r="D2" t="n">
      <v>0.375</v>
    </oc>
    <nc r="D2" t="n">
      <v>0.3875</v>
    </nc>
  </rcc>
  <rcc rId="4040" ua="false" sId="5">
    <oc r="C3" t="n">
      <v>0.1475</v>
    </oc>
    <nc r="C3" t="n">
      <v>0.1525</v>
    </nc>
  </rcc>
  <rcc rId="4041" ua="false" sId="5">
    <oc r="C4" t="n">
      <v>0.17</v>
    </oc>
    <nc r="C4" t="n">
      <v>0.165</v>
    </nc>
  </rcc>
  <rcc rId="4042" ua="false" sId="5">
    <oc r="D4" t="n">
      <v>0.52</v>
    </oc>
    <nc r="D4" t="n">
      <v>0.5325</v>
    </nc>
  </rcc>
  <rcc rId="4043" ua="false" sId="5">
    <oc r="C5" t="n">
      <v>0.165</v>
    </oc>
    <nc r="C5" t="n">
      <v>0.17</v>
    </nc>
  </rcc>
  <rcc rId="4044" ua="false" sId="5">
    <oc r="D5" t="n">
      <v>0.555</v>
    </oc>
    <nc r="D5" t="n">
      <v>0.5725</v>
    </nc>
  </rcc>
  <rcc rId="4045" ua="false" sId="5">
    <oc r="C6" t="n">
      <v>0.185</v>
    </oc>
    <nc r="C6" t="n">
      <v>0.19</v>
    </nc>
  </rcc>
  <rcc rId="4046" ua="false" sId="5">
    <oc r="D6" t="n">
      <v>0.66</v>
    </oc>
    <nc r="D6" t="n">
      <v>0.7</v>
    </nc>
  </rcc>
  <rcc rId="4047" ua="false" sId="5">
    <oc r="C7" t="n">
      <v>0.22</v>
    </oc>
    <nc r="C7" t="n">
      <v>0.2225</v>
    </nc>
  </rcc>
  <rcc rId="4048" ua="false" sId="5">
    <oc r="D7" t="n">
      <v>0.74</v>
    </oc>
    <nc r="D7" t="n">
      <v>0.7775</v>
    </nc>
  </rcc>
  <rcc rId="4049" ua="false" sId="5">
    <oc r="C8" t="n">
      <v>0.2775</v>
    </oc>
    <nc r="C8" t="n">
      <v>0.285</v>
    </nc>
  </rcc>
  <rcc rId="4050" ua="false" sId="5">
    <oc r="D8" t="n">
      <v>0.8525</v>
    </oc>
    <nc r="D8" t="n">
      <v>0.8625</v>
    </nc>
  </rcc>
  <rcc rId="4051" ua="false" sId="5">
    <oc r="C9" t="n">
      <v>0.3075</v>
    </oc>
    <nc r="C9" t="n">
      <v>0.31</v>
    </nc>
  </rcc>
  <rcc rId="4052" ua="false" sId="5">
    <oc r="D9" t="n">
      <v>0.9075</v>
    </oc>
    <nc r="D9" t="n">
      <v>0.9125</v>
    </nc>
  </rcc>
  <rcc rId="4053" ua="false" sId="5">
    <oc r="C10" t="n">
      <v>0.3025</v>
    </oc>
    <nc r="C10" t="n">
      <v>0.305</v>
    </nc>
  </rcc>
  <rcc rId="4054" ua="false" sId="5">
    <oc r="D10" t="n">
      <v>0.9675</v>
    </oc>
    <nc r="D10" t="n">
      <v>0.9725</v>
    </nc>
  </rcc>
  <rcc rId="4055" ua="false" sId="5">
    <oc r="C11" t="n">
      <v>0.3375</v>
    </oc>
    <nc r="C11" t="n">
      <v>0.3425</v>
    </nc>
  </rcc>
  <rcc rId="4056" ua="false" sId="5">
    <oc r="D11" t="n">
      <v>0.9375</v>
    </oc>
    <nc r="D11" t="n">
      <v>0.93</v>
    </nc>
  </rcc>
  <rcc rId="4057" ua="false" sId="10">
    <oc r="C2" t="n">
      <v>0.1325</v>
    </oc>
    <nc r="C2" t="n">
      <v>0.14</v>
    </nc>
  </rcc>
  <rcc rId="4058" ua="false" sId="10">
    <oc r="D2" t="n">
      <v>0.01</v>
    </oc>
    <nc r="D2" t="n">
      <v>0.0075</v>
    </nc>
  </rcc>
  <rcc rId="4059" ua="false" sId="10">
    <oc r="D3" t="n">
      <v>0.07</v>
    </oc>
    <nc r="D3" t="n">
      <v>0.0775</v>
    </nc>
  </rcc>
  <rcc rId="4060" ua="false" sId="10">
    <oc r="C4" t="n">
      <v>0.1675</v>
    </oc>
    <nc r="C4" t="n">
      <v>0.1525</v>
    </nc>
  </rcc>
  <rcc rId="4061" ua="false" sId="10">
    <oc r="D4" t="n">
      <v>0.21</v>
    </oc>
    <nc r="D4" t="n">
      <v>0.2075</v>
    </nc>
  </rcc>
  <rcc rId="4062" ua="false" sId="10">
    <oc r="C5" t="n">
      <v>0.18</v>
    </oc>
    <nc r="C5" t="n">
      <v>0.1825</v>
    </nc>
  </rcc>
  <rcc rId="4063" ua="false" sId="10">
    <oc r="D5" t="n">
      <v>0.31</v>
    </oc>
    <nc r="D5" t="n">
      <v>0.2875</v>
    </nc>
  </rcc>
  <rcc rId="4064" ua="false" sId="10">
    <oc r="D6" t="n">
      <v>0.4125</v>
    </oc>
    <nc r="D6" t="n">
      <v>0.405</v>
    </nc>
  </rcc>
  <rcc rId="4065" ua="false" sId="10">
    <oc r="C7" t="n">
      <v>0.2625</v>
    </oc>
    <nc r="C7" t="n">
      <v>0.255</v>
    </nc>
  </rcc>
  <rcc rId="4066" ua="false" sId="10">
    <oc r="D7" t="n">
      <v>0.6125</v>
    </oc>
    <nc r="D7" t="n">
      <v>0.6075</v>
    </nc>
  </rcc>
  <rcc rId="4067" ua="false" sId="10">
    <oc r="C8" t="n">
      <v>0.3025</v>
    </oc>
    <nc r="C8" t="n">
      <v>0.305</v>
    </nc>
  </rcc>
  <rcc rId="4068" ua="false" sId="10">
    <oc r="D8" t="n">
      <v>0.4575</v>
    </oc>
    <nc r="D8" t="n">
      <v>0.485</v>
    </nc>
  </rcc>
  <rcc rId="4069" ua="false" sId="10">
    <oc r="D9" t="n">
      <v>0.8775</v>
    </oc>
    <nc r="D9" t="n">
      <v>0.8875</v>
    </nc>
  </rcc>
  <rcc rId="4070" ua="false" sId="10">
    <oc r="C10" t="n">
      <v>0.3625</v>
    </oc>
    <nc r="C10" t="n">
      <v>0.36</v>
    </nc>
  </rcc>
  <rcc rId="4071" ua="false" sId="10">
    <oc r="D10" t="n">
      <v>1.09</v>
    </oc>
    <nc r="D10" t="n">
      <v>1.0725</v>
    </nc>
  </rcc>
  <rcc rId="4072" ua="false" sId="11">
    <oc r="C2" t="n">
      <v>0.3025</v>
    </oc>
    <nc r="C2" t="n">
      <v>0.3</v>
    </nc>
  </rcc>
  <rcc rId="4073" ua="false" sId="11">
    <oc r="D2" t="n">
      <v>-1.51</v>
    </oc>
    <nc r="D2" t="n">
      <v>-1.275</v>
    </nc>
  </rcc>
  <rcc rId="4074" ua="false" sId="11">
    <oc r="C3" t="n">
      <v>0.3125</v>
    </oc>
    <nc r="C3" t="n">
      <v>0.315</v>
    </nc>
  </rcc>
  <rcc rId="4075" ua="false" sId="11">
    <oc r="D3" t="n">
      <v>-1.6975</v>
    </oc>
    <nc r="D3" t="n">
      <v>-1.495</v>
    </nc>
  </rcc>
  <rcc rId="4076" ua="false" sId="11">
    <oc r="D4" t="n">
      <v>-1.62</v>
    </oc>
    <nc r="D4" t="n">
      <v>-1.5575</v>
    </nc>
  </rcc>
  <rcc rId="4077" ua="false" sId="11">
    <oc r="C5" t="n">
      <v>0.335</v>
    </oc>
    <nc r="C5" t="n">
      <v>0.3375</v>
    </nc>
  </rcc>
  <rcc rId="4078" ua="false" sId="11">
    <oc r="D5" t="n">
      <v>-1.945</v>
    </oc>
    <nc r="D5" t="n">
      <v>-1.82</v>
    </nc>
  </rcc>
  <rcc rId="4079" ua="false" sId="11">
    <oc r="C6" t="n">
      <v>0.3925</v>
    </oc>
    <nc r="C6" t="n">
      <v>0.39</v>
    </nc>
  </rcc>
  <rcc rId="4080" ua="false" sId="11">
    <oc r="D6" t="n">
      <v>-2.2825</v>
    </oc>
    <nc r="D6" t="n">
      <v>-2.205</v>
    </nc>
  </rcc>
  <rcc rId="4081" ua="false" sId="11">
    <oc r="C7" t="n">
      <v>0.435</v>
    </oc>
    <nc r="C7" t="n">
      <v>0.4225</v>
    </nc>
  </rcc>
  <rcc rId="4082" ua="false" sId="11">
    <oc r="D7" t="n">
      <v>-2.5575</v>
    </oc>
    <nc r="D7" t="n">
      <v>-2.4825</v>
    </nc>
  </rcc>
  <rcc rId="4083" ua="false" sId="11">
    <oc r="C8" t="n">
      <v>0.5075</v>
    </oc>
    <nc r="C8" t="n">
      <v>0.4975</v>
    </nc>
  </rcc>
  <rcc rId="4084" ua="false" sId="11">
    <oc r="D8" t="n">
      <v>-2.895</v>
    </oc>
    <nc r="D8" t="n">
      <v>-2.865</v>
    </nc>
  </rcc>
  <rcc rId="4085" ua="false" sId="11">
    <oc r="C9" t="n">
      <v>0.5375</v>
    </oc>
    <nc r="C9" t="n">
      <v>0.5425</v>
    </nc>
  </rcc>
  <rcc rId="4086" ua="false" sId="11">
    <oc r="D9" t="n">
      <v>-3.03</v>
    </oc>
    <nc r="D9" t="n">
      <v>-3.0475</v>
    </nc>
  </rcc>
  <rcc rId="4087" ua="false" sId="11">
    <oc r="C10" t="n">
      <v>0.56</v>
    </oc>
    <nc r="C10" t="n">
      <v>0.57</v>
    </nc>
  </rcc>
  <rcc rId="4088" ua="false" sId="11">
    <oc r="D10" t="n">
      <v>-3.14</v>
    </oc>
    <nc r="D10" t="n">
      <v>-3.205</v>
    </nc>
  </rcc>
  <rcc rId="4089" ua="false" sId="11">
    <oc r="C11" t="n">
      <v>0.495</v>
    </oc>
    <nc r="C11" t="n">
      <v>0.545</v>
    </nc>
  </rcc>
  <rcc rId="4090" ua="false" sId="11">
    <oc r="D11" t="n">
      <v>-3.54</v>
    </oc>
    <nc r="D11" t="n">
      <v>-3.57</v>
    </nc>
  </rcc>
  <rcc rId="4091" ua="false" sId="12">
    <oc r="C2" t="n">
      <v>0.205</v>
    </oc>
    <nc r="C2" t="n">
      <v>0.2125</v>
    </nc>
  </rcc>
  <rcc rId="4092" ua="false" sId="12">
    <oc r="D2" t="n">
      <v>-0.4675</v>
    </oc>
    <nc r="D2" t="n">
      <v>-0.4525</v>
    </nc>
  </rcc>
  <rcc rId="4093" ua="false" sId="12">
    <oc r="C3" t="n">
      <v>0.2125</v>
    </oc>
    <nc r="C3" t="n">
      <v>0.215</v>
    </nc>
  </rcc>
  <rcc rId="4094" ua="false" sId="12">
    <oc r="D3" t="n">
      <v>-0.4925</v>
    </oc>
    <nc r="D3" t="n">
      <v>-0.4625</v>
    </nc>
  </rcc>
  <rcc rId="4095" ua="false" sId="12">
    <oc r="D4" t="n">
      <v>-0.48</v>
    </oc>
    <nc r="D4" t="n">
      <v>-0.485</v>
    </nc>
  </rcc>
  <rcc rId="4096" ua="false" sId="12">
    <oc r="C5" t="n">
      <v>0.2425</v>
    </oc>
    <nc r="C5" t="n">
      <v>0.25</v>
    </nc>
  </rcc>
  <rcc rId="4097" ua="false" sId="12">
    <oc r="D5" t="n">
      <v>-0.5375</v>
    </oc>
    <nc r="D5" t="n">
      <v>-0.525</v>
    </nc>
  </rcc>
  <rcc rId="4098" ua="false" sId="12">
    <oc r="C6" t="n">
      <v>0.2675</v>
    </oc>
    <nc r="C6" t="n">
      <v>0.275</v>
    </nc>
  </rcc>
  <rcc rId="4099" ua="false" sId="12">
    <oc r="D6" t="n">
      <v>-0.715</v>
    </oc>
    <nc r="D6" t="n">
      <v>-0.7075</v>
    </nc>
  </rcc>
  <rcc rId="4100" ua="false" sId="12">
    <oc r="C7" t="n">
      <v>0.3</v>
    </oc>
    <nc r="C7" t="n">
      <v>0.3075</v>
    </nc>
  </rcc>
  <rcc rId="4101" ua="false" sId="12">
    <oc r="D7" t="n">
      <v>-0.905</v>
    </oc>
    <nc r="D7" t="n">
      <v>-0.9025</v>
    </nc>
  </rcc>
  <rcc rId="4102" ua="false" sId="12">
    <oc r="C8" t="n">
      <v>0.3625</v>
    </oc>
    <nc r="C8" t="n">
      <v>0.36</v>
    </nc>
  </rcc>
  <rcc rId="4103" ua="false" sId="12">
    <oc r="D8" t="n">
      <v>-1.09</v>
    </oc>
    <nc r="D8" t="n">
      <v>-1.0775</v>
    </nc>
  </rcc>
  <rcc rId="4104" ua="false" sId="12">
    <oc r="C9" t="n">
      <v>0.395</v>
    </oc>
    <nc r="C9" t="n">
      <v>0.405</v>
    </nc>
  </rcc>
  <rcc rId="4105" ua="false" sId="12">
    <oc r="D9" t="n">
      <v>-1.32</v>
    </oc>
    <nc r="D9" t="n">
      <v>-1.3275</v>
    </nc>
  </rcc>
  <rcc rId="4106" ua="false" sId="12">
    <oc r="C10" t="n">
      <v>0.4125</v>
    </oc>
    <nc r="C10" t="n">
      <v>0.42</v>
    </nc>
  </rcc>
  <rcc rId="4107" ua="false" sId="12">
    <oc r="C11" t="n">
      <v>0.45</v>
    </oc>
    <nc r="C11" t="n">
      <v>0.4625</v>
    </nc>
  </rcc>
  <rcc rId="4108" ua="false" sId="13">
    <oc r="C2" t="n">
      <v>0.1575</v>
    </oc>
    <nc r="C2" t="n">
      <v>0.145</v>
    </nc>
  </rcc>
  <rcc rId="4109" ua="false" sId="13">
    <oc r="D2" t="n">
      <v>-0.2925</v>
    </oc>
    <nc r="D2" t="n">
      <v>-0.3475</v>
    </nc>
  </rcc>
  <rcc rId="4110" ua="false" sId="13">
    <oc r="C3" t="n">
      <v>0.1575</v>
    </oc>
    <nc r="C3" t="n">
      <v>0.15</v>
    </nc>
  </rcc>
  <rcc rId="4111" ua="false" sId="13">
    <oc r="D3" t="n">
      <v>-0.2525</v>
    </oc>
    <nc r="D3" t="n">
      <v>-0.34</v>
    </nc>
  </rcc>
  <rcc rId="4112" ua="false" sId="13">
    <oc r="C4" t="n">
      <v>0.19</v>
    </oc>
    <nc r="C4" t="n">
      <v>0.15</v>
    </nc>
  </rcc>
  <rcc rId="4113" ua="false" sId="13">
    <oc r="D4" t="n">
      <v>-0.305</v>
    </oc>
    <nc r="D4" t="n">
      <v>-0.29</v>
    </nc>
  </rcc>
  <rcc rId="4114" ua="false" sId="13">
    <oc r="C5" t="n">
      <v>0.165</v>
    </oc>
    <nc r="C5" t="n">
      <v>0.16</v>
    </nc>
  </rcc>
  <rcc rId="4115" ua="false" sId="13">
    <oc r="D5" t="n">
      <v>-0.2</v>
    </oc>
    <nc r="D5" t="n">
      <v>-0.255</v>
    </nc>
  </rcc>
  <rcc rId="4116" ua="false" sId="13">
    <oc r="C6" t="n">
      <v>0.19</v>
    </oc>
    <nc r="C6" t="n">
      <v>0.18</v>
    </nc>
  </rcc>
  <rcc rId="4117" ua="false" sId="13">
    <oc r="D6" t="n">
      <v>-0.12</v>
    </oc>
    <nc r="D6" t="n">
      <v>-0.1925</v>
    </nc>
  </rcc>
  <rcc rId="4118" ua="false" sId="13">
    <oc r="C7" t="n">
      <v>0.215</v>
    </oc>
    <nc r="C7" t="n">
      <v>0.21</v>
    </nc>
  </rcc>
  <rcc rId="4119" ua="false" sId="13">
    <oc r="D7" t="n">
      <v>-0.0725</v>
    </oc>
    <nc r="D7" t="n">
      <v>-0.13</v>
    </nc>
  </rcc>
  <rcc rId="4120" ua="false" sId="13">
    <oc r="C8" t="n">
      <v>0.275</v>
    </oc>
    <nc r="C8" t="n">
      <v>0.27</v>
    </nc>
  </rcc>
  <rcc rId="4121" ua="false" sId="13">
    <oc r="D8" t="n">
      <v>0.0125</v>
    </oc>
    <nc r="D8" t="n">
      <v>-0.03</v>
    </nc>
  </rcc>
  <rcc rId="4122" ua="false" sId="13">
    <oc r="C9" t="n">
      <v>0.305</v>
    </oc>
    <nc r="C9" t="n">
      <v>0.3</v>
    </nc>
  </rcc>
  <rcc rId="4123" ua="false" sId="13">
    <oc r="D9" t="n">
      <v>0.06</v>
    </oc>
    <nc r="D9" t="n">
      <v>0.035</v>
    </nc>
  </rcc>
  <rcc rId="4124" ua="false" sId="13">
    <oc r="C10" t="n">
      <v>0.3275</v>
    </oc>
    <nc r="C10" t="n">
      <v>0.325</v>
    </nc>
  </rcc>
  <rcc rId="4125" ua="false" sId="13">
    <oc r="D10" t="n">
      <v>0.08</v>
    </oc>
    <nc r="D10" t="n">
      <v>0.045</v>
    </nc>
  </rcc>
  <rcc rId="4126" ua="false" sId="13">
    <oc r="D11" t="n">
      <v>-0.035</v>
    </oc>
    <nc r="D11" t="n">
      <v>-0.05</v>
    </nc>
  </rcc>
  <rcc rId="4127" ua="false" sId="14">
    <oc r="C2" t="n">
      <v>0.3</v>
    </oc>
    <nc r="C2" t="n">
      <v>0.305</v>
    </nc>
  </rcc>
  <rcc rId="4128" ua="false" sId="14">
    <oc r="D2" t="n">
      <v>-1.62</v>
    </oc>
    <nc r="D2" t="n">
      <v>-1.425</v>
    </nc>
  </rcc>
  <rcc rId="4129" ua="false" sId="14">
    <oc r="C3" t="n">
      <v>0.3325</v>
    </oc>
    <nc r="C3" t="n">
      <v>0.34</v>
    </nc>
  </rcc>
  <rcc rId="4130" ua="false" sId="14">
    <oc r="D3" t="n">
      <v>-1.7325</v>
    </oc>
    <nc r="D3" t="n">
      <v>-1.5725</v>
    </nc>
  </rcc>
  <rcc rId="4131" ua="false" sId="14">
    <oc r="C4" t="n">
      <v>0.37</v>
    </oc>
    <nc r="C4" t="n">
      <v>0.365</v>
    </nc>
  </rcc>
  <rcc rId="4132" ua="false" sId="14">
    <oc r="D4" t="n">
      <v>-1.855</v>
    </oc>
    <nc r="D4" t="n">
      <v>-1.71</v>
    </nc>
  </rcc>
  <rcc rId="4133" ua="false" sId="14">
    <oc r="D5" t="n">
      <v>-1.84</v>
    </oc>
    <nc r="D5" t="n">
      <v>-1.74</v>
    </nc>
  </rcc>
  <rcc rId="4134" ua="false" sId="14">
    <oc r="C6" t="n">
      <v>0.405</v>
    </oc>
    <nc r="C6" t="n">
      <v>0.415</v>
    </nc>
  </rcc>
  <rcc rId="4135" ua="false" sId="14">
    <oc r="D6" t="n">
      <v>-1.905</v>
    </oc>
    <nc r="D6" t="n">
      <v>-1.79</v>
    </nc>
  </rcc>
  <rcc rId="4136" ua="false" sId="14">
    <oc r="C7" t="n">
      <v>0.4375</v>
    </oc>
    <nc r="C7" t="n">
      <v>0.4325</v>
    </nc>
  </rcc>
  <rcc rId="4137" ua="false" sId="14">
    <oc r="D7" t="n">
      <v>-1.9375</v>
    </oc>
    <nc r="D7" t="n">
      <v>-1.8325</v>
    </nc>
  </rcc>
  <rcc rId="4138" ua="false" sId="14">
    <oc r="C8" t="n">
      <v>0.4575</v>
    </oc>
    <nc r="C8" t="n">
      <v>0.4625</v>
    </nc>
  </rcc>
  <rcc rId="4139" ua="false" sId="14">
    <oc r="D8" t="n">
      <v>-1.9775</v>
    </oc>
    <nc r="D8" t="n">
      <v>-1.8875</v>
    </nc>
  </rcc>
  <rcc rId="4140" ua="false" sId="14">
    <oc r="C9" t="n">
      <v>0.4775</v>
    </oc>
    <nc r="C9" t="n">
      <v>0.4825</v>
    </nc>
  </rcc>
  <rcc rId="4141" ua="false" sId="14">
    <oc r="D9" t="n">
      <v>-1.9775</v>
    </oc>
    <nc r="D9" t="n">
      <v>-1.9275</v>
    </nc>
  </rcc>
  <rcc rId="4142" ua="false" sId="14">
    <oc r="C10" t="n">
      <v>0.485</v>
    </oc>
    <nc r="C10" t="n">
      <v>0.48</v>
    </nc>
  </rcc>
  <rcc rId="4143" ua="false" sId="14">
    <oc r="D10" t="n">
      <v>-2.025</v>
    </oc>
    <nc r="D10" t="n">
      <v>-1.955</v>
    </nc>
  </rcc>
  <rcc rId="4144" ua="false" sId="14">
    <oc r="C11" t="n">
      <v>0.4975</v>
    </oc>
    <nc r="C11" t="n">
      <v>0.5025</v>
    </nc>
  </rcc>
  <rcc rId="4145" ua="false" sId="14">
    <oc r="D11" t="n">
      <v>-2.1025</v>
    </oc>
    <nc r="D11" t="n">
      <v>-2.1</v>
    </nc>
  </rcc>
  <rcc rId="4146" ua="false" sId="15">
    <oc r="C2" t="n">
      <v>0.2225</v>
    </oc>
    <nc r="C2" t="n">
      <v>0.2275</v>
    </nc>
  </rcc>
  <rcc rId="4147" ua="false" sId="15">
    <oc r="D2" t="n">
      <v>0.14</v>
    </oc>
    <nc r="D2" t="n">
      <v>0.04</v>
    </nc>
  </rcc>
  <rcc rId="4148" ua="false" sId="15">
    <oc r="C3" t="n">
      <v>0.23</v>
    </oc>
    <nc r="C3" t="n">
      <v>0.245</v>
    </nc>
  </rcc>
  <rcc rId="4149" ua="false" sId="15">
    <oc r="D3" t="n">
      <v>0.1</v>
    </oc>
    <nc r="D3" t="n">
      <v>0.05</v>
    </nc>
  </rcc>
  <rcc rId="4150" ua="false" sId="15">
    <oc r="C4" t="n">
      <v>0.275</v>
    </oc>
    <nc r="C4" t="n">
      <v>0.2725</v>
    </nc>
  </rcc>
  <rcc rId="4151" ua="false" sId="15">
    <oc r="D4" t="n">
      <v>0.1125</v>
    </oc>
    <nc r="D4" t="n">
      <v>0.0425</v>
    </nc>
  </rcc>
  <rcc rId="4152" ua="false" sId="15">
    <oc r="C5" t="n">
      <v>0.2275</v>
    </oc>
    <nc r="C5" t="n">
      <v>0.245</v>
    </nc>
  </rcc>
  <rcc rId="4153" ua="false" sId="15">
    <oc r="D5" t="n">
      <v>-0.105</v>
    </oc>
    <nc r="D5" t="n">
      <v>-0.115</v>
    </nc>
  </rcc>
  <rcc rId="4154" ua="false" sId="15">
    <oc r="C6" t="n">
      <v>0.255</v>
    </oc>
    <nc r="C6" t="n">
      <v>0.27</v>
    </nc>
  </rcc>
  <rcc rId="4155" ua="false" sId="15">
    <oc r="C7" t="n">
      <v>0.2825</v>
    </oc>
    <nc r="C7" t="n">
      <v>0.2975</v>
    </nc>
  </rcc>
  <rcc rId="4156" ua="false" sId="15">
    <oc r="D7" t="n">
      <v>-0.6075</v>
    </oc>
    <nc r="D7" t="n">
      <v>-0.62</v>
    </nc>
  </rcc>
  <rcc rId="4157" ua="false" sId="15">
    <oc r="C8" t="n">
      <v>0.33</v>
    </oc>
    <nc r="C8" t="n">
      <v>0.345</v>
    </nc>
  </rcc>
  <rcc rId="4158" ua="false" sId="15">
    <oc r="D8" t="n">
      <v>-0.9675</v>
    </oc>
    <nc r="D8" t="n">
      <v>-0.99</v>
    </nc>
  </rcc>
  <rcc rId="4159" ua="false" sId="15">
    <oc r="C9" t="n">
      <v>0.36</v>
    </oc>
    <nc r="C9" t="n">
      <v>0.3775</v>
    </nc>
  </rcc>
  <rcc rId="4160" ua="false" sId="15">
    <oc r="D9" t="n">
      <v>-1.1525</v>
    </oc>
    <nc r="D9" t="n">
      <v>-1.1425</v>
    </nc>
  </rcc>
  <rcc rId="4161" ua="false" sId="15">
    <oc r="C10" t="n">
      <v>0.3675</v>
    </oc>
    <nc r="C10" t="n">
      <v>0.375</v>
    </nc>
  </rcc>
  <rcc rId="4162" ua="false" sId="15">
    <oc r="D10" t="n">
      <v>-1.27</v>
    </oc>
    <nc r="D10" t="n">
      <v>-1.2575</v>
    </nc>
  </rcc>
  <rcc rId="4163" ua="false" sId="15">
    <oc r="D11" t="n">
      <v>-1.4825</v>
    </oc>
    <nc r="D11" t="n">
      <v>-1.485</v>
    </nc>
  </rcc>
  <rcc rId="4164" ua="false" sId="16">
    <oc r="C2" t="n">
      <v>0.1775</v>
    </oc>
    <nc r="C2" t="n">
      <v>0.18</v>
    </nc>
  </rcc>
  <rcc rId="4165" ua="false" sId="16">
    <oc r="D2" t="n">
      <v>0.2275</v>
    </oc>
    <nc r="D2" t="n">
      <v>0.4625</v>
    </nc>
  </rcc>
  <rcc rId="4166" ua="false" sId="16">
    <oc r="C3" t="n">
      <v>0.18</v>
    </oc>
    <nc r="C3" t="n">
      <v>0.1875</v>
    </nc>
  </rcc>
  <rcc rId="4167" ua="false" sId="16">
    <oc r="D3" t="n">
      <v>0.275</v>
    </oc>
    <nc r="D3" t="n">
      <v>0.535</v>
    </nc>
  </rcc>
  <rcc rId="4168" ua="false" sId="16">
    <oc r="C4" t="n">
      <v>0.19</v>
    </oc>
    <nc r="C4" t="n">
      <v>0.2</v>
    </nc>
  </rcc>
  <rcc rId="4169" ua="false" sId="16">
    <oc r="D4" t="n">
      <v>0.3475</v>
    </oc>
    <nc r="D4" t="n">
      <v>0.635</v>
    </nc>
  </rcc>
  <rcc rId="4170" ua="false" sId="16">
    <oc r="C5" t="n">
      <v>0.21</v>
    </oc>
    <nc r="C5" t="n">
      <v>0.2175</v>
    </nc>
  </rcc>
  <rcc rId="4171" ua="false" sId="16">
    <oc r="D5" t="n">
      <v>0.505</v>
    </oc>
    <nc r="D5" t="n">
      <v>0.6925</v>
    </nc>
  </rcc>
  <rcc rId="4172" ua="false" sId="16">
    <oc r="C6" t="n">
      <v>0.23</v>
    </oc>
    <nc r="C6" t="n">
      <v>0.24</v>
    </nc>
  </rcc>
  <rcc rId="4173" ua="false" sId="16">
    <oc r="D6" t="n">
      <v>0.625</v>
    </oc>
    <nc r="D6" t="n">
      <v>0.785</v>
    </nc>
  </rcc>
  <rcc rId="4174" ua="false" sId="16">
    <oc r="D7" t="n">
      <v>0.8325</v>
    </oc>
    <nc r="D7" t="n">
      <v>0.9175</v>
    </nc>
  </rcc>
  <rcc rId="4175" ua="false" sId="16">
    <oc r="C8" t="n">
      <v>0.3075</v>
    </oc>
    <nc r="C8" t="n">
      <v>0.3175</v>
    </nc>
  </rcc>
  <rcc rId="4176" ua="false" sId="16">
    <oc r="D8" t="n">
      <v>0.9825</v>
    </oc>
    <nc r="D8" t="n">
      <v>1.0725</v>
    </nc>
  </rcc>
  <rcc rId="4177" ua="false" sId="16">
    <oc r="C9" t="n">
      <v>0.3275</v>
    </oc>
    <nc r="C9" t="n">
      <v>0.3425</v>
    </nc>
  </rcc>
  <rcc rId="4178" ua="false" sId="16">
    <oc r="D9" t="n">
      <v>1.0725</v>
    </oc>
    <nc r="D9" t="n">
      <v>1.1575</v>
    </nc>
  </rcc>
  <rcc rId="4179" ua="false" sId="16">
    <oc r="C10" t="n">
      <v>0.365</v>
    </oc>
    <nc r="C10" t="n">
      <v>0.375</v>
    </nc>
  </rcc>
  <rcc rId="4180" ua="false" sId="16">
    <oc r="D10" t="n">
      <v>1.2</v>
    </oc>
    <nc r="D10" t="n">
      <v>1.26</v>
    </nc>
  </rcc>
</revisions>
</file>

<file path=xl/revisions/revisionLog427.xml><?xml version="1.0" encoding="utf-8"?>
<revisions xmlns="http://schemas.openxmlformats.org/spreadsheetml/2006/main" xmlns:r="http://schemas.openxmlformats.org/officeDocument/2006/relationships">
  <rcc rId="4181" ua="false" sId="18">
    <oc r="B5" t="n">
      <v>0.6</v>
    </oc>
    <nc r="B5" t="n">
      <v>0.3</v>
    </nc>
  </rcc>
</revisions>
</file>

<file path=xl/revisions/revisionLog428.xml><?xml version="1.0" encoding="utf-8"?>
<revisions xmlns="http://schemas.openxmlformats.org/spreadsheetml/2006/main" xmlns:r="http://schemas.openxmlformats.org/officeDocument/2006/relationships">
  <rcc rId="4182" ua="false" sId="19">
    <oc r="A9" t="inlineStr">
      <is>
        <r>
          <rPr>
            <sz val="11"/>
            <rFont val="Calibri"/>
            <family val="0"/>
            <charset val="1"/>
          </rPr>
          <t xml:space="preserve">12/15/2023 00:00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02/01/2024 00:00</t>
        </r>
      </is>
    </nc>
  </rcc>
  <rcc rId="4183" ua="false" sId="19">
    <nc r="A10" t="inlineStr">
      <is>
        <r>
          <rPr>
            <sz val="11"/>
            <rFont val="Calibri"/>
            <family val="0"/>
            <charset val="1"/>
          </rPr>
          <t xml:space="preserve">02/01/2024 00:00</t>
        </r>
      </is>
    </nc>
  </rcc>
  <rcc rId="4184" ua="false" sId="19">
    <nc r="B10" t="n">
      <v>10</v>
    </nc>
  </rcc>
  <rcc rId="4185" ua="false" sId="19">
    <nc r="C10" t="n">
      <v>0</v>
    </nc>
  </rcc>
  <rcc rId="4186" ua="false" sId="19">
    <nc r="D10" t="n">
      <v>0</v>
    </nc>
  </rcc>
  <rcc rId="4187" ua="false" sId="19">
    <nc r="E10" t="n">
      <v>0</v>
    </nc>
  </rcc>
  <rcc rId="4188" ua="false" sId="19">
    <nc r="F10" t="n">
      <v>5.5</v>
    </nc>
  </rcc>
  <rcc rId="4189" ua="false" sId="19">
    <nc r="G10" t="n">
      <v>5.5</v>
    </nc>
  </rcc>
  <rcc rId="4190" ua="false" sId="19">
    <nc r="H10" t="n">
      <v>6.5</v>
    </nc>
  </rcc>
  <rcc rId="4191" ua="false" sId="19">
    <nc r="I10" t="n">
      <v>6</v>
    </nc>
  </rcc>
  <rcc rId="4192" ua="false" sId="19">
    <nc r="J10" t="n">
      <v>6.5</v>
    </nc>
  </rcc>
  <rcc rId="4193" ua="false" sId="19">
    <nc r="K10" t="n">
      <v>0</v>
    </nc>
  </rcc>
  <rcc rId="4194" ua="false" sId="19">
    <nc r="L10" t="n">
      <v>0</v>
    </nc>
  </rcc>
  <rcc rId="4195" ua="false" sId="19">
    <nc r="M10" t="n">
      <v>0</v>
    </nc>
  </rcc>
  <rcc rId="4196" ua="false" sId="19">
    <nc r="N10" t="n">
      <v>0</v>
    </nc>
  </rcc>
  <rcc rId="4197" ua="false" sId="19">
    <oc r="A10" t="inlineStr">
      <is>
        <r>
          <rPr>
            <sz val="11"/>
            <rFont val="Calibri"/>
            <family val="0"/>
            <charset val="1"/>
          </rPr>
          <t xml:space="preserve">02/01/2024 00:00</t>
        </r>
      </is>
    </oc>
    <nc r="A10" t="inlineStr">
      <is>
        <r>
          <rPr>
            <sz val="11"/>
            <rFont val="Calibri"/>
            <family val="0"/>
            <charset val="1"/>
          </rPr>
          <t xml:space="preserve">02/01/2024 10:00</t>
        </r>
      </is>
    </nc>
  </rcc>
  <rcc rId="4198" ua="false" sId="19">
    <oc r="B10" t="n">
      <v>10</v>
    </oc>
    <nc r="B10" t="n">
      <v>3</v>
    </nc>
  </rcc>
</revisions>
</file>

<file path=xl/revisions/revisionLog429.xml><?xml version="1.0" encoding="utf-8"?>
<revisions xmlns="http://schemas.openxmlformats.org/spreadsheetml/2006/main" xmlns:r="http://schemas.openxmlformats.org/officeDocument/2006/relationships">
  <rcc rId="4199" ua="false" sId="19">
    <oc r="B9" t="n">
      <v>10</v>
    </oc>
    <nc r="B9" t="n">
      <v>0</v>
    </nc>
  </rcc>
  <rcc rId="4200" ua="false" sId="19">
    <oc r="B10" t="n">
      <v>3</v>
    </oc>
    <nc r="B10" t="n">
      <v>5</v>
    </nc>
  </rcc>
</revisions>
</file>

<file path=xl/revisions/revisionLog430.xml><?xml version="1.0" encoding="utf-8"?>
<revisions xmlns="http://schemas.openxmlformats.org/spreadsheetml/2006/main" xmlns:r="http://schemas.openxmlformats.org/officeDocument/2006/relationships">
  <rcc rId="4201" ua="false" sId="19">
    <oc r="A9" t="inlineStr">
      <is>
        <r>
          <rPr>
            <sz val="11"/>
            <rFont val="Calibri"/>
            <family val="0"/>
            <charset val="1"/>
          </rPr>
          <t xml:space="preserve">02/01/2024 00:00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02/02/2024 00:00</t>
        </r>
      </is>
    </nc>
  </rcc>
</revisions>
</file>

<file path=xl/revisions/revisionLog431.xml><?xml version="1.0" encoding="utf-8"?>
<revisions xmlns="http://schemas.openxmlformats.org/spreadsheetml/2006/main" xmlns:r="http://schemas.openxmlformats.org/officeDocument/2006/relationships">
  <rcc rId="4202" ua="false" sId="19">
    <oc r="A10" t="inlineStr">
      <is>
        <r>
          <rPr>
            <sz val="11"/>
            <rFont val="Calibri"/>
            <family val="0"/>
            <charset val="1"/>
          </rPr>
          <t xml:space="preserve">02/01/2024 10:00</t>
        </r>
      </is>
    </oc>
    <nc r="A10" t="inlineStr">
      <is>
        <r>
          <rPr>
            <sz val="11"/>
            <rFont val="Calibri"/>
            <family val="0"/>
            <charset val="1"/>
          </rPr>
          <t xml:space="preserve">02/02/2024 10:00</t>
        </r>
      </is>
    </nc>
  </rcc>
  <rcc rId="4203" ua="false" sId="19">
    <oc r="B9" t="n">
      <v>0</v>
    </oc>
    <nc r="B9" t="n">
      <v>5</v>
    </nc>
  </rcc>
</revisions>
</file>

<file path=xl/revisions/revisionLog432.xml><?xml version="1.0" encoding="utf-8"?>
<revisions xmlns="http://schemas.openxmlformats.org/spreadsheetml/2006/main" xmlns:r="http://schemas.openxmlformats.org/officeDocument/2006/relationships">
  <rcc rId="4204" ua="false" sId="19">
    <oc r="B10" t="n">
      <v>5</v>
    </oc>
    <nc r="B10" t="n">
      <v>10</v>
    </nc>
  </rcc>
</revisions>
</file>

<file path=xl/revisions/revisionLog433.xml><?xml version="1.0" encoding="utf-8"?>
<revisions xmlns="http://schemas.openxmlformats.org/spreadsheetml/2006/main" xmlns:r="http://schemas.openxmlformats.org/officeDocument/2006/relationships">
  <rcc rId="4205" ua="false" sId="19">
    <oc r="B9" t="n">
      <v>5</v>
    </oc>
    <nc r="B9" t="n">
      <v>2</v>
    </nc>
  </rcc>
</revisions>
</file>

<file path=xl/revisions/revisionLog434.xml><?xml version="1.0" encoding="utf-8"?>
<revisions xmlns="http://schemas.openxmlformats.org/spreadsheetml/2006/main" xmlns:r="http://schemas.openxmlformats.org/officeDocument/2006/relationships">
  <rcc rId="4206" ua="false" sId="18">
    <oc r="B3" t="n">
      <v>6.75</v>
    </oc>
    <nc r="B3" t="n">
      <v>6.7</v>
    </nc>
  </rcc>
  <rcc rId="4207" ua="false" sId="18">
    <oc r="B2" t="n">
      <v>5.2</v>
    </oc>
    <nc r="B2" t="n">
      <v>5.15</v>
    </nc>
  </rcc>
</revisions>
</file>

<file path=xl/revisions/revisionLog435.xml><?xml version="1.0" encoding="utf-8"?>
<revisions xmlns="http://schemas.openxmlformats.org/spreadsheetml/2006/main" xmlns:r="http://schemas.openxmlformats.org/officeDocument/2006/relationships">
  <rcc rId="4208" ua="false" sId="19">
    <oc r="B10" t="n">
      <v>10</v>
    </oc>
    <nc r="B10" t="n">
      <v>5</v>
    </nc>
  </rcc>
</revisions>
</file>

<file path=xl/revisions/revisionLog436.xml><?xml version="1.0" encoding="utf-8"?>
<revisions xmlns="http://schemas.openxmlformats.org/spreadsheetml/2006/main" xmlns:r="http://schemas.openxmlformats.org/officeDocument/2006/relationships">
  <rcc rId="4209" ua="false" sId="18">
    <oc r="H2" t="n">
      <v>10.2</v>
    </oc>
    <nc r="H2" t="n">
      <v>10.05</v>
    </nc>
  </rcc>
  <rcc rId="4210" ua="false" sId="18">
    <oc r="H5" t="n">
      <v>0.4</v>
    </oc>
    <nc r="H5" t="n">
      <v>0.7</v>
    </nc>
  </rcc>
</revisions>
</file>

<file path=xl/revisions/revisionLog437.xml><?xml version="1.0" encoding="utf-8"?>
<revisions xmlns="http://schemas.openxmlformats.org/spreadsheetml/2006/main" xmlns:r="http://schemas.openxmlformats.org/officeDocument/2006/relationships">
  <rcc rId="4211" ua="false" sId="18">
    <oc r="F5" t="n">
      <v>1.35</v>
    </oc>
    <nc r="F5" t="n">
      <v>0.5</v>
    </nc>
  </rcc>
  <rcc rId="4212" ua="false" sId="18">
    <oc r="F2" t="n">
      <v>6.9</v>
    </oc>
    <nc r="F2" t="n">
      <v>6.75</v>
    </nc>
  </rcc>
</revisions>
</file>

<file path=xl/revisions/revisionLog438.xml><?xml version="1.0" encoding="utf-8"?>
<revisions xmlns="http://schemas.openxmlformats.org/spreadsheetml/2006/main" xmlns:r="http://schemas.openxmlformats.org/officeDocument/2006/relationships">
  <rcc rId="4213" ua="false" sId="18">
    <oc r="F2" t="n">
      <v>6.75</v>
    </oc>
    <nc r="F2" t="n">
      <v>6.7</v>
    </nc>
  </rcc>
  <rcc rId="4214" ua="false" sId="18">
    <oc r="F5" t="n">
      <v>0.5</v>
    </oc>
    <nc r="F5" t="n">
      <v>0.75</v>
    </nc>
  </rcc>
  <rcc rId="4215" ua="false" sId="18">
    <oc r="F3" t="n">
      <v>7.77</v>
    </oc>
    <nc r="F3" t="n">
      <v>7.78</v>
    </nc>
  </rcc>
</revisions>
</file>

<file path=xl/revisions/revisionLog439.xml><?xml version="1.0" encoding="utf-8"?>
<revisions xmlns="http://schemas.openxmlformats.org/spreadsheetml/2006/main" xmlns:r="http://schemas.openxmlformats.org/officeDocument/2006/relationships">
  <rcc rId="4216" ua="false" sId="18">
    <oc r="I3" t="n">
      <v>9.4</v>
    </oc>
    <nc r="I3" t="n">
      <v>9.45</v>
    </nc>
  </rcc>
</revisions>
</file>

<file path=xl/revisions/revisionLog440.xml><?xml version="1.0" encoding="utf-8"?>
<revisions xmlns="http://schemas.openxmlformats.org/spreadsheetml/2006/main" xmlns:r="http://schemas.openxmlformats.org/officeDocument/2006/relationships">
  <rcc rId="4217" ua="false" sId="19">
    <oc r="B9" t="n">
      <v>10</v>
    </oc>
    <nc r="B9" t="n">
      <v>5</v>
    </nc>
  </rcc>
</revisions>
</file>

<file path=xl/revisions/revisionLog441.xml><?xml version="1.0" encoding="utf-8"?>
<revisions xmlns="http://schemas.openxmlformats.org/spreadsheetml/2006/main" xmlns:r="http://schemas.openxmlformats.org/officeDocument/2006/relationships">
  <rcc rId="4218" ua="false" sId="18">
    <oc r="B3" t="n">
      <v>6.8</v>
    </oc>
    <nc r="B3" t="n">
      <v>6.85</v>
    </nc>
  </rcc>
  <rcc rId="4219" ua="false" sId="18">
    <oc r="B6" t="n">
      <v>5.5</v>
    </oc>
    <nc r="B6" t="n">
      <v>5</v>
    </nc>
  </rcc>
</revisions>
</file>

<file path=xl/revisions/revisionLog442.xml><?xml version="1.0" encoding="utf-8"?>
<revisions xmlns="http://schemas.openxmlformats.org/spreadsheetml/2006/main" xmlns:r="http://schemas.openxmlformats.org/officeDocument/2006/relationships">
  <rcc rId="4220" ua="false" sId="18">
    <oc r="F5" t="n">
      <v>0.75</v>
    </oc>
    <nc r="F5" t="n">
      <v>0.8</v>
    </nc>
  </rcc>
</revisions>
</file>

<file path=xl/revisions/revisionLog443.xml><?xml version="1.0" encoding="utf-8"?>
<revisions xmlns="http://schemas.openxmlformats.org/spreadsheetml/2006/main" xmlns:r="http://schemas.openxmlformats.org/officeDocument/2006/relationships">
  <rcc rId="4221" ua="false" sId="21">
    <nc r="A1" t="inlineStr">
      <is>
        <r>
          <rPr>
            <sz val="11"/>
            <rFont val="Calibri"/>
            <family val="0"/>
            <charset val="1"/>
          </rPr>
          <t xml:space="preserve">"Z:\# Derivatives and Structured Products #\Yifan\indication.xlsx"</t>
        </r>
      </is>
    </nc>
  </rcc>
</revisions>
</file>

<file path=xl/revisions/revisionLog444.xml><?xml version="1.0" encoding="utf-8"?>
<revisions xmlns="http://schemas.openxmlformats.org/spreadsheetml/2006/main" xmlns:r="http://schemas.openxmlformats.org/officeDocument/2006/relationships">
  <rcc rId="4222" ua="false" sId="18">
    <oc r="H2" t="n">
      <v>10.2</v>
    </oc>
    <nc r="H2" t="n">
      <v>10.15</v>
    </nc>
  </rcc>
  <rcc rId="4223" ua="false" sId="18">
    <oc r="H3" t="n">
      <v>10.3</v>
    </oc>
    <nc r="H3" t="n">
      <v>10.4</v>
    </nc>
  </rcc>
  <rcc rId="4224" ua="false" sId="18">
    <oc r="H5" t="n">
      <v>0</v>
    </oc>
    <nc r="H5" t="n">
      <v>0.2</v>
    </nc>
  </rcc>
</revisions>
</file>

<file path=xl/revisions/revisionLog445.xml><?xml version="1.0" encoding="utf-8"?>
<revisions xmlns="http://schemas.openxmlformats.org/spreadsheetml/2006/main" xmlns:r="http://schemas.openxmlformats.org/officeDocument/2006/relationships">
  <rcc rId="4225" ua="false" sId="18">
    <oc r="J5" t="n">
      <v>0.6</v>
    </oc>
    <nc r="J5" t="n">
      <v>0.5</v>
    </nc>
  </rcc>
  <rcc rId="4226" ua="false" sId="18">
    <oc r="J3" t="n">
      <v>10.45</v>
    </oc>
    <nc r="J3" t="n">
      <v>10.47</v>
    </nc>
  </rcc>
</revisions>
</file>

<file path=xl/revisions/revisionLog446.xml><?xml version="1.0" encoding="utf-8"?>
<revisions xmlns="http://schemas.openxmlformats.org/spreadsheetml/2006/main" xmlns:r="http://schemas.openxmlformats.org/officeDocument/2006/relationships">
  <rcc rId="4227" ua="false" sId="18">
    <oc r="I5" t="n">
      <v>2.4</v>
    </oc>
    <nc r="I5" t="n">
      <v>2</v>
    </nc>
  </rcc>
  <rcc rId="4228" ua="false" sId="18">
    <oc r="I2" t="n">
      <v>8.6</v>
    </oc>
    <nc r="I2" t="n">
      <v>8.45</v>
    </nc>
  </rcc>
</revisions>
</file>

<file path=xl/revisions/revisionLog447.xml><?xml version="1.0" encoding="utf-8"?>
<revisions xmlns="http://schemas.openxmlformats.org/spreadsheetml/2006/main" xmlns:r="http://schemas.openxmlformats.org/officeDocument/2006/relationships">
  <rcc rId="4229" ua="false" sId="16">
    <oc r="C2" t="n">
      <v>0.1725</v>
    </oc>
    <nc r="C2" t="n">
      <v>0.17</v>
    </nc>
  </rcc>
  <rcc rId="4230" ua="false" sId="16">
    <oc r="D2" t="n">
      <v>0.4275</v>
    </oc>
    <nc r="D2" t="n">
      <v>0.45</v>
    </nc>
  </rcc>
  <rcc rId="4231" ua="false" sId="16">
    <oc r="C3" t="n">
      <v>0.1875</v>
    </oc>
    <nc r="C3" t="n">
      <v>0.1825</v>
    </nc>
  </rcc>
  <rcc rId="4232" ua="false" sId="16">
    <oc r="D3" t="n">
      <v>0.4825</v>
    </oc>
    <nc r="D3" t="n">
      <v>0.5175</v>
    </nc>
  </rcc>
  <rcc rId="4233" ua="false" sId="16">
    <oc r="C4" t="n">
      <v>0.1975</v>
    </oc>
    <nc r="C4" t="n">
      <v>0.19</v>
    </nc>
  </rcc>
  <rcc rId="4234" ua="false" sId="16">
    <oc r="D4" t="n">
      <v>0.5425</v>
    </oc>
    <nc r="D4" t="n">
      <v>0.555</v>
    </nc>
  </rcc>
  <rcc rId="4235" ua="false" sId="16">
    <oc r="C5" t="n">
      <v>0.21</v>
    </oc>
    <nc r="C5" t="n">
      <v>0.2075</v>
    </nc>
  </rcc>
  <rcc rId="4236" ua="false" sId="16">
    <oc r="D5" t="n">
      <v>0.6775</v>
    </oc>
    <nc r="D5" t="n">
      <v>0.6675</v>
    </nc>
  </rcc>
  <rcc rId="4237" ua="false" sId="16">
    <oc r="C6" t="n">
      <v>0.24</v>
    </oc>
    <nc r="C6" t="n">
      <v>0.235</v>
    </nc>
  </rcc>
  <rcc rId="4238" ua="false" sId="16">
    <oc r="D6" t="n">
      <v>0.76</v>
    </oc>
    <nc r="D6" t="n">
      <v>0.765</v>
    </nc>
  </rcc>
  <rcc rId="4239" ua="false" sId="16">
    <oc r="D7" t="n">
      <v>0.9775</v>
    </oc>
    <nc r="D7" t="n">
      <v>0.97</v>
    </nc>
  </rcc>
  <rcc rId="4240" ua="false" sId="16">
    <oc r="C8" t="n">
      <v>0.3075</v>
    </oc>
    <nc r="C8" t="n">
      <v>0.3175</v>
    </nc>
  </rcc>
  <rcc rId="4241" ua="false" sId="16">
    <oc r="D8" t="n">
      <v>1.1225</v>
    </oc>
    <nc r="D8" t="n">
      <v>1.125</v>
    </nc>
  </rcc>
  <rcc rId="4242" ua="false" sId="16">
    <oc r="C9" t="n">
      <v>0.3325</v>
    </oc>
    <nc r="C9" t="n">
      <v>0.3425</v>
    </nc>
  </rcc>
  <rcc rId="4243" ua="false" sId="16">
    <oc r="D9" t="n">
      <v>1.2475</v>
    </oc>
    <nc r="D9" t="n">
      <v>1.24</v>
    </nc>
  </rcc>
  <rcc rId="4244" ua="false" sId="16">
    <oc r="C10" t="n">
      <v>0.3525</v>
    </oc>
    <nc r="C10" t="n">
      <v>0.37</v>
    </nc>
  </rcc>
  <rcc rId="4245" ua="false" sId="16">
    <oc r="D10" t="n">
      <v>1.3075</v>
    </oc>
    <nc r="D10" t="n">
      <v>1.335</v>
    </nc>
  </rcc>
</revisions>
</file>

<file path=xl/revisions/revisionLog448.xml><?xml version="1.0" encoding="utf-8"?>
<revisions xmlns="http://schemas.openxmlformats.org/spreadsheetml/2006/main" xmlns:r="http://schemas.openxmlformats.org/officeDocument/2006/relationships">
  <rcc rId="4246" ua="false" sId="18">
    <oc r="G3" t="n">
      <v>7</v>
    </oc>
    <nc r="G3" t="n">
      <v>6.95</v>
    </nc>
  </rcc>
  <rcc rId="4247" ua="false" sId="18">
    <oc r="G5" t="n">
      <v>1.1</v>
    </oc>
    <nc r="G5" t="n">
      <v>1.3</v>
    </nc>
  </rcc>
</revisions>
</file>

<file path=xl/revisions/revisionLog449.xml><?xml version="1.0" encoding="utf-8"?>
<revisions xmlns="http://schemas.openxmlformats.org/spreadsheetml/2006/main" xmlns:r="http://schemas.openxmlformats.org/officeDocument/2006/relationships">
  <rcc rId="4248" ua="false" sId="18">
    <oc r="G2" t="n">
      <v>6.05</v>
    </oc>
    <nc r="G2" t="n">
      <v>6.25</v>
    </nc>
  </rcc>
  <rcc rId="4249" ua="false" sId="18">
    <oc r="G5" t="n">
      <v>0</v>
    </oc>
    <nc r="G5" t="n">
      <v>0.2</v>
    </nc>
  </rcc>
</revisions>
</file>

<file path=xl/revisions/revisionLog450.xml><?xml version="1.0" encoding="utf-8"?>
<revisions xmlns="http://schemas.openxmlformats.org/spreadsheetml/2006/main" xmlns:r="http://schemas.openxmlformats.org/officeDocument/2006/relationships">
  <rcc rId="4250" ua="false" sId="2">
    <oc r="C2" t="n">
      <v>0.2275</v>
    </oc>
    <nc r="C2" t="n">
      <v>0.235</v>
    </nc>
  </rcc>
  <rcc rId="4251" ua="false" sId="2">
    <oc r="D2" t="n">
      <v>-0.5925</v>
    </oc>
    <nc r="D2" t="n">
      <v>-0.71</v>
    </nc>
  </rcc>
  <rcc rId="4252" ua="false" sId="2">
    <oc r="C3" t="n">
      <v>0.2525</v>
    </oc>
    <nc r="C3" t="n">
      <v>0.25</v>
    </nc>
  </rcc>
  <rcc rId="4253" ua="false" sId="2">
    <oc r="D3" t="n">
      <v>-0.7825</v>
    </oc>
    <nc r="D3" t="n">
      <v>-0.855</v>
    </nc>
  </rcc>
  <rcc rId="4254" ua="false" sId="2">
    <oc r="C4" t="n">
      <v>0.2875</v>
    </oc>
    <nc r="C4" t="n">
      <v>0.2675</v>
    </nc>
  </rcc>
  <rcc rId="4255" ua="false" sId="2">
    <oc r="D4" t="n">
      <v>-0.7975</v>
    </oc>
    <nc r="D4" t="n">
      <v>-0.95</v>
    </nc>
  </rcc>
  <rcc rId="4256" ua="false" sId="2">
    <oc r="C5" t="n">
      <v>0.28</v>
    </oc>
    <nc r="C5" t="n">
      <v>0.285</v>
    </nc>
  </rcc>
  <rcc rId="4257" ua="false" sId="2">
    <oc r="D5" t="n">
      <v>-0.865</v>
    </oc>
    <nc r="D5" t="n">
      <v>-0.99</v>
    </nc>
  </rcc>
  <rcc rId="4258" ua="false" sId="2">
    <oc r="C6" t="n">
      <v>0.3125</v>
    </oc>
    <nc r="C6" t="n">
      <v>0.3175</v>
    </nc>
  </rcc>
  <rcc rId="4259" ua="false" sId="2">
    <oc r="D6" t="n">
      <v>-0.9925</v>
    </oc>
    <nc r="D6" t="n">
      <v>-1.1175</v>
    </nc>
  </rcc>
  <rcc rId="4260" ua="false" sId="2">
    <oc r="D7" t="n">
      <v>-1.11</v>
    </oc>
    <nc r="D7" t="n">
      <v>-1.22</v>
    </nc>
  </rcc>
  <rcc rId="4261" ua="false" sId="2">
    <oc r="D8" t="n">
      <v>-1.29</v>
    </oc>
    <nc r="D8" t="n">
      <v>-1.355</v>
    </nc>
  </rcc>
  <rcc rId="4262" ua="false" sId="2">
    <oc r="C9" t="n">
      <v>0.395</v>
    </oc>
    <nc r="C9" t="n">
      <v>0.405</v>
    </nc>
  </rcc>
  <rcc rId="4263" ua="false" sId="2">
    <oc r="D9" t="n">
      <v>-1.355</v>
    </oc>
    <nc r="D9" t="n">
      <v>-1.4325</v>
    </nc>
  </rcc>
  <rcc rId="4264" ua="false" sId="2">
    <oc r="C10" t="n">
      <v>0.425</v>
    </oc>
    <nc r="C10" t="n">
      <v>0.4275</v>
    </nc>
  </rcc>
  <rcc rId="4265" ua="false" sId="2">
    <oc r="D10" t="n">
      <v>-1.41</v>
    </oc>
    <nc r="D10" t="n">
      <v>-1.5025</v>
    </nc>
  </rcc>
  <rcc rId="4266" ua="false" sId="2">
    <oc r="C11" t="n">
      <v>0.4525</v>
    </oc>
    <nc r="C11" t="n">
      <v>0.45</v>
    </nc>
  </rcc>
  <rcc rId="4267" ua="false" sId="2">
    <oc r="D11" t="n">
      <v>-1.5425</v>
    </oc>
    <nc r="D11" t="n">
      <v>-1.55</v>
    </nc>
  </rcc>
  <rcc rId="4268" ua="false" sId="3">
    <oc r="C2" t="n">
      <v>0.175</v>
    </oc>
    <nc r="C2" t="n">
      <v>0.18</v>
    </nc>
  </rcc>
  <rcc rId="4269" ua="false" sId="3">
    <oc r="D2" t="n">
      <v>-0.315</v>
    </oc>
    <nc r="D2" t="n">
      <v>-0.33</v>
    </nc>
  </rcc>
  <rcc rId="4270" ua="false" sId="3">
    <oc r="D3" t="n">
      <v>-0.295</v>
    </oc>
    <nc r="D3" t="n">
      <v>-0.3</v>
    </nc>
  </rcc>
  <rcc rId="4271" ua="false" sId="3">
    <oc r="C4" t="n">
      <v>0.17</v>
    </oc>
    <nc r="C4" t="n">
      <v>0.185</v>
    </nc>
  </rcc>
  <rcc rId="4272" ua="false" sId="3">
    <oc r="D4" t="n">
      <v>-0.465</v>
    </oc>
    <nc r="D4" t="n">
      <v>-0.5</v>
    </nc>
  </rcc>
  <rcc rId="4273" ua="false" sId="3">
    <oc r="C5" t="n">
      <v>0.2</v>
    </oc>
    <nc r="C5" t="n">
      <v>0.205</v>
    </nc>
  </rcc>
  <rcc rId="4274" ua="false" sId="3">
    <oc r="D5" t="n">
      <v>-0.48</v>
    </oc>
    <nc r="D5" t="n">
      <v>-0.495</v>
    </nc>
  </rcc>
  <rcc rId="4275" ua="false" sId="3">
    <oc r="C6" t="n">
      <v>0.24</v>
    </oc>
    <nc r="C6" t="n">
      <v>0.25</v>
    </nc>
  </rcc>
  <rcc rId="4276" ua="false" sId="3">
    <oc r="D6" t="n">
      <v>-0.59</v>
    </oc>
    <nc r="D6" t="n">
      <v>-0.61</v>
    </nc>
  </rcc>
  <rcc rId="4277" ua="false" sId="3">
    <oc r="C7" t="n">
      <v>0.2775</v>
    </oc>
    <nc r="C7" t="n">
      <v>0.29</v>
    </nc>
  </rcc>
  <rcc rId="4278" ua="false" sId="3">
    <oc r="D7" t="n">
      <v>-0.6875</v>
    </oc>
    <nc r="D7" t="n">
      <v>-0.695</v>
    </nc>
  </rcc>
  <rcc rId="4279" ua="false" sId="3">
    <oc r="C8" t="n">
      <v>0.345</v>
    </oc>
    <nc r="C8" t="n">
      <v>0.355</v>
    </nc>
  </rcc>
  <rcc rId="4280" ua="false" sId="3">
    <oc r="D8" t="n">
      <v>-0.8125</v>
    </oc>
    <nc r="D8" t="n">
      <v>-0.82</v>
    </nc>
  </rcc>
  <rcc rId="4281" ua="false" sId="3">
    <oc r="C9" t="n">
      <v>0.3875</v>
    </oc>
    <nc r="C9" t="n">
      <v>0.4</v>
    </nc>
  </rcc>
  <rcc rId="4282" ua="false" sId="3">
    <oc r="D9" t="n">
      <v>-0.8875</v>
    </oc>
    <nc r="D9" t="n">
      <v>-0.88</v>
    </nc>
  </rcc>
  <rcc rId="4283" ua="false" sId="3">
    <oc r="C10" t="n">
      <v>0.4025</v>
    </oc>
    <nc r="C10" t="n">
      <v>0.425</v>
    </nc>
  </rcc>
  <rcc rId="4284" ua="false" sId="3">
    <oc r="D10" t="n">
      <v>-0.9625</v>
    </oc>
    <nc r="D10" t="n">
      <v>-0.945</v>
    </nc>
  </rcc>
  <rcc rId="4285" ua="false" sId="3">
    <oc r="C11" t="n">
      <v>0.4225</v>
    </oc>
    <nc r="C11" t="n">
      <v>0.44</v>
    </nc>
  </rcc>
  <rcc rId="4286" ua="false" sId="3">
    <oc r="D11" t="n">
      <v>-1.1175</v>
    </oc>
    <nc r="D11" t="n">
      <v>-1.125</v>
    </nc>
  </rcc>
  <rcc rId="4287" ua="false" sId="4">
    <oc r="C2" t="n">
      <v>0.195</v>
    </oc>
    <nc r="C2" t="n">
      <v>0.19</v>
    </nc>
  </rcc>
  <rcc rId="4288" ua="false" sId="4">
    <oc r="D2" t="n">
      <v>0.235</v>
    </oc>
    <nc r="D2" t="n">
      <v>0.285</v>
    </nc>
  </rcc>
  <rcc rId="4289" ua="false" sId="4">
    <oc r="C3" t="n">
      <v>0.1975</v>
    </oc>
    <nc r="C3" t="n">
      <v>0.2</v>
    </nc>
  </rcc>
  <rcc rId="4290" ua="false" sId="4">
    <oc r="D3" t="n">
      <v>0.3125</v>
    </oc>
    <nc r="D3" t="n">
      <v>0.3325</v>
    </nc>
  </rcc>
  <rcc rId="4291" ua="false" sId="4">
    <oc r="C4" t="n">
      <v>0.205</v>
    </oc>
    <nc r="C4" t="n">
      <v>0.2125</v>
    </nc>
  </rcc>
  <rcc rId="4292" ua="false" sId="4">
    <oc r="D4" t="n">
      <v>0.3125</v>
    </oc>
    <nc r="D4" t="n">
      <v>0.3475</v>
    </nc>
  </rcc>
  <rcc rId="4293" ua="false" sId="4">
    <oc r="C5" t="n">
      <v>0.2075</v>
    </oc>
    <nc r="C5" t="n">
      <v>0.2175</v>
    </nc>
  </rcc>
  <rcc rId="4294" ua="false" sId="4">
    <oc r="D5" t="n">
      <v>0.32</v>
    </oc>
    <nc r="D5" t="n">
      <v>0.3725</v>
    </nc>
  </rcc>
  <rcc rId="4295" ua="false" sId="4">
    <oc r="C6" t="n">
      <v>0.2375</v>
    </oc>
    <nc r="C6" t="n">
      <v>0.24</v>
    </nc>
  </rcc>
  <rcc rId="4296" ua="false" sId="4">
    <oc r="D6" t="n">
      <v>0.3275</v>
    </oc>
    <nc r="D6" t="n">
      <v>0.3925</v>
    </nc>
  </rcc>
  <rcc rId="4297" ua="false" sId="4">
    <oc r="C7" t="n">
      <v>0.27</v>
    </oc>
    <nc r="C7" t="n">
      <v>0.2775</v>
    </nc>
  </rcc>
  <rcc rId="4298" ua="false" sId="4">
    <oc r="D7" t="n">
      <v>0.36</v>
    </oc>
    <nc r="D7" t="n">
      <v>0.42</v>
    </nc>
  </rcc>
  <rcc rId="4299" ua="false" sId="4">
    <oc r="D8" t="n">
      <v>0.41</v>
    </oc>
    <nc r="D8" t="n">
      <v>0.4325</v>
    </nc>
  </rcc>
  <rcc rId="4300" ua="false" sId="4">
    <oc r="D9" t="n">
      <v>0.375</v>
    </oc>
    <nc r="D9" t="n">
      <v>0.4125</v>
    </nc>
  </rcc>
  <rcc rId="4301" ua="false" sId="4">
    <oc r="D10" t="n">
      <v>0.4225</v>
    </oc>
    <nc r="D10" t="n">
      <v>0.465</v>
    </nc>
  </rcc>
  <rcc rId="4302" ua="false" sId="5">
    <oc r="C2" t="n">
      <v>0.11</v>
    </oc>
    <nc r="C2" t="n">
      <v>0.125</v>
    </nc>
  </rcc>
  <rcc rId="4303" ua="false" sId="5">
    <oc r="D2" t="n">
      <v>0.285</v>
    </oc>
    <nc r="D2" t="n">
      <v>0.305</v>
    </nc>
  </rcc>
  <rcc rId="4304" ua="false" sId="5">
    <oc r="C3" t="n">
      <v>0.1125</v>
    </oc>
    <nc r="C3" t="n">
      <v>0.13</v>
    </nc>
  </rcc>
  <rcc rId="4305" ua="false" sId="5">
    <oc r="D3" t="n">
      <v>0.3375</v>
    </oc>
    <nc r="D3" t="n">
      <v>0.355</v>
    </nc>
  </rcc>
  <rcc rId="4306" ua="false" sId="5">
    <oc r="D4" t="n">
      <v>0.3975</v>
    </oc>
    <nc r="D4" t="n">
      <v>0.4125</v>
    </nc>
  </rcc>
  <rcc rId="4307" ua="false" sId="5">
    <oc r="C5" t="n">
      <v>0.115</v>
    </oc>
    <nc r="C5" t="n">
      <v>0.1325</v>
    </nc>
  </rcc>
  <rcc rId="4308" ua="false" sId="5">
    <oc r="D5" t="n">
      <v>0.4175</v>
    </oc>
    <nc r="D5" t="n">
      <v>0.435</v>
    </nc>
  </rcc>
  <rcc rId="4309" ua="false" sId="5">
    <oc r="D6" t="n">
      <v>0.51</v>
    </oc>
    <nc r="D6" t="n">
      <v>0.545</v>
    </nc>
  </rcc>
  <rcc rId="4310" ua="false" sId="5">
    <oc r="C7" t="n">
      <v>0.165</v>
    </oc>
    <nc r="C7" t="n">
      <v>0.185</v>
    </nc>
  </rcc>
  <rcc rId="4311" ua="false" sId="5">
    <oc r="D7" t="n">
      <v>0.6075</v>
    </oc>
    <nc r="D7" t="n">
      <v>0.61</v>
    </nc>
  </rcc>
  <rcc rId="4312" ua="false" sId="5">
    <oc r="C8" t="n">
      <v>0.2175</v>
    </oc>
    <nc r="C8" t="n">
      <v>0.24</v>
    </nc>
  </rcc>
  <rcc rId="4313" ua="false" sId="5">
    <oc r="D8" t="n">
      <v>0.71</v>
    </oc>
    <nc r="D8" t="n">
      <v>0.73</v>
    </nc>
  </rcc>
  <rcc rId="4314" ua="false" sId="5">
    <oc r="C9" t="n">
      <v>0.2475</v>
    </oc>
    <nc r="C9" t="n">
      <v>0.275</v>
    </nc>
  </rcc>
  <rcc rId="4315" ua="false" sId="5">
    <oc r="D9" t="n">
      <v>0.7625</v>
    </oc>
    <nc r="D9" t="n">
      <v>0.76</v>
    </nc>
  </rcc>
  <rcc rId="4316" ua="false" sId="5">
    <oc r="C10" t="n">
      <v>0.24</v>
    </oc>
    <nc r="C10" t="n">
      <v>0.25</v>
    </nc>
  </rcc>
  <rcc rId="4317" ua="false" sId="5">
    <oc r="D10" t="n">
      <v>0.8125</v>
    </oc>
    <nc r="D10" t="n">
      <v>0.805</v>
    </nc>
  </rcc>
  <rcc rId="4318" ua="false" sId="5">
    <oc r="D11" t="n">
      <v>0.8175</v>
    </oc>
    <nc r="D11" t="n">
      <v>0.8225</v>
    </nc>
  </rcc>
  <rcc rId="4319" ua="false" sId="11">
    <oc r="C2" t="n">
      <v>0.1675</v>
    </oc>
    <nc r="C2" t="n">
      <v>0.21</v>
    </nc>
  </rcc>
  <rcc rId="4320" ua="false" sId="11">
    <oc r="D2" t="n">
      <v>-0.5675</v>
    </oc>
    <nc r="D2" t="n">
      <v>-0.7925</v>
    </nc>
  </rcc>
  <rcc rId="4321" ua="false" sId="11">
    <oc r="C3" t="n">
      <v>0.1775</v>
    </oc>
    <nc r="C3" t="n">
      <v>0.2225</v>
    </nc>
  </rcc>
  <rcc rId="4322" ua="false" sId="11">
    <oc r="D3" t="n">
      <v>-0.765</v>
    </oc>
    <nc r="D3" t="n">
      <v>-1.0075</v>
    </nc>
  </rcc>
  <rcc rId="4323" ua="false" sId="11">
    <oc r="C4" t="n">
      <v>0.2575</v>
    </oc>
    <nc r="C4" t="n">
      <v>0.27</v>
    </nc>
  </rcc>
  <rcc rId="4324" ua="false" sId="11">
    <oc r="D4" t="n">
      <v>-0.975</v>
    </oc>
    <nc r="D4" t="n">
      <v>-1.05</v>
    </nc>
  </rcc>
  <rcc rId="4325" ua="false" sId="11">
    <oc r="C5" t="n">
      <v>0.2075</v>
    </oc>
    <nc r="C5" t="n">
      <v>0.2575</v>
    </nc>
  </rcc>
  <rcc rId="4326" ua="false" sId="11">
    <oc r="D5" t="n">
      <v>-1.0175</v>
    </oc>
    <nc r="D5" t="n">
      <v>-1.2575</v>
    </nc>
  </rcc>
  <rcc rId="4327" ua="false" sId="11">
    <oc r="C6" t="n">
      <v>0.2675</v>
    </oc>
    <nc r="C6" t="n">
      <v>0.3125</v>
    </nc>
  </rcc>
  <rcc rId="4328" ua="false" sId="11">
    <oc r="D6" t="n">
      <v>-1.4025</v>
    </oc>
    <nc r="D6" t="n">
      <v>-1.66</v>
    </nc>
  </rcc>
  <rcc rId="4329" ua="false" sId="11">
    <oc r="C7" t="n">
      <v>0.3025</v>
    </oc>
    <nc r="C7" t="n">
      <v>0.3475</v>
    </nc>
  </rcc>
  <rcc rId="4330" ua="false" sId="11">
    <oc r="D7" t="n">
      <v>-1.7475</v>
    </oc>
    <nc r="D7" t="n">
      <v>-1.9475</v>
    </nc>
  </rcc>
  <rcc rId="4331" ua="false" sId="11">
    <oc r="C8" t="n">
      <v>0.3625</v>
    </oc>
    <nc r="C8" t="n">
      <v>0.3975</v>
    </nc>
  </rcc>
  <rcc rId="4332" ua="false" sId="11">
    <oc r="D8" t="n">
      <v>-2.1675</v>
    </oc>
    <nc r="D8" t="n">
      <v>-2.3125</v>
    </nc>
  </rcc>
  <rcc rId="4333" ua="false" sId="11">
    <oc r="C9" t="n">
      <v>0.3925</v>
    </oc>
    <nc r="C9" t="n">
      <v>0.4225</v>
    </nc>
  </rcc>
  <rcc rId="4334" ua="false" sId="11">
    <oc r="D9" t="n">
      <v>-2.39</v>
    </oc>
    <nc r="D9" t="n">
      <v>-2.4925</v>
    </nc>
  </rcc>
  <rcc rId="4335" ua="false" sId="11">
    <oc r="C10" t="n">
      <v>0.4175</v>
    </oc>
    <nc r="C10" t="n">
      <v>0.4275</v>
    </nc>
  </rcc>
  <rcc rId="4336" ua="false" sId="11">
    <oc r="D10" t="n">
      <v>-2.565</v>
    </oc>
    <nc r="D10" t="n">
      <v>-2.635</v>
    </nc>
  </rcc>
  <rcc rId="4337" ua="false" sId="11">
    <oc r="C11" t="n">
      <v>0.4</v>
    </oc>
    <nc r="C11" t="n">
      <v>0.42</v>
    </nc>
  </rcc>
  <rcc rId="4338" ua="false" sId="11">
    <oc r="D11" t="n">
      <v>-2.995</v>
    </oc>
    <nc r="D11" t="n">
      <v>-3.0125</v>
    </nc>
  </rcc>
  <rcc rId="4339" ua="false" sId="12">
    <oc r="C2" t="n">
      <v>0.175</v>
    </oc>
    <nc r="C2" t="n">
      <v>0.165</v>
    </nc>
  </rcc>
  <rcc rId="4340" ua="false" sId="12">
    <oc r="D2" t="n">
      <v>-0.14</v>
    </oc>
    <nc r="D2" t="n">
      <v>-0.31</v>
    </nc>
  </rcc>
  <rcc rId="4341" ua="false" sId="12">
    <oc r="C3" t="n">
      <v>0.1875</v>
    </oc>
    <nc r="C3" t="n">
      <v>0.1775</v>
    </nc>
  </rcc>
  <rcc rId="4342" ua="false" sId="12">
    <oc r="D3" t="n">
      <v>-0.2175</v>
    </oc>
    <nc r="D3" t="n">
      <v>-0.3625</v>
    </nc>
  </rcc>
  <rcc rId="4343" ua="false" sId="12">
    <oc r="C5" t="n">
      <v>0.2075</v>
    </oc>
    <nc r="C5" t="n">
      <v>0.2025</v>
    </nc>
  </rcc>
  <rcc rId="4344" ua="false" sId="12">
    <oc r="D5" t="n">
      <v>-0.3275</v>
    </oc>
    <nc r="D5" t="n">
      <v>-0.4425</v>
    </nc>
  </rcc>
  <rcc rId="4345" ua="false" sId="12">
    <oc r="D6" t="n">
      <v>-0.525</v>
    </oc>
    <nc r="D6" t="n">
      <v>-0.6</v>
    </nc>
  </rcc>
  <rcc rId="4346" ua="false" sId="12">
    <oc r="C7" t="n">
      <v>0.265</v>
    </oc>
    <nc r="C7" t="n">
      <v>0.27</v>
    </nc>
  </rcc>
  <rcc rId="4347" ua="false" sId="12">
    <oc r="D7" t="n">
      <v>-0.7</v>
    </oc>
    <nc r="D7" t="n">
      <v>-0.805</v>
    </nc>
  </rcc>
  <rcc rId="4348" ua="false" sId="12">
    <oc r="C8" t="n">
      <v>0.335</v>
    </oc>
    <nc r="C8" t="n">
      <v>0.33</v>
    </nc>
  </rcc>
  <rcc rId="4349" ua="false" sId="12">
    <oc r="D8" t="n">
      <v>-0.91</v>
    </oc>
    <nc r="D8" t="n">
      <v>-1.035</v>
    </nc>
  </rcc>
  <rcc rId="4350" ua="false" sId="12">
    <oc r="C9" t="n">
      <v>0.38</v>
    </oc>
    <nc r="C9" t="n">
      <v>0.365</v>
    </nc>
  </rcc>
  <rcc rId="4351" ua="false" sId="12">
    <oc r="D9" t="n">
      <v>-1.0725</v>
    </oc>
    <nc r="D9" t="n">
      <v>-1.175</v>
    </nc>
  </rcc>
  <rcc rId="4352" ua="false" sId="12">
    <oc r="C10" t="n">
      <v>0.3875</v>
    </oc>
    <nc r="C10" t="n">
      <v>0.3725</v>
    </nc>
  </rcc>
  <rcc rId="4353" ua="false" sId="12">
    <oc r="D10" t="n">
      <v>-1.1625</v>
    </oc>
    <nc r="D10" t="n">
      <v>-1.2475</v>
    </nc>
  </rcc>
  <rcc rId="4354" ua="false" sId="12">
    <oc r="C11" t="n">
      <v>0.415</v>
    </oc>
    <nc r="C11" t="n">
      <v>0.39</v>
    </nc>
  </rcc>
  <rcc rId="4355" ua="false" sId="13">
    <oc r="C2" t="n">
      <v>0.1325</v>
    </oc>
    <nc r="C2" t="n">
      <v>0.135</v>
    </nc>
  </rcc>
  <rcc rId="4356" ua="false" sId="13">
    <oc r="D2" t="n">
      <v>0.0125</v>
    </oc>
    <nc r="D2" t="n">
      <v>-0.09</v>
    </nc>
  </rcc>
  <rcc rId="4357" ua="false" sId="13">
    <oc r="C3" t="n">
      <v>0.1375</v>
    </oc>
    <nc r="C3" t="n">
      <v>0.1425</v>
    </nc>
  </rcc>
  <rcc rId="4358" ua="false" sId="13">
    <oc r="D3" t="n">
      <v>0.0275</v>
    </oc>
    <nc r="D3" t="n">
      <v>-0.0475</v>
    </nc>
  </rcc>
  <rcc rId="4359" ua="false" sId="13">
    <oc r="C4" t="n">
      <v>0.14</v>
    </oc>
    <nc r="C4" t="n">
      <v>0.1525</v>
    </nc>
  </rcc>
  <rcc rId="4360" ua="false" sId="13">
    <oc r="D4" t="n">
      <v>0.045</v>
    </oc>
    <nc r="D4" t="n">
      <v>-0.03</v>
    </nc>
  </rcc>
  <rcc rId="4361" ua="false" sId="13">
    <oc r="C5" t="n">
      <v>0.1475</v>
    </oc>
    <nc r="C5" t="n">
      <v>0.1525</v>
    </nc>
  </rcc>
  <rcc rId="4362" ua="false" sId="13">
    <oc r="D5" t="n">
      <v>0.045</v>
    </oc>
    <nc r="D5" t="n">
      <v>-0.0225</v>
    </nc>
  </rcc>
  <rcc rId="4363" ua="false" sId="13">
    <oc r="D6" t="n">
      <v>0.1025</v>
    </oc>
    <nc r="D6" t="n">
      <v>0.05</v>
    </nc>
  </rcc>
  <rcc rId="4364" ua="false" sId="13">
    <oc r="C7" t="n">
      <v>0.205</v>
    </oc>
    <nc r="C7" t="n">
      <v>0.21</v>
    </nc>
  </rcc>
  <rcc rId="4365" ua="false" sId="13">
    <oc r="D7" t="n">
      <v>0.15</v>
    </oc>
    <nc r="D7" t="n">
      <v>0.0975</v>
    </nc>
  </rcc>
  <rcc rId="4366" ua="false" sId="13">
    <oc r="C8" t="n">
      <v>0.26</v>
    </oc>
    <nc r="C8" t="n">
      <v>0.2675</v>
    </nc>
  </rcc>
  <rcc rId="4367" ua="false" sId="13">
    <oc r="D8" t="n">
      <v>0.205</v>
    </oc>
    <nc r="D8" t="n">
      <v>0.1675</v>
    </nc>
  </rcc>
  <rcc rId="4368" ua="false" sId="13">
    <oc r="D9" t="n">
      <v>0.2525</v>
    </oc>
    <nc r="D9" t="n">
      <v>0.2075</v>
    </nc>
  </rcc>
  <rcc rId="4369" ua="false" sId="13">
    <oc r="C10" t="n">
      <v>0.32</v>
    </oc>
    <nc r="C10" t="n">
      <v>0.3225</v>
    </nc>
  </rcc>
  <rcc rId="4370" ua="false" sId="13">
    <oc r="D10" t="n">
      <v>0.285</v>
    </oc>
    <nc r="D10" t="n">
      <v>0.2425</v>
    </nc>
  </rcc>
  <rcc rId="4371" ua="false" sId="13">
    <oc r="D11" t="n">
      <v>0.21</v>
    </oc>
    <nc r="D11" t="n">
      <v>0.165</v>
    </nc>
  </rcc>
  <rcc rId="4372" ua="false" sId="14">
    <oc r="C2" t="n">
      <v>0.22</v>
    </oc>
    <nc r="C2" t="n">
      <v>0.2225</v>
    </nc>
  </rcc>
  <rcc rId="4373" ua="false" sId="14">
    <oc r="D2" t="n">
      <v>-0.72</v>
    </oc>
    <nc r="D2" t="n">
      <v>-0.8075</v>
    </nc>
  </rcc>
  <rcc rId="4374" ua="false" sId="14">
    <oc r="C3" t="n">
      <v>0.24</v>
    </oc>
    <nc r="C3" t="n">
      <v>0.245</v>
    </nc>
  </rcc>
  <rcc rId="4375" ua="false" sId="14">
    <oc r="D3" t="n">
      <v>-0.825</v>
    </oc>
    <nc r="D3" t="n">
      <v>-0.93</v>
    </nc>
  </rcc>
  <rcc rId="4376" ua="false" sId="14">
    <oc r="D4" t="n">
      <v>-0.86</v>
    </oc>
    <nc r="D4" t="n">
      <v>-1</v>
    </nc>
  </rcc>
  <rcc rId="4377" ua="false" sId="14">
    <oc r="C5" t="n">
      <v>0.2725</v>
    </oc>
    <nc r="C5" t="n">
      <v>0.2775</v>
    </nc>
  </rcc>
  <rcc rId="4378" ua="false" sId="14">
    <oc r="D5" t="n">
      <v>-0.9425</v>
    </oc>
    <nc r="D5" t="n">
      <v>-1.0675</v>
    </nc>
  </rcc>
  <rcc rId="4379" ua="false" sId="14">
    <oc r="C6" t="n">
      <v>0.31</v>
    </oc>
    <nc r="C6" t="n">
      <v>0.315</v>
    </nc>
  </rcc>
  <rcc rId="4380" ua="false" sId="14">
    <oc r="D6" t="n">
      <v>-1.1</v>
    </oc>
    <nc r="D6" t="n">
      <v>-1.195</v>
    </nc>
  </rcc>
  <rcc rId="4381" ua="false" sId="14">
    <oc r="D7" t="n">
      <v>-1.2</v>
    </oc>
    <nc r="D7" t="n">
      <v>-1.305</v>
    </nc>
  </rcc>
  <rcc rId="4382" ua="false" sId="14">
    <oc r="C8" t="n">
      <v>0.385</v>
    </oc>
    <nc r="C8" t="n">
      <v>0.395</v>
    </nc>
  </rcc>
  <rcc rId="4383" ua="false" sId="14">
    <oc r="D8" t="n">
      <v>-1.385</v>
    </oc>
    <nc r="D8" t="n">
      <v>-1.455</v>
    </nc>
  </rcc>
  <rcc rId="4384" ua="false" sId="14">
    <oc r="C9" t="n">
      <v>0.41</v>
    </oc>
    <nc r="C9" t="n">
      <v>0.42</v>
    </nc>
  </rcc>
  <rcc rId="4385" ua="false" sId="14">
    <oc r="D9" t="n">
      <v>-1.46</v>
    </oc>
    <nc r="D9" t="n">
      <v>-1.535</v>
    </nc>
  </rcc>
  <rcc rId="4386" ua="false" sId="14">
    <oc r="C10" t="n">
      <v>0.43</v>
    </oc>
    <nc r="C10" t="n">
      <v>0.4425</v>
    </nc>
  </rcc>
  <rcc rId="4387" ua="false" sId="14">
    <oc r="D10" t="n">
      <v>-1.515</v>
    </oc>
    <nc r="D10" t="n">
      <v>-1.5825</v>
    </nc>
  </rcc>
  <rcc rId="4388" ua="false" sId="14">
    <oc r="C11" t="n">
      <v>0.47</v>
    </oc>
    <nc r="C11" t="n">
      <v>0.475</v>
    </nc>
  </rcc>
  <rcc rId="4389" ua="false" sId="14">
    <oc r="D11" t="n">
      <v>-1.67</v>
    </oc>
    <nc r="D11" t="n">
      <v>-1.715</v>
    </nc>
  </rcc>
  <rcc rId="4390" ua="false" sId="15">
    <oc r="C2" t="n">
      <v>0.1875</v>
    </oc>
    <nc r="C2" t="n">
      <v>0.1925</v>
    </nc>
  </rcc>
  <rcc rId="4391" ua="false" sId="15">
    <oc r="D2" t="n">
      <v>0.3125</v>
    </oc>
    <nc r="D2" t="n">
      <v>0.0725</v>
    </nc>
  </rcc>
  <rcc rId="4392" ua="false" sId="15">
    <oc r="C3" t="n">
      <v>0.185</v>
    </oc>
    <nc r="C3" t="n">
      <v>0.1925</v>
    </nc>
  </rcc>
  <rcc rId="4393" ua="false" sId="15">
    <oc r="D3" t="n">
      <v>0.185</v>
    </oc>
    <nc r="D3" t="n">
      <v>0.0125</v>
    </nc>
  </rcc>
  <rcc rId="4394" ua="false" sId="15">
    <oc r="C4" t="n">
      <v>0.22</v>
    </oc>
    <nc r="C4" t="n">
      <v>0.2175</v>
    </nc>
  </rcc>
  <rcc rId="4395" ua="false" sId="15">
    <oc r="D4" t="n">
      <v>0.1075</v>
    </oc>
    <nc r="D4" t="n">
      <v>-0.0425</v>
    </nc>
  </rcc>
  <rcc rId="4396" ua="false" sId="15">
    <oc r="C5" t="n">
      <v>0.185</v>
    </oc>
    <nc r="C5" t="n">
      <v>0.21</v>
    </nc>
  </rcc>
  <rcc rId="4397" ua="false" sId="15">
    <oc r="D5" t="n">
      <v>-0.02</v>
    </oc>
    <nc r="D5" t="n">
      <v>-0.1</v>
    </nc>
  </rcc>
  <rcc rId="4398" ua="false" sId="15">
    <oc r="C6" t="n">
      <v>0.2125</v>
    </oc>
    <nc r="C6" t="n">
      <v>0.2375</v>
    </nc>
  </rcc>
  <rcc rId="4399" ua="false" sId="15">
    <oc r="D6" t="n">
      <v>-0.285</v>
    </oc>
    <nc r="D6" t="n">
      <v>-0.335</v>
    </nc>
  </rcc>
  <rcc rId="4400" ua="false" sId="15">
    <oc r="C7" t="n">
      <v>0.235</v>
    </oc>
    <nc r="C7" t="n">
      <v>0.265</v>
    </nc>
  </rcc>
  <rcc rId="4401" ua="false" sId="15">
    <oc r="D7" t="n">
      <v>-0.525</v>
    </oc>
    <nc r="D7" t="n">
      <v>-0.55</v>
    </nc>
  </rcc>
  <rcc rId="4402" ua="false" sId="15">
    <oc r="C8" t="n">
      <v>0.2875</v>
    </oc>
    <nc r="C8" t="n">
      <v>0.31</v>
    </nc>
  </rcc>
  <rcc rId="4403" ua="false" sId="15">
    <oc r="D8" t="n">
      <v>-0.8575</v>
    </oc>
    <nc r="D8" t="n">
      <v>-0.925</v>
    </nc>
  </rcc>
  <rcc rId="4404" ua="false" sId="15">
    <oc r="C9" t="n">
      <v>0.32</v>
    </oc>
    <nc r="C9" t="n">
      <v>0.34</v>
    </nc>
  </rcc>
  <rcc rId="4405" ua="false" sId="15">
    <oc r="D9" t="n">
      <v>-1.0175</v>
    </oc>
    <nc r="D9" t="n">
      <v>-1.09</v>
    </nc>
  </rcc>
  <rcc rId="4406" ua="false" sId="15">
    <oc r="C10" t="n">
      <v>0.335</v>
    </oc>
    <nc r="C10" t="n">
      <v>0.345</v>
    </nc>
  </rcc>
  <rcc rId="4407" ua="false" sId="15">
    <oc r="D10" t="n">
      <v>-1.135</v>
    </oc>
    <nc r="D10" t="n">
      <v>-1.1975</v>
    </nc>
  </rcc>
  <rcc rId="4408" ua="false" sId="15">
    <oc r="C11" t="n">
      <v>0.37</v>
    </oc>
    <nc r="C11" t="n">
      <v>0.38</v>
    </nc>
  </rcc>
  <rcc rId="4409" ua="false" sId="15">
    <oc r="D11" t="n">
      <v>-1.4</v>
    </oc>
    <nc r="D11" t="n">
      <v>-1.455</v>
    </nc>
  </rcc>
</revisions>
</file>

<file path=xl/revisions/revisionLog451.xml><?xml version="1.0" encoding="utf-8"?>
<revisions xmlns="http://schemas.openxmlformats.org/spreadsheetml/2006/main" xmlns:r="http://schemas.openxmlformats.org/officeDocument/2006/relationships">
  <rcc rId="4410" ua="false" sId="18">
    <oc r="B5" t="n">
      <v>0.3</v>
    </oc>
    <nc r="B5" t="n">
      <v>0</v>
    </nc>
  </rcc>
</revisions>
</file>

<file path=xl/revisions/revisionLog452.xml><?xml version="1.0" encoding="utf-8"?>
<revisions xmlns="http://schemas.openxmlformats.org/spreadsheetml/2006/main" xmlns:r="http://schemas.openxmlformats.org/officeDocument/2006/relationships">
  <rcc rId="4411" ua="false" sId="18">
    <oc r="I2" t="n">
      <v>8.45</v>
    </oc>
    <nc r="I2" t="n">
      <v>8.5</v>
    </nc>
  </rcc>
  <rcc rId="4412" ua="false" sId="18">
    <oc r="I5" t="n">
      <v>2</v>
    </oc>
    <nc r="I5" t="n">
      <v>1.4</v>
    </nc>
  </rcc>
</revisions>
</file>

<file path=xl/revisions/revisionLog453.xml><?xml version="1.0" encoding="utf-8"?>
<revisions xmlns="http://schemas.openxmlformats.org/spreadsheetml/2006/main" xmlns:r="http://schemas.openxmlformats.org/officeDocument/2006/relationships">
  <rcc rId="4413" ua="false" sId="19">
    <oc r="B9" t="n">
      <v>0</v>
    </oc>
    <nc r="B9" t="n">
      <v>10</v>
    </nc>
  </rcc>
  <rcc rId="4414" ua="false" sId="19">
    <oc r="A9" t="inlineStr">
      <is>
        <r>
          <rPr>
            <sz val="11"/>
            <rFont val="Calibri"/>
            <family val="0"/>
            <charset val="1"/>
          </rPr>
          <t xml:space="preserve">06/14/2021 00:00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06/14/2023 00:00</t>
        </r>
      </is>
    </nc>
  </rcc>
  <rcc rId="4415" ua="false" sId="19">
    <oc r="B9" t="n">
      <v>10</v>
    </oc>
    <nc r="B9" t="n">
      <v>3</v>
    </nc>
  </rcc>
</revisions>
</file>

<file path=xl/revisions/revisionLog454.xml><?xml version="1.0" encoding="utf-8"?>
<revisions xmlns="http://schemas.openxmlformats.org/spreadsheetml/2006/main" xmlns:r="http://schemas.openxmlformats.org/officeDocument/2006/relationships">
  <rcc rId="4416" ua="false" sId="18">
    <oc r="I3" t="n">
      <v>9.3</v>
    </oc>
    <nc r="I3" t="n">
      <v>9.23</v>
    </nc>
  </rcc>
  <rcc rId="4417" ua="false" sId="18">
    <oc r="I2" t="n">
      <v>8.5</v>
    </oc>
    <nc r="I2" t="n">
      <v>8.52</v>
    </nc>
  </rcc>
  <rcc rId="4418" ua="false" sId="18">
    <oc r="I5" t="n">
      <v>1.4</v>
    </oc>
    <nc r="I5" t="n">
      <v>1.3</v>
    </nc>
  </rcc>
</revisions>
</file>

<file path=xl/revisions/revisionLog455.xml><?xml version="1.0" encoding="utf-8"?>
<revisions xmlns="http://schemas.openxmlformats.org/spreadsheetml/2006/main" xmlns:r="http://schemas.openxmlformats.org/officeDocument/2006/relationships">
  <rcc rId="4419" ua="false" sId="18">
    <oc r="N2" t="n">
      <v>0.56</v>
    </oc>
    <nc r="N2" t="n">
      <v>0.57</v>
    </nc>
  </rcc>
</revisions>
</file>

<file path=xl/revisions/revisionLog456.xml><?xml version="1.0" encoding="utf-8"?>
<revisions xmlns="http://schemas.openxmlformats.org/spreadsheetml/2006/main" xmlns:r="http://schemas.openxmlformats.org/officeDocument/2006/relationships">
  <rcc rId="4420" ua="false" sId="16">
    <oc r="C2" t="n">
      <v>0.1875</v>
    </oc>
    <nc r="C2" t="n">
      <v>0.1825</v>
    </nc>
  </rcc>
  <rcc rId="4421" ua="false" sId="16">
    <oc r="D2" t="n">
      <v>0.55</v>
    </oc>
    <nc r="D2" t="n">
      <v>0.3775</v>
    </nc>
  </rcc>
  <rcc rId="4422" ua="false" sId="16">
    <oc r="D3" t="n">
      <v>0.375</v>
    </oc>
    <nc r="D3" t="n">
      <v>0.4475</v>
    </nc>
  </rcc>
  <rcc rId="4423" ua="false" sId="16">
    <oc r="D4" t="n">
      <v>0.485</v>
    </oc>
    <nc r="D4" t="n">
      <v>0.55</v>
    </nc>
  </rcc>
  <rcc rId="4424" ua="false" sId="16">
    <oc r="C5" t="n">
      <v>0.22</v>
    </oc>
    <nc r="C5" t="n">
      <v>0.2225</v>
    </nc>
  </rcc>
  <rcc rId="4425" ua="false" sId="16">
    <oc r="D5" t="n">
      <v>0.5825</v>
    </oc>
    <nc r="D5" t="n">
      <v>0.665</v>
    </nc>
  </rcc>
  <rcc rId="4426" ua="false" sId="16">
    <oc r="C6" t="n">
      <v>0.24</v>
    </oc>
    <nc r="C6" t="n">
      <v>0.235</v>
    </nc>
  </rcc>
  <rcc rId="4427" ua="false" sId="16">
    <oc r="D6" t="n">
      <v>0.695</v>
    </oc>
    <nc r="D6" t="n">
      <v>0.73</v>
    </nc>
  </rcc>
  <rcc rId="4428" ua="false" sId="16">
    <oc r="D7" t="n">
      <v>0.9225</v>
    </oc>
    <nc r="D7" t="n">
      <v>0.96</v>
    </nc>
  </rcc>
  <rcc rId="4429" ua="false" sId="16">
    <oc r="C8" t="n">
      <v>0.3175</v>
    </oc>
    <nc r="C8" t="n">
      <v>0.31</v>
    </nc>
  </rcc>
  <rcc rId="4430" ua="false" sId="16">
    <oc r="D8" t="n">
      <v>1.08</v>
    </oc>
    <nc r="D8" t="n">
      <v>1.105</v>
    </nc>
  </rcc>
  <rcc rId="4431" ua="false" sId="16">
    <oc r="C9" t="n">
      <v>0.34</v>
    </oc>
    <nc r="C9" t="n">
      <v>0.335</v>
    </nc>
  </rcc>
  <rcc rId="4432" ua="false" sId="16">
    <oc r="D9" t="n">
      <v>1.2125</v>
    </oc>
    <nc r="D9" t="n">
      <v>1.225</v>
    </nc>
  </rcc>
  <rcc rId="4433" ua="false" sId="16">
    <oc r="C10" t="n">
      <v>0.37</v>
    </oc>
    <nc r="C10" t="n">
      <v>0.35</v>
    </nc>
  </rcc>
  <rcc rId="4434" ua="false" sId="16">
    <oc r="D10" t="n">
      <v>1.31</v>
    </oc>
    <nc r="D10" t="n">
      <v>1.2775</v>
    </nc>
  </rcc>
</revisions>
</file>

<file path=xl/revisions/revisionLog457.xml><?xml version="1.0" encoding="utf-8"?>
<revisions xmlns="http://schemas.openxmlformats.org/spreadsheetml/2006/main" xmlns:r="http://schemas.openxmlformats.org/officeDocument/2006/relationships">
  <rcc rId="4435" ua="false" sId="18">
    <oc r="H5" t="n">
      <v>3</v>
    </oc>
    <nc r="H5" t="n">
      <v>1.8</v>
    </nc>
  </rcc>
  <rcc rId="4436" ua="false" sId="18">
    <oc r="H3" t="n">
      <v>11.15</v>
    </oc>
    <nc r="H3" t="n">
      <v>11.1</v>
    </nc>
  </rcc>
  <rcc rId="4437" ua="false" sId="18">
    <oc r="H2" t="n">
      <v>11.95</v>
    </oc>
    <nc r="H2" t="n">
      <v>11.85</v>
    </nc>
  </rcc>
</revisions>
</file>

<file path=xl/revisions/revisionLog458.xml><?xml version="1.0" encoding="utf-8"?>
<revisions xmlns="http://schemas.openxmlformats.org/spreadsheetml/2006/main" xmlns:r="http://schemas.openxmlformats.org/officeDocument/2006/relationships">
  <rcc rId="4438" ua="false" sId="18">
    <oc r="F2" t="n">
      <v>6.15</v>
    </oc>
    <nc r="F2" t="n">
      <v>6.1</v>
    </nc>
  </rcc>
</revisions>
</file>

<file path=xl/revisions/revisionLog459.xml><?xml version="1.0" encoding="utf-8"?>
<revisions xmlns="http://schemas.openxmlformats.org/spreadsheetml/2006/main" xmlns:r="http://schemas.openxmlformats.org/officeDocument/2006/relationships">
  <rcc rId="4439" ua="false" sId="18">
    <oc r="H5" t="n">
      <v>3.3</v>
    </oc>
    <nc r="H5" t="n">
      <v>3</v>
    </nc>
  </rcc>
  <rcc rId="4440" ua="false" sId="18">
    <oc r="H2" t="n">
      <v>11.15</v>
    </oc>
    <nc r="H2" t="n">
      <v>11.45</v>
    </nc>
  </rcc>
  <rcc rId="4441" ua="false" sId="18">
    <oc r="H3" t="n">
      <v>11</v>
    </oc>
    <nc r="H3" t="n">
      <v>11.15</v>
    </nc>
  </rcc>
  <rcc rId="4442" ua="false" sId="18">
    <oc r="H5" t="n">
      <v>3</v>
    </oc>
    <nc r="H5" t="n">
      <v>2.5</v>
    </nc>
  </rcc>
  <rcc rId="4443" ua="false" sId="18">
    <oc r="H2" t="n">
      <v>11.45</v>
    </oc>
    <nc r="H2" t="n">
      <v>11.7</v>
    </nc>
  </rcc>
</revisions>
</file>

<file path=xl/revisions/revisionLog460.xml><?xml version="1.0" encoding="utf-8"?>
<revisions xmlns="http://schemas.openxmlformats.org/spreadsheetml/2006/main" xmlns:r="http://schemas.openxmlformats.org/officeDocument/2006/relationships">
  <rcc rId="4444" ua="false" sId="18">
    <oc r="H5" t="n">
      <v>1.8</v>
    </oc>
    <nc r="H5" t="n">
      <v>1.4</v>
    </nc>
  </rcc>
  <rcc rId="4445" ua="false" sId="18">
    <oc r="H3" t="n">
      <v>11.1</v>
    </oc>
    <nc r="H3" t="n">
      <v>11.05</v>
    </nc>
  </rcc>
</revisions>
</file>

<file path=xl/revisions/revisionLog461.xml><?xml version="1.0" encoding="utf-8"?>
<revisions xmlns="http://schemas.openxmlformats.org/spreadsheetml/2006/main" xmlns:r="http://schemas.openxmlformats.org/officeDocument/2006/relationships">
  <rcc rId="4446" ua="false" sId="18">
    <oc r="J2" t="n">
      <v>10.8</v>
    </oc>
    <nc r="J2" t="n">
      <v>11.5</v>
    </nc>
  </rcc>
  <rcc rId="4447" ua="false" sId="18">
    <oc r="J5" t="n">
      <v>2.5</v>
    </oc>
    <nc r="J5" t="n">
      <v>1.4</v>
    </nc>
  </rcc>
  <rcc rId="4448" ua="false" sId="18">
    <oc r="J3" t="n">
      <v>10.96</v>
    </oc>
    <nc r="J3" t="n">
      <v>11.05</v>
    </nc>
  </rcc>
</revisions>
</file>

<file path=xl/revisions/revisionLog462.xml><?xml version="1.0" encoding="utf-8"?>
<revisions xmlns="http://schemas.openxmlformats.org/spreadsheetml/2006/main" xmlns:r="http://schemas.openxmlformats.org/officeDocument/2006/relationships">
  <rcc rId="4449" ua="false" sId="18">
    <oc r="J5" t="n">
      <v>4.1</v>
    </oc>
    <nc r="J5" t="n">
      <v>4.6</v>
    </nc>
  </rcc>
  <rcc rId="4450" ua="false" sId="18">
    <oc r="J2" t="n">
      <v>11.6</v>
    </oc>
    <nc r="J2" t="n">
      <v>11.65</v>
    </nc>
  </rcc>
</revisions>
</file>

<file path=xl/revisions/revisionLog463.xml><?xml version="1.0" encoding="utf-8"?>
<revisions xmlns="http://schemas.openxmlformats.org/spreadsheetml/2006/main" xmlns:r="http://schemas.openxmlformats.org/officeDocument/2006/relationships">
  <rcc rId="4451" ua="false" sId="18">
    <oc r="J3" t="n">
      <v>11.05</v>
    </oc>
    <nc r="J3" t="n">
      <v>11.1</v>
    </nc>
  </rcc>
  <rcc rId="4452" ua="false" sId="18">
    <oc r="J2" t="n">
      <v>11.5</v>
    </oc>
    <nc r="J2" t="n">
      <v>11.75</v>
    </nc>
  </rcc>
</revisions>
</file>

<file path=xl/revisions/revisionLog464.xml><?xml version="1.0" encoding="utf-8"?>
<revisions xmlns="http://schemas.openxmlformats.org/spreadsheetml/2006/main" xmlns:r="http://schemas.openxmlformats.org/officeDocument/2006/relationships">
  <rcc rId="4453" ua="false" sId="18">
    <oc r="B3" t="n">
      <v>6.85</v>
    </oc>
    <nc r="B3" t="n">
      <v>6.9</v>
    </nc>
  </rcc>
  <rcc rId="4454" ua="false" sId="18">
    <oc r="B6" t="n">
      <v>5</v>
    </oc>
    <nc r="B6" t="n">
      <v>4.5</v>
    </nc>
  </rcc>
</revisions>
</file>

<file path=xl/revisions/revisionLog465.xml><?xml version="1.0" encoding="utf-8"?>
<revisions xmlns="http://schemas.openxmlformats.org/spreadsheetml/2006/main" xmlns:r="http://schemas.openxmlformats.org/officeDocument/2006/relationships">
  <rcc rId="4455" ua="false" sId="18">
    <oc r="G5" t="n">
      <v>2.6</v>
    </oc>
    <nc r="G5" t="n">
      <v>2</v>
    </nc>
  </rcc>
  <rcc rId="4456" ua="false" sId="18">
    <oc r="G2" t="n">
      <v>6.25</v>
    </oc>
    <nc r="G2" t="n">
      <v>6.33</v>
    </nc>
  </rcc>
</revisions>
</file>

<file path=xl/revisions/revisionLog466.xml><?xml version="1.0" encoding="utf-8"?>
<revisions xmlns="http://schemas.openxmlformats.org/spreadsheetml/2006/main" xmlns:r="http://schemas.openxmlformats.org/officeDocument/2006/relationships">
  <rcc rId="4457" ua="false" sId="18">
    <oc r="I5" t="n">
      <v>4.2</v>
    </oc>
    <nc r="I5" t="n">
      <v>3.1</v>
    </nc>
  </rcc>
  <rcc rId="4458" ua="false" sId="18">
    <oc r="I3" t="n">
      <v>9.4</v>
    </oc>
    <nc r="I3" t="n">
      <v>9.5</v>
    </nc>
  </rcc>
</revisions>
</file>

<file path=xl/revisions/revisionLog467.xml><?xml version="1.0" encoding="utf-8"?>
<revisions xmlns="http://schemas.openxmlformats.org/spreadsheetml/2006/main" xmlns:r="http://schemas.openxmlformats.org/officeDocument/2006/relationships">
  <rcc rId="4459" ua="false" sId="18">
    <oc r="B5" t="n">
      <v>0</v>
    </oc>
    <nc r="B5" t="n">
      <v>-0.2</v>
    </nc>
  </rcc>
</revisions>
</file>

<file path=xl/revisions/revisionLog468.xml><?xml version="1.0" encoding="utf-8"?>
<revisions xmlns="http://schemas.openxmlformats.org/spreadsheetml/2006/main" xmlns:r="http://schemas.openxmlformats.org/officeDocument/2006/relationships">
  <rcc rId="4460" ua="false" sId="19">
    <oc r="A9" t="inlineStr">
      <is>
        <r>
          <rPr>
            <sz val="11"/>
            <rFont val="Calibri"/>
            <family val="0"/>
            <charset val="1"/>
          </rPr>
          <t xml:space="preserve">06/14/2023 00:00</t>
        </r>
      </is>
    </oc>
    <nc r="A9" t="inlineStr">
      <is>
        <r>
          <rPr>
            <sz val="11"/>
            <rFont val="Calibri"/>
            <family val="0"/>
            <charset val="1"/>
          </rPr>
          <t xml:space="preserve">06/14/2023 14:00</t>
        </r>
      </is>
    </nc>
  </rcc>
</revisions>
</file>

<file path=xl/revisions/revisionLog469.xml><?xml version="1.0" encoding="utf-8"?>
<revisions xmlns="http://schemas.openxmlformats.org/spreadsheetml/2006/main" xmlns:r="http://schemas.openxmlformats.org/officeDocument/2006/relationships">
  <rcc rId="4461" ua="false" sId="18">
    <oc r="J2" t="n">
      <v>11.3</v>
    </oc>
    <nc r="J2" t="n">
      <v>11.5</v>
    </nc>
  </rcc>
  <rcc rId="4462" ua="false" sId="18">
    <oc r="J3" t="n">
      <v>11</v>
    </oc>
    <nc r="J3" t="n">
      <v>11.1</v>
    </nc>
  </rcc>
  <rcc rId="4463" ua="false" sId="18">
    <oc r="J5" t="n">
      <v>2.8</v>
    </oc>
    <nc r="J5" t="n">
      <v>3.2</v>
    </nc>
  </rcc>
</revisions>
</file>

<file path=xl/revisions/revisionLog470.xml><?xml version="1.0" encoding="utf-8"?>
<revisions xmlns="http://schemas.openxmlformats.org/spreadsheetml/2006/main" xmlns:r="http://schemas.openxmlformats.org/officeDocument/2006/relationships">
  <rcc rId="4464" ua="false" sId="18">
    <oc r="F2" t="n">
      <v>7</v>
    </oc>
    <nc r="F2" t="n">
      <v>6.9</v>
    </nc>
  </rcc>
  <rcc rId="4465" ua="false" sId="18">
    <oc r="F3" t="n">
      <v>8</v>
    </oc>
    <nc r="F3" t="n">
      <v>8.15</v>
    </nc>
  </rcc>
</revisions>
</file>

<file path=xl/revisions/revisionLog471.xml><?xml version="1.0" encoding="utf-8"?>
<revisions xmlns="http://schemas.openxmlformats.org/spreadsheetml/2006/main" xmlns:r="http://schemas.openxmlformats.org/officeDocument/2006/relationships">
  <rcc rId="4466" ua="false" sId="18">
    <oc r="D2" t="n">
      <v>0.53</v>
    </oc>
    <nc r="D2" t="n">
      <v>0.5</v>
    </nc>
  </rcc>
  <rcc rId="4467" ua="false" sId="18">
    <oc r="D5" t="n">
      <v>0.6</v>
    </oc>
    <nc r="D5" t="n">
      <v>0</v>
    </nc>
  </rcc>
</revisions>
</file>

<file path=xl/revisions/revisionLog472.xml><?xml version="1.0" encoding="utf-8"?>
<revisions xmlns="http://schemas.openxmlformats.org/spreadsheetml/2006/main" xmlns:r="http://schemas.openxmlformats.org/officeDocument/2006/relationships">
  <rcc rId="4468" ua="false" sId="18">
    <oc r="D2" t="n">
      <v>0.5</v>
    </oc>
    <nc r="D2" t="n">
      <v>0.48</v>
    </nc>
  </rcc>
</revisions>
</file>

<file path=xl/revisions/revisionLog473.xml><?xml version="1.0" encoding="utf-8"?>
<revisions xmlns="http://schemas.openxmlformats.org/spreadsheetml/2006/main" xmlns:r="http://schemas.openxmlformats.org/officeDocument/2006/relationships">
  <rcc rId="4469" ua="false" sId="18">
    <oc r="D2" t="n">
      <v>0.51</v>
    </oc>
    <nc r="D2" t="n">
      <v>0.525</v>
    </nc>
  </rcc>
</revisions>
</file>

<file path=xl/revisions/revisionLog474.xml><?xml version="1.0" encoding="utf-8"?>
<revisions xmlns="http://schemas.openxmlformats.org/spreadsheetml/2006/main" xmlns:r="http://schemas.openxmlformats.org/officeDocument/2006/relationships">
  <rcc rId="4470" ua="false" sId="18">
    <oc r="B5" t="n">
      <v>0.3</v>
    </oc>
    <nc r="B5" t="n">
      <v>0.4</v>
    </nc>
  </rcc>
</revisions>
</file>

<file path=xl/revisions/revisionLog475.xml><?xml version="1.0" encoding="utf-8"?>
<revisions xmlns="http://schemas.openxmlformats.org/spreadsheetml/2006/main" xmlns:r="http://schemas.openxmlformats.org/officeDocument/2006/relationships">
  <rcc rId="4471" ua="false" sId="18">
    <oc r="H5" t="n">
      <v>0.4</v>
    </oc>
    <nc r="H5" t="n">
      <v>0.5</v>
    </nc>
  </rcc>
  <rcc rId="4472" ua="false" sId="18">
    <oc r="H2" t="n">
      <v>10.2</v>
    </oc>
    <nc r="H2" t="n">
      <v>10.25</v>
    </nc>
  </rcc>
</revisions>
</file>

<file path=xl/revisions/revisionLog476.xml><?xml version="1.0" encoding="utf-8"?>
<revisions xmlns="http://schemas.openxmlformats.org/spreadsheetml/2006/main" xmlns:r="http://schemas.openxmlformats.org/officeDocument/2006/relationships">
  <rcc rId="4473" ua="false" sId="18">
    <oc r="G2" t="n">
      <v>6</v>
    </oc>
    <nc r="G2" t="n">
      <v>6.1</v>
    </nc>
  </rcc>
  <rcc rId="4474" ua="false" sId="18">
    <oc r="G5" t="n">
      <v>1.5</v>
    </oc>
    <nc r="G5" t="n">
      <v>1.2</v>
    </nc>
  </rcc>
</revisions>
</file>

<file path=xl/revisions/revisionLog477.xml><?xml version="1.0" encoding="utf-8"?>
<revisions xmlns="http://schemas.openxmlformats.org/spreadsheetml/2006/main" xmlns:r="http://schemas.openxmlformats.org/officeDocument/2006/relationships">
  <rcc rId="4475" ua="false" sId="18">
    <oc r="H3" t="n">
      <v>11.15</v>
    </oc>
    <nc r="H3" t="n">
      <v>11.1</v>
    </nc>
  </rcc>
</revisions>
</file>

<file path=xl/revisions/revisionLog478.xml><?xml version="1.0" encoding="utf-8"?>
<revisions xmlns="http://schemas.openxmlformats.org/spreadsheetml/2006/main" xmlns:r="http://schemas.openxmlformats.org/officeDocument/2006/relationships">
  <rcc rId="4476" ua="false" sId="21">
    <oc r="A1" t="inlineStr">
      <is>
        <r>
          <rPr>
            <sz val="11"/>
            <rFont val="Calibri"/>
            <family val="0"/>
            <charset val="1"/>
          </rPr>
          <t xml:space="preserve">"Z:\# Derivatives and Structured Products #\Yifan\indication.xlsx"</t>
        </r>
      </is>
    </oc>
    <nc r="A1" t="inlineStr">
      <is>
        <r>
          <rPr>
            <sz val="11"/>
            <rFont val="Calibri"/>
            <family val="0"/>
            <charset val="1"/>
          </rPr>
          <t xml:space="preserve">Z:\# Derivatives and Structured Products #\Yifan\indication.xlsx</t>
        </r>
      </is>
    </nc>
  </rcc>
</revisions>
</file>

<file path=xl/revisions/revisionLog479.xml><?xml version="1.0" encoding="utf-8"?>
<revisions xmlns="http://schemas.openxmlformats.org/spreadsheetml/2006/main" xmlns:r="http://schemas.openxmlformats.org/officeDocument/2006/relationships">
  <rcc rId="4477" ua="false" sId="18">
    <oc r="I2" t="n">
      <v>8.7</v>
    </oc>
    <nc r="I2" t="n">
      <v>8.85</v>
    </nc>
  </rcc>
  <rcc rId="4478" ua="false" sId="18">
    <oc r="I5" t="n">
      <v>3.1</v>
    </oc>
    <nc r="I5" t="n">
      <v>2.7</v>
    </nc>
  </rcc>
</revisions>
</file>

<file path=xl/revisions/revisionLog480.xml><?xml version="1.0" encoding="utf-8"?>
<revisions xmlns="http://schemas.openxmlformats.org/spreadsheetml/2006/main" xmlns:r="http://schemas.openxmlformats.org/officeDocument/2006/relationships">
  <rcc rId="4479" ua="false" sId="18">
    <oc r="G3" t="n">
      <v>7.15</v>
    </oc>
    <nc r="G3" t="n">
      <v>7.1</v>
    </nc>
  </rcc>
</revisions>
</file>

<file path=xl/revisions/revisionLog481.xml><?xml version="1.0" encoding="utf-8"?>
<revisions xmlns="http://schemas.openxmlformats.org/spreadsheetml/2006/main" xmlns:r="http://schemas.openxmlformats.org/officeDocument/2006/relationships">
  <rcc rId="4480" ua="false" sId="18">
    <oc r="I3" t="n">
      <v>9.1</v>
    </oc>
    <nc r="I3" t="n">
      <v>9.13</v>
    </nc>
  </rcc>
  <rcc rId="4481" ua="false" sId="18">
    <oc r="I2" t="n">
      <v>8.72</v>
    </oc>
    <nc r="I2" t="n">
      <v>8.71</v>
    </nc>
  </rcc>
</revisions>
</file>

<file path=xl/revisions/revisionLog482.xml><?xml version="1.0" encoding="utf-8"?>
<revisions xmlns="http://schemas.openxmlformats.org/spreadsheetml/2006/main" xmlns:r="http://schemas.openxmlformats.org/officeDocument/2006/relationships">
  <rcc rId="4482" ua="false" sId="18">
    <oc r="D2" t="n">
      <v>0.48</v>
    </oc>
    <nc r="D2" t="n">
      <v>0.46</v>
    </nc>
  </rcc>
</revisions>
</file>

<file path=xl/revisions/revisionLog483.xml><?xml version="1.0" encoding="utf-8"?>
<revisions xmlns="http://schemas.openxmlformats.org/spreadsheetml/2006/main" xmlns:r="http://schemas.openxmlformats.org/officeDocument/2006/relationships">
  <rcc rId="4483" ua="false" sId="18">
    <oc r="D2" t="n">
      <v>0.46</v>
    </oc>
    <nc r="D2" t="n">
      <v>0.44</v>
    </nc>
  </rcc>
  <rcc rId="4484" ua="false" sId="18">
    <oc r="D3" t="n">
      <v>0.39</v>
    </oc>
    <nc r="D3" t="n">
      <v>0.38</v>
    </nc>
  </rcc>
  <rcc rId="4485" ua="false" sId="18">
    <oc r="D2" t="n">
      <v>0.44</v>
    </oc>
    <nc r="D2" t="n">
      <v>0.4</v>
    </nc>
  </rcc>
</revisions>
</file>

<file path=xl/revisions/revisionLog484.xml><?xml version="1.0" encoding="utf-8"?>
<revisions xmlns="http://schemas.openxmlformats.org/spreadsheetml/2006/main" xmlns:r="http://schemas.openxmlformats.org/officeDocument/2006/relationships">
  <rcc rId="4486" ua="false" sId="18">
    <oc r="J2" t="n">
      <v>10.3</v>
    </oc>
    <nc r="J2" t="n">
      <v>10.25</v>
    </nc>
  </rcc>
  <rcc rId="4487" ua="false" sId="18">
    <oc r="J5" t="n">
      <v>1</v>
    </oc>
    <nc r="J5" t="n">
      <v>1.1</v>
    </nc>
  </rcc>
</revisions>
</file>

<file path=xl/revisions/revisionLog485.xml><?xml version="1.0" encoding="utf-8"?>
<revisions xmlns="http://schemas.openxmlformats.org/spreadsheetml/2006/main" xmlns:r="http://schemas.openxmlformats.org/officeDocument/2006/relationships">
  <rcc rId="4488" ua="false" sId="18">
    <oc r="B5" t="n">
      <v>-0.2</v>
    </oc>
    <nc r="B5" t="n">
      <v>0</v>
    </nc>
  </rcc>
</revisions>
</file>

<file path=xl/revisions/revisionLog486.xml><?xml version="1.0" encoding="utf-8"?>
<revisions xmlns="http://schemas.openxmlformats.org/spreadsheetml/2006/main" xmlns:r="http://schemas.openxmlformats.org/officeDocument/2006/relationships">
  <rcc rId="4489" ua="false" sId="18">
    <oc r="D2" t="n">
      <v>0.4</v>
    </oc>
    <nc r="D2" t="n">
      <v>0.42</v>
    </nc>
  </rcc>
  <rcc rId="4490" ua="false" sId="18">
    <oc r="D3" t="n">
      <v>0.38</v>
    </oc>
    <nc r="D3" t="n">
      <v>0.4</v>
    </nc>
  </rcc>
</revisions>
</file>

<file path=xl/revisions/revisionLog487.xml><?xml version="1.0" encoding="utf-8"?>
<revisions xmlns="http://schemas.openxmlformats.org/spreadsheetml/2006/main" xmlns:r="http://schemas.openxmlformats.org/officeDocument/2006/relationships">
  <rcc rId="4491" ua="false" sId="18">
    <oc r="H5" t="n">
      <v>2.5</v>
    </oc>
    <nc r="H5" t="n">
      <v>3</v>
    </nc>
  </rcc>
  <rcc rId="4492" ua="false" sId="18">
    <oc r="H2" t="n">
      <v>11.7</v>
    </oc>
    <nc r="H2" t="n">
      <v>11.8</v>
    </nc>
  </rcc>
</revisions>
</file>

<file path=xl/revisions/revisionLog488.xml><?xml version="1.0" encoding="utf-8"?>
<revisions xmlns="http://schemas.openxmlformats.org/spreadsheetml/2006/main" xmlns:r="http://schemas.openxmlformats.org/officeDocument/2006/relationships">
  <rcc rId="4493" ua="false" sId="18">
    <oc r="D3" t="n">
      <v>0.4</v>
    </oc>
    <nc r="D3" t="n">
      <v>0.39</v>
    </nc>
  </rcc>
</revisions>
</file>

<file path=xl/revisions/revisionLog489.xml><?xml version="1.0" encoding="utf-8"?>
<revisions xmlns="http://schemas.openxmlformats.org/spreadsheetml/2006/main" xmlns:r="http://schemas.openxmlformats.org/officeDocument/2006/relationships">
  <rcc rId="4494" ua="false" sId="2">
    <oc r="C2" t="n">
      <v>0.265</v>
    </oc>
    <nc r="C2" t="n">
      <v>0.285</v>
    </nc>
  </rcc>
  <rcc rId="4495" ua="false" sId="2">
    <oc r="D2" t="n">
      <v>-1.265</v>
    </oc>
    <nc r="D2" t="n">
      <v>-1.15</v>
    </nc>
  </rcc>
  <rcc rId="4496" ua="false" sId="2">
    <oc r="C3" t="n">
      <v>0.285</v>
    </oc>
    <nc r="C3" t="n">
      <v>0.2925</v>
    </nc>
  </rcc>
  <rcc rId="4497" ua="false" sId="2">
    <oc r="D3" t="n">
      <v>-1.44</v>
    </oc>
    <nc r="D3" t="n">
      <v>-1.3225</v>
    </nc>
  </rcc>
  <rcc rId="4498" ua="false" sId="2">
    <oc r="C4" t="n">
      <v>0.3075</v>
    </oc>
    <nc r="C4" t="n">
      <v>0.3275</v>
    </nc>
  </rcc>
  <rcc rId="4499" ua="false" sId="2">
    <oc r="D4" t="n">
      <v>-1.4675</v>
    </oc>
    <nc r="D4" t="n">
      <v>-1.4025</v>
    </nc>
  </rcc>
  <rcc rId="4500" ua="false" sId="2">
    <oc r="C5" t="n">
      <v>0.335</v>
    </oc>
    <nc r="C5" t="n">
      <v>0.325</v>
    </nc>
  </rcc>
  <rcc rId="4501" ua="false" sId="2">
    <oc r="D5" t="n">
      <v>-1.51</v>
    </oc>
    <nc r="D5" t="n">
      <v>-1.365</v>
    </nc>
  </rcc>
  <rcc rId="4502" ua="false" sId="2">
    <oc r="C6" t="n">
      <v>0.3675</v>
    </oc>
    <nc r="C6" t="n">
      <v>0.36</v>
    </nc>
  </rcc>
  <rcc rId="4503" ua="false" sId="2">
    <oc r="D6" t="n">
      <v>-1.5825</v>
    </oc>
    <nc r="D6" t="n">
      <v>-1.475</v>
    </nc>
  </rcc>
  <rcc rId="4504" ua="false" sId="2">
    <oc r="C7" t="n">
      <v>0.395</v>
    </oc>
    <nc r="C7" t="n">
      <v>0.39</v>
    </nc>
  </rcc>
  <rcc rId="4505" ua="false" sId="2">
    <oc r="D7" t="n">
      <v>-1.675</v>
    </oc>
    <nc r="D7" t="n">
      <v>-1.595</v>
    </nc>
  </rcc>
  <rcc rId="4506" ua="false" sId="2">
    <oc r="C8" t="n">
      <v>0.4325</v>
    </oc>
    <nc r="C8" t="n">
      <v>0.42</v>
    </nc>
  </rcc>
  <rcc rId="4507" ua="false" sId="2">
    <oc r="D8" t="n">
      <v>-1.7475</v>
    </oc>
    <nc r="D8" t="n">
      <v>-1.6925</v>
    </nc>
  </rcc>
  <rcc rId="4508" ua="false" sId="2">
    <oc r="D9" t="n">
      <v>-1.7925</v>
    </oc>
    <nc r="D9" t="n">
      <v>-1.735</v>
    </nc>
  </rcc>
  <rcc rId="4509" ua="false" sId="2">
    <oc r="C10" t="n">
      <v>0.4525</v>
    </oc>
    <nc r="C10" t="n">
      <v>0.45</v>
    </nc>
  </rcc>
  <rcc rId="4510" ua="false" sId="2">
    <oc r="D10" t="n">
      <v>-1.8225</v>
    </oc>
    <nc r="D10" t="n">
      <v>-1.7875</v>
    </nc>
  </rcc>
  <rcc rId="4511" ua="false" sId="2">
    <oc r="D11" t="n">
      <v>-1.9325</v>
    </oc>
    <nc r="D11" t="n">
      <v>-1.91</v>
    </nc>
  </rcc>
  <rcc rId="4512" ua="false" sId="3">
    <oc r="C2" t="n">
      <v>0.1925</v>
    </oc>
    <nc r="C2" t="n">
      <v>0.19</v>
    </nc>
  </rcc>
  <rcc rId="4513" ua="false" sId="3">
    <oc r="D2" t="n">
      <v>-0.615</v>
    </oc>
    <nc r="D2" t="n">
      <v>-0.51</v>
    </nc>
  </rcc>
  <rcc rId="4514" ua="false" sId="3">
    <oc r="C3" t="n">
      <v>0.2075</v>
    </oc>
    <nc r="C3" t="n">
      <v>0.2025</v>
    </nc>
  </rcc>
  <rcc rId="4515" ua="false" sId="3">
    <oc r="D3" t="n">
      <v>-0.6175</v>
    </oc>
    <nc r="D3" t="n">
      <v>-0.5625</v>
    </nc>
  </rcc>
  <rcc rId="4516" ua="false" sId="3">
    <oc r="D4" t="n">
      <v>-0.72</v>
    </oc>
    <nc r="D4" t="n">
      <v>-0.685</v>
    </nc>
  </rcc>
  <rcc rId="4517" ua="false" sId="3">
    <oc r="C5" t="n">
      <v>0.2275</v>
    </oc>
    <nc r="C5" t="n">
      <v>0.2225</v>
    </nc>
  </rcc>
  <rcc rId="4518" ua="false" sId="3">
    <oc r="D5" t="n">
      <v>-0.725</v>
    </oc>
    <nc r="D5" t="n">
      <v>-0.66</v>
    </nc>
  </rcc>
  <rcc rId="4519" ua="false" sId="3">
    <oc r="C6" t="n">
      <v>0.26</v>
    </oc>
    <nc r="C6" t="n">
      <v>0.2575</v>
    </nc>
  </rcc>
  <rcc rId="4520" ua="false" sId="3">
    <oc r="D6" t="n">
      <v>-0.8275</v>
    </oc>
    <nc r="D6" t="n">
      <v>-0.795</v>
    </nc>
  </rcc>
  <rcc rId="4521" ua="false" sId="3">
    <oc r="C7" t="n">
      <v>0.2975</v>
    </oc>
    <nc r="C7" t="n">
      <v>0.29</v>
    </nc>
  </rcc>
  <rcc rId="4522" ua="false" sId="3">
    <oc r="D7" t="n">
      <v>-0.91</v>
    </oc>
    <nc r="D7" t="n">
      <v>-0.845</v>
    </nc>
  </rcc>
  <rcc rId="4523" ua="false" sId="3">
    <oc r="C8" t="n">
      <v>0.3675</v>
    </oc>
    <nc r="C8" t="n">
      <v>0.36</v>
    </nc>
  </rcc>
  <rcc rId="4524" ua="false" sId="3">
    <oc r="D8" t="n">
      <v>-1.0025</v>
    </oc>
    <nc r="D8" t="n">
      <v>-0.97</v>
    </nc>
  </rcc>
  <rcc rId="4525" ua="false" sId="3">
    <oc r="C9" t="n">
      <v>0.4025</v>
    </oc>
    <nc r="C9" t="n">
      <v>0.4</v>
    </nc>
  </rcc>
  <rcc rId="4526" ua="false" sId="3">
    <oc r="D9" t="n">
      <v>-1.135</v>
    </oc>
    <nc r="D9" t="n">
      <v>-1.105</v>
    </nc>
  </rcc>
  <rcc rId="4527" ua="false" sId="3">
    <oc r="C10" t="n">
      <v>0.425</v>
    </oc>
    <nc r="C10" t="n">
      <v>0.42</v>
    </nc>
  </rcc>
  <rcc rId="4528" ua="false" sId="3">
    <oc r="D10" t="n">
      <v>-1.1625</v>
    </oc>
    <nc r="D10" t="n">
      <v>-1.155</v>
    </nc>
  </rcc>
  <rcc rId="4529" ua="false" sId="3">
    <oc r="C11" t="n">
      <v>0.4325</v>
    </oc>
    <nc r="C11" t="n">
      <v>0.43</v>
    </nc>
  </rcc>
  <rcc rId="4530" ua="false" sId="3">
    <oc r="D11" t="n">
      <v>-1.225</v>
    </oc>
    <nc r="D11" t="n">
      <v>-1.22</v>
    </nc>
  </rcc>
  <rcc rId="4531" ua="false" sId="4">
    <oc r="D2" t="n">
      <v>0.655</v>
    </oc>
    <nc r="D2" t="n">
      <v>0.48</v>
    </nc>
  </rcc>
  <rcc rId="4532" ua="false" sId="4">
    <oc r="C3" t="n">
      <v>0.2225</v>
    </oc>
    <nc r="C3" t="n">
      <v>0.2275</v>
    </nc>
  </rcc>
  <rcc rId="4533" ua="false" sId="4">
    <oc r="D3" t="n">
      <v>0.7275</v>
    </oc>
    <nc r="D3" t="n">
      <v>0.5525</v>
    </nc>
  </rcc>
  <rcc rId="4534" ua="false" sId="4">
    <oc r="C4" t="n">
      <v>0.225</v>
    </oc>
    <nc r="C4" t="n">
      <v>0.2325</v>
    </nc>
  </rcc>
  <rcc rId="4535" ua="false" sId="4">
    <oc r="D4" t="n">
      <v>0.6875</v>
    </oc>
    <nc r="D4" t="n">
      <v>0.555</v>
    </nc>
  </rcc>
  <rcc rId="4536" ua="false" sId="4">
    <oc r="C5" t="n">
      <v>0.2275</v>
    </oc>
    <nc r="C5" t="n">
      <v>0.24</v>
    </nc>
  </rcc>
  <rcc rId="4537" ua="false" sId="4">
    <oc r="D5" t="n">
      <v>0.6825</v>
    </oc>
    <nc r="D5" t="n">
      <v>0.58</v>
    </nc>
  </rcc>
  <rcc rId="4538" ua="false" sId="4">
    <oc r="C6" t="n">
      <v>0.2725</v>
    </oc>
    <nc r="C6" t="n">
      <v>0.26</v>
    </nc>
  </rcc>
  <rcc rId="4539" ua="false" sId="4">
    <oc r="D6" t="n">
      <v>0.705</v>
    </oc>
    <nc r="D6" t="n">
      <v>0.58</v>
    </nc>
  </rcc>
  <rcc rId="4540" ua="false" sId="4">
    <oc r="C7" t="n">
      <v>0.315</v>
    </oc>
    <nc r="C7" t="n">
      <v>0.295</v>
    </nc>
  </rcc>
  <rcc rId="4541" ua="false" sId="4">
    <oc r="D7" t="n">
      <v>0.715</v>
    </oc>
    <nc r="D7" t="n">
      <v>0.615</v>
    </nc>
  </rcc>
  <rcc rId="4542" ua="false" sId="4">
    <oc r="C8" t="n">
      <v>0.36</v>
    </oc>
    <nc r="C8" t="n">
      <v>0.34</v>
    </nc>
  </rcc>
  <rcc rId="4543" ua="false" sId="4">
    <oc r="D8" t="n">
      <v>0.685</v>
    </oc>
    <nc r="D8" t="n">
      <v>0.615</v>
    </nc>
  </rcc>
  <rcc rId="4544" ua="false" sId="4">
    <oc r="C9" t="n">
      <v>0.43</v>
    </oc>
    <nc r="C9" t="n">
      <v>0.4025</v>
    </nc>
  </rcc>
  <rcc rId="4545" ua="false" sId="4">
    <oc r="D9" t="n">
      <v>0.7475</v>
    </oc>
    <nc r="D9" t="n">
      <v>0.62</v>
    </nc>
  </rcc>
  <rcc rId="4546" ua="false" sId="4">
    <oc r="C10" t="n">
      <v>0.42</v>
    </oc>
    <nc r="C10" t="n">
      <v>0.4025</v>
    </nc>
  </rcc>
  <rcc rId="4547" ua="false" sId="4">
    <oc r="D10" t="n">
      <v>0.65</v>
    </oc>
    <nc r="D10" t="n">
      <v>0.59</v>
    </nc>
  </rcc>
  <rcc rId="4548" ua="false" sId="4">
    <oc r="C11" t="n">
      <v>0.44</v>
    </oc>
    <nc r="C11" t="n">
      <v>0.42</v>
    </nc>
  </rcc>
  <rcc rId="4549" ua="false" sId="4">
    <oc r="D11" t="n">
      <v>0.7125</v>
    </oc>
    <nc r="D11" t="n">
      <v>0.66</v>
    </nc>
  </rcc>
  <rcc rId="4550" ua="false" sId="5">
    <oc r="C2" t="n">
      <v>0.14</v>
    </oc>
    <nc r="C2" t="n">
      <v>0.1125</v>
    </nc>
  </rcc>
  <rcc rId="4551" ua="false" sId="5">
    <oc r="D2" t="n">
      <v>0.365</v>
    </oc>
    <nc r="D2" t="n">
      <v>0.345</v>
    </nc>
  </rcc>
  <rcc rId="4552" ua="false" sId="5">
    <oc r="C3" t="n">
      <v>0.1525</v>
    </oc>
    <nc r="C3" t="n">
      <v>0.135</v>
    </nc>
  </rcc>
  <rcc rId="4553" ua="false" sId="5">
    <oc r="D3" t="n">
      <v>0.4325</v>
    </oc>
    <nc r="D3" t="n">
      <v>0.425</v>
    </nc>
  </rcc>
  <rcc rId="4554" ua="false" sId="5">
    <oc r="C4" t="n">
      <v>0.1675</v>
    </oc>
    <nc r="C4" t="n">
      <v>0.1625</v>
    </nc>
  </rcc>
  <rcc rId="4555" ua="false" sId="5">
    <oc r="D4" t="n">
      <v>0.48</v>
    </oc>
    <nc r="D4" t="n">
      <v>0.47</v>
    </nc>
  </rcc>
  <rcc rId="4556" ua="false" sId="5">
    <oc r="C5" t="n">
      <v>0.1675</v>
    </oc>
    <nc r="C5" t="n">
      <v>0.1375</v>
    </nc>
  </rcc>
  <rcc rId="4557" ua="false" sId="5">
    <oc r="D5" t="n">
      <v>0.52</v>
    </oc>
    <nc r="D5" t="n">
      <v>0.505</v>
    </nc>
  </rcc>
  <rcc rId="4558" ua="false" sId="5">
    <oc r="C6" t="n">
      <v>0.185</v>
    </oc>
    <nc r="C6" t="n">
      <v>0.1625</v>
    </nc>
  </rcc>
  <rcc rId="4559" ua="false" sId="5">
    <oc r="D6" t="n">
      <v>0.6</v>
    </oc>
    <nc r="D6" t="n">
      <v>0.5925</v>
    </nc>
  </rcc>
  <rcc rId="4560" ua="false" sId="5">
    <oc r="C7" t="n">
      <v>0.22</v>
    </oc>
    <nc r="C7" t="n">
      <v>0.1925</v>
    </nc>
  </rcc>
  <rcc rId="4561" ua="false" sId="5">
    <oc r="D7" t="n">
      <v>0.7</v>
    </oc>
    <nc r="D7" t="n">
      <v>0.67</v>
    </nc>
  </rcc>
  <rcc rId="4562" ua="false" sId="5">
    <oc r="C8" t="n">
      <v>0.2825</v>
    </oc>
    <nc r="C8" t="n">
      <v>0.25</v>
    </nc>
  </rcc>
  <rcc rId="4563" ua="false" sId="5">
    <oc r="D8" t="n">
      <v>0.8175</v>
    </oc>
    <nc r="D8" t="n">
      <v>0.8125</v>
    </nc>
  </rcc>
  <rcc rId="4564" ua="false" sId="5">
    <oc r="C9" t="n">
      <v>0.3075</v>
    </oc>
    <nc r="C9" t="n">
      <v>0.2675</v>
    </nc>
  </rcc>
  <rcc rId="4565" ua="false" sId="5">
    <oc r="D9" t="n">
      <v>0.87</v>
    </oc>
    <nc r="D9" t="n">
      <v>0.8725</v>
    </nc>
  </rcc>
  <rcc rId="4566" ua="false" sId="5">
    <oc r="C10" t="n">
      <v>0.3025</v>
    </oc>
    <nc r="C10" t="n">
      <v>0.2725</v>
    </nc>
  </rcc>
  <rcc rId="4567" ua="false" sId="5">
    <oc r="D10" t="n">
      <v>0.9325</v>
    </oc>
    <nc r="D10" t="n">
      <v>0.9425</v>
    </nc>
  </rcc>
  <rcc rId="4568" ua="false" sId="5">
    <oc r="D11" t="n">
      <v>0.9025</v>
    </oc>
    <nc r="D11" t="n">
      <v>0.895</v>
    </nc>
  </rcc>
  <rcc rId="4569" ua="false" sId="10">
    <oc r="C2" t="n">
      <v>0.1375</v>
    </oc>
    <nc r="C2" t="n">
      <v>0.135</v>
    </nc>
  </rcc>
  <rcc rId="4570" ua="false" sId="10">
    <oc r="D2" t="n">
      <v>0.03</v>
    </oc>
    <nc r="D2" t="n">
      <v>0.14</v>
    </nc>
  </rcc>
  <rcc rId="4571" ua="false" sId="10">
    <oc r="D3" t="n">
      <v>0.085</v>
    </oc>
    <nc r="D3" t="n">
      <v>0.1475</v>
    </nc>
  </rcc>
  <rcc rId="4572" ua="false" sId="10">
    <oc r="C4" t="n">
      <v>0.17</v>
    </oc>
    <nc r="C4" t="n">
      <v>0.1825</v>
    </nc>
  </rcc>
  <rcc rId="4573" ua="false" sId="10">
    <oc r="D4" t="n">
      <v>0.2125</v>
    </oc>
    <nc r="D4" t="n">
      <v>0.29</v>
    </nc>
  </rcc>
  <rcc rId="4574" ua="false" sId="10">
    <oc r="D5" t="n">
      <v>0.31</v>
    </oc>
    <nc r="D5" t="n">
      <v>0.3775</v>
    </nc>
  </rcc>
  <rcc rId="4575" ua="false" sId="10">
    <oc r="C6" t="n">
      <v>0.225</v>
    </oc>
    <nc r="C6" t="n">
      <v>0.2225</v>
    </nc>
  </rcc>
  <rcc rId="4576" ua="false" sId="10">
    <oc r="D6" t="n">
      <v>0.45</v>
    </oc>
    <nc r="D6" t="n">
      <v>0.4775</v>
    </nc>
  </rcc>
  <rcc rId="4577" ua="false" sId="10">
    <oc r="C7" t="n">
      <v>0.27</v>
    </oc>
    <nc r="C7" t="n">
      <v>0.26</v>
    </nc>
  </rcc>
  <rcc rId="4578" ua="false" sId="10">
    <oc r="D7" t="n">
      <v>0.6475</v>
    </oc>
    <nc r="D7" t="n">
      <v>0.655</v>
    </nc>
  </rcc>
  <rcc rId="4579" ua="false" sId="10">
    <oc r="C8" t="n">
      <v>0.3075</v>
    </oc>
    <nc r="C8" t="n">
      <v>0.3</v>
    </nc>
  </rcc>
  <rcc rId="4580" ua="false" sId="10">
    <oc r="D8" t="n">
      <v>0.545</v>
    </oc>
    <nc r="D8" t="n">
      <v>0.5175</v>
    </nc>
  </rcc>
  <rcc rId="4581" ua="false" sId="10">
    <oc r="D9" t="n">
      <v>0.9175</v>
    </oc>
    <nc r="D9" t="n">
      <v>0.9225</v>
    </nc>
  </rcc>
  <rcc rId="4582" ua="false" sId="10">
    <oc r="D10" t="n">
      <v>1.12</v>
    </oc>
    <nc r="D10" t="n">
      <v>1.13</v>
    </nc>
  </rcc>
  <rcc rId="4583" ua="false" sId="11">
    <oc r="C2" t="n">
      <v>0.26</v>
    </oc>
    <nc r="C2" t="n">
      <v>0.205</v>
    </nc>
  </rcc>
  <rcc rId="4584" ua="false" sId="11">
    <oc r="D2" t="n">
      <v>-1.195</v>
    </oc>
    <nc r="D2" t="n">
      <v>-1.22</v>
    </nc>
  </rcc>
  <rcc rId="4585" ua="false" sId="11">
    <oc r="C3" t="n">
      <v>0.28</v>
    </oc>
    <nc r="C3" t="n">
      <v>0.215</v>
    </nc>
  </rcc>
  <rcc rId="4586" ua="false" sId="11">
    <oc r="D3" t="n">
      <v>-1.44</v>
    </oc>
    <nc r="D3" t="n">
      <v>-1.385</v>
    </nc>
  </rcc>
  <rcc rId="4587" ua="false" sId="11">
    <oc r="C4" t="n">
      <v>0.3375</v>
    </oc>
    <nc r="C4" t="n">
      <v>0.3175</v>
    </nc>
  </rcc>
  <rcc rId="4588" ua="false" sId="11">
    <oc r="D4" t="n">
      <v>-1.505</v>
    </oc>
    <nc r="D4" t="n">
      <v>-1.3575</v>
    </nc>
  </rcc>
  <rcc rId="4589" ua="false" sId="11">
    <oc r="C5" t="n">
      <v>0.31</v>
    </oc>
    <nc r="C5" t="n">
      <v>0.245</v>
    </nc>
  </rcc>
  <rcc rId="4590" ua="false" sId="11">
    <oc r="D5" t="n">
      <v>-1.7225</v>
    </oc>
    <nc r="D5" t="n">
      <v>-1.6525</v>
    </nc>
  </rcc>
  <rcc rId="4591" ua="false" sId="11">
    <oc r="C6" t="n">
      <v>0.36</v>
    </oc>
    <nc r="C6" t="n">
      <v>0.3025</v>
    </nc>
  </rcc>
  <rcc rId="4592" ua="false" sId="11">
    <oc r="D6" t="n">
      <v>-2.0975</v>
    </oc>
    <nc r="D6" t="n">
      <v>-2.0175</v>
    </nc>
  </rcc>
  <rcc rId="4593" ua="false" sId="11">
    <oc r="C7" t="n">
      <v>0.3975</v>
    </oc>
    <nc r="C7" t="n">
      <v>0.3375</v>
    </nc>
  </rcc>
  <rcc rId="4594" ua="false" sId="11">
    <oc r="D7" t="n">
      <v>-2.41</v>
    </oc>
    <nc r="D7" t="n">
      <v>-2.3025</v>
    </nc>
  </rcc>
  <rcc rId="4595" ua="false" sId="11">
    <oc r="C8" t="n">
      <v>0.4675</v>
    </oc>
    <nc r="C8" t="n">
      <v>0.41</v>
    </nc>
  </rcc>
  <rcc rId="4596" ua="false" sId="11">
    <oc r="D8" t="n">
      <v>-2.8025</v>
    </oc>
    <nc r="D8" t="n">
      <v>-2.66</v>
    </nc>
  </rcc>
  <rcc rId="4597" ua="false" sId="11">
    <oc r="C9" t="n">
      <v>0.5075</v>
    </oc>
    <nc r="C9" t="n">
      <v>0.4525</v>
    </nc>
  </rcc>
  <rcc rId="4598" ua="false" sId="11">
    <oc r="D9" t="n">
      <v>-2.94</v>
    </oc>
    <nc r="D9" t="n">
      <v>-2.7975</v>
    </nc>
  </rcc>
  <rcc rId="4599" ua="false" sId="11">
    <oc r="C10" t="n">
      <v>0.5425</v>
    </oc>
    <nc r="C10" t="n">
      <v>0.485</v>
    </nc>
  </rcc>
  <rcc rId="4600" ua="false" sId="11">
    <oc r="D10" t="n">
      <v>-3.1025</v>
    </oc>
    <nc r="D10" t="n">
      <v>-2.93</v>
    </nc>
  </rcc>
  <rcc rId="4601" ua="false" sId="11">
    <oc r="C11" t="n">
      <v>0.54</v>
    </oc>
    <nc r="C11" t="n">
      <v>0.51</v>
    </nc>
  </rcc>
  <rcc rId="4602" ua="false" sId="11">
    <oc r="D11" t="n">
      <v>-3.5</v>
    </oc>
    <nc r="D11" t="n">
      <v>-3.4</v>
    </nc>
  </rcc>
  <rcc rId="4603" ua="false" sId="12">
    <oc r="C2" t="n">
      <v>0.2075</v>
    </oc>
    <nc r="C2" t="n">
      <v>0.19</v>
    </nc>
  </rcc>
  <rcc rId="4604" ua="false" sId="12">
    <oc r="D2" t="n">
      <v>-0.4425</v>
    </oc>
    <nc r="D2" t="n">
      <v>-0.425</v>
    </nc>
  </rcc>
  <rcc rId="4605" ua="false" sId="12">
    <oc r="C3" t="n">
      <v>0.2125</v>
    </oc>
    <nc r="C3" t="n">
      <v>0.2025</v>
    </nc>
  </rcc>
  <rcc rId="4606" ua="false" sId="12">
    <oc r="D3" t="n">
      <v>-0.4575</v>
    </oc>
    <nc r="D3" t="n">
      <v>-0.4225</v>
    </nc>
  </rcc>
  <rcc rId="4607" ua="false" sId="12">
    <oc r="C4" t="n">
      <v>0.215</v>
    </oc>
    <nc r="C4" t="n">
      <v>0.2</v>
    </nc>
  </rcc>
  <rcc rId="4608" ua="false" sId="12">
    <oc r="D4" t="n">
      <v>-0.475</v>
    </oc>
    <nc r="D4" t="n">
      <v>-0.395</v>
    </nc>
  </rcc>
  <rcc rId="4609" ua="false" sId="12">
    <oc r="C5" t="n">
      <v>0.24</v>
    </oc>
    <nc r="C5" t="n">
      <v>0.23</v>
    </nc>
  </rcc>
  <rcc rId="4610" ua="false" sId="12">
    <oc r="D5" t="n">
      <v>-0.54</v>
    </oc>
    <nc r="D5" t="n">
      <v>-0.4775</v>
    </nc>
  </rcc>
  <rcc rId="4611" ua="false" sId="12">
    <oc r="C6" t="n">
      <v>0.275</v>
    </oc>
    <nc r="C6" t="n">
      <v>0.265</v>
    </nc>
  </rcc>
  <rcc rId="4612" ua="false" sId="12">
    <oc r="D6" t="n">
      <v>-0.74</v>
    </oc>
    <nc r="D6" t="n">
      <v>-0.705</v>
    </nc>
  </rcc>
  <rcc rId="4613" ua="false" sId="12">
    <oc r="C7" t="n">
      <v>0.305</v>
    </oc>
    <nc r="C7" t="n">
      <v>0.29</v>
    </nc>
  </rcc>
  <rcc rId="4614" ua="false" sId="12">
    <oc r="D7" t="n">
      <v>-0.905</v>
    </oc>
    <nc r="D7" t="n">
      <v>-0.865</v>
    </nc>
  </rcc>
  <rcc rId="4615" ua="false" sId="12">
    <oc r="C8" t="n">
      <v>0.36</v>
    </oc>
    <nc r="C8" t="n">
      <v>0.345</v>
    </nc>
  </rcc>
  <rcc rId="4616" ua="false" sId="12">
    <oc r="D8" t="n">
      <v>-1.15</v>
    </oc>
    <nc r="D8" t="n">
      <v>-1.13</v>
    </nc>
  </rcc>
  <rcc rId="4617" ua="false" sId="12">
    <oc r="C9" t="n">
      <v>0.395</v>
    </oc>
    <nc r="C9" t="n">
      <v>0.38</v>
    </nc>
  </rcc>
  <rcc rId="4618" ua="false" sId="12">
    <oc r="D9" t="n">
      <v>-1.325</v>
    </oc>
    <nc r="D9" t="n">
      <v>-1.315</v>
    </nc>
  </rcc>
  <rcc rId="4619" ua="false" sId="12">
    <oc r="C10" t="n">
      <v>0.4075</v>
    </oc>
    <nc r="C10" t="n">
      <v>0.395</v>
    </nc>
  </rcc>
  <rcc rId="4620" ua="false" sId="12">
    <oc r="D10" t="n">
      <v>-1.425</v>
    </oc>
    <nc r="D10" t="n">
      <v>-1.4</v>
    </nc>
  </rcc>
  <rcc rId="4621" ua="false" sId="12">
    <oc r="C11" t="n">
      <v>0.435</v>
    </oc>
    <nc r="C11" t="n">
      <v>0.42</v>
    </nc>
  </rcc>
  <rcc rId="4622" ua="false" sId="12">
    <oc r="D11" t="n">
      <v>-1.72</v>
    </oc>
    <nc r="D11" t="n">
      <v>-1.7</v>
    </nc>
  </rcc>
  <rcc rId="4623" ua="false" sId="13">
    <oc r="D2" t="n">
      <v>-0.3625</v>
    </oc>
    <nc r="D2" t="n">
      <v>-0.285</v>
    </nc>
  </rcc>
  <rcc rId="4624" ua="false" sId="13">
    <oc r="C3" t="n">
      <v>0.1525</v>
    </oc>
    <nc r="C3" t="n">
      <v>0.155</v>
    </nc>
  </rcc>
  <rcc rId="4625" ua="false" sId="13">
    <oc r="D3" t="n">
      <v>-0.3525</v>
    </oc>
    <nc r="D3" t="n">
      <v>-0.2675</v>
    </nc>
  </rcc>
  <rcc rId="4626" ua="false" sId="13">
    <oc r="C4" t="n">
      <v>0.1725</v>
    </oc>
    <nc r="C4" t="n">
      <v>0.17</v>
    </nc>
  </rcc>
  <rcc rId="4627" ua="false" sId="13">
    <oc r="D4" t="n">
      <v>-0.32</v>
    </oc>
    <nc r="D4" t="n">
      <v>-0.2075</v>
    </nc>
  </rcc>
  <rcc rId="4628" ua="false" sId="13">
    <oc r="C5" t="n">
      <v>0.165</v>
    </oc>
    <nc r="C5" t="n">
      <v>0.1625</v>
    </nc>
  </rcc>
  <rcc rId="4629" ua="false" sId="13">
    <oc r="D5" t="n">
      <v>-0.3325</v>
    </oc>
    <nc r="D5" t="n">
      <v>-0.22</v>
    </nc>
  </rcc>
  <rcc rId="4630" ua="false" sId="13">
    <oc r="C6" t="n">
      <v>0.185</v>
    </oc>
    <nc r="C6" t="n">
      <v>0.1875</v>
    </nc>
  </rcc>
  <rcc rId="4631" ua="false" sId="13">
    <oc r="D6" t="n">
      <v>-0.245</v>
    </oc>
    <nc r="D6" t="n">
      <v>-0.1625</v>
    </nc>
  </rcc>
  <rcc rId="4632" ua="false" sId="13">
    <oc r="C7" t="n">
      <v>0.2125</v>
    </oc>
    <nc r="C7" t="n">
      <v>0.2075</v>
    </nc>
  </rcc>
  <rcc rId="4633" ua="false" sId="13">
    <oc r="D7" t="n">
      <v>-0.18</v>
    </oc>
    <nc r="D7" t="n">
      <v>-0.12</v>
    </nc>
  </rcc>
  <rcc rId="4634" ua="false" sId="13">
    <oc r="C8" t="n">
      <v>0.275</v>
    </oc>
    <nc r="C8" t="n">
      <v>0.2625</v>
    </nc>
  </rcc>
  <rcc rId="4635" ua="false" sId="13">
    <oc r="D8" t="n">
      <v>-0.0775</v>
    </oc>
    <nc r="D8" t="n">
      <v>-0.06</v>
    </nc>
  </rcc>
  <rcc rId="4636" ua="false" sId="13">
    <oc r="C9" t="n">
      <v>0.31</v>
    </oc>
    <nc r="C9" t="n">
      <v>0.295</v>
    </nc>
  </rcc>
  <rcc rId="4637" ua="false" sId="13">
    <oc r="D9" t="n">
      <v>-0.0375</v>
    </oc>
    <nc r="D9" t="n">
      <v>-0.015</v>
    </nc>
  </rcc>
  <rcc rId="4638" ua="false" sId="13">
    <oc r="C10" t="n">
      <v>0.3225</v>
    </oc>
    <nc r="C10" t="n">
      <v>0.31</v>
    </nc>
  </rcc>
  <rcc rId="4639" ua="false" sId="13">
    <oc r="D10" t="n">
      <v>0.005</v>
    </oc>
    <nc r="D10" t="n">
      <v>0.015</v>
    </nc>
  </rcc>
  <rcc rId="4640" ua="false" sId="13">
    <oc r="D11" t="n">
      <v>-0.07</v>
    </oc>
    <nc r="D11" t="n">
      <v>-0.055</v>
    </nc>
  </rcc>
  <rcc rId="4641" ua="false" sId="14">
    <oc r="C2" t="n">
      <v>0.285</v>
    </oc>
    <nc r="C2" t="n">
      <v>0.2725</v>
    </nc>
  </rcc>
  <rcc rId="4642" ua="false" sId="14">
    <oc r="D2" t="n">
      <v>-1.265</v>
    </oc>
    <nc r="D2" t="n">
      <v>-1.1325</v>
    </nc>
  </rcc>
  <rcc rId="4643" ua="false" sId="14">
    <oc r="C3" t="n">
      <v>0.3275</v>
    </oc>
    <nc r="C3" t="n">
      <v>0.315</v>
    </nc>
  </rcc>
  <rcc rId="4644" ua="false" sId="14">
    <oc r="D3" t="n">
      <v>-1.4225</v>
    </oc>
    <nc r="D3" t="n">
      <v>-1.255</v>
    </nc>
  </rcc>
  <rcc rId="4645" ua="false" sId="14">
    <oc r="C4" t="n">
      <v>0.34</v>
    </oc>
    <nc r="C4" t="n">
      <v>0.335</v>
    </nc>
  </rcc>
  <rcc rId="4646" ua="false" sId="14">
    <oc r="D4" t="n">
      <v>-1.52</v>
    </oc>
    <nc r="D4" t="n">
      <v>-1.4</v>
    </nc>
  </rcc>
  <rcc rId="4647" ua="false" sId="14">
    <oc r="C5" t="n">
      <v>0.37</v>
    </oc>
    <nc r="C5" t="n">
      <v>0.365</v>
    </nc>
  </rcc>
  <rcc rId="4648" ua="false" sId="14">
    <oc r="D5" t="n">
      <v>-1.665</v>
    </oc>
    <nc r="D5" t="n">
      <v>-1.425</v>
    </nc>
  </rcc>
  <rcc rId="4649" ua="false" sId="14">
    <oc r="C6" t="n">
      <v>0.4</v>
    </oc>
    <nc r="C6" t="n">
      <v>0.395</v>
    </nc>
  </rcc>
  <rcc rId="4650" ua="false" sId="14">
    <oc r="D6" t="n">
      <v>-1.755</v>
    </oc>
    <nc r="D6" t="n">
      <v>-1.555</v>
    </nc>
  </rcc>
  <rcc rId="4651" ua="false" sId="14">
    <oc r="C7" t="n">
      <v>0.4275</v>
    </oc>
    <nc r="C7" t="n">
      <v>0.42</v>
    </nc>
  </rcc>
  <rcc rId="4652" ua="false" sId="14">
    <oc r="D7" t="n">
      <v>-1.7925</v>
    </oc>
    <nc r="D7" t="n">
      <v>-1.64</v>
    </nc>
  </rcc>
  <rcc rId="4653" ua="false" sId="14">
    <oc r="C8" t="n">
      <v>0.4675</v>
    </oc>
    <nc r="C8" t="n">
      <v>0.455</v>
    </nc>
  </rcc>
  <rcc rId="4654" ua="false" sId="14">
    <oc r="D8" t="n">
      <v>-1.87</v>
    </oc>
    <nc r="D8" t="n">
      <v>-1.73</v>
    </nc>
  </rcc>
  <rcc rId="4655" ua="false" sId="14">
    <oc r="C9" t="n">
      <v>0.4825</v>
    </oc>
    <nc r="C9" t="n">
      <v>0.4725</v>
    </nc>
  </rcc>
  <rcc rId="4656" ua="false" sId="14">
    <oc r="D9" t="n">
      <v>-1.92</v>
    </oc>
    <nc r="D9" t="n">
      <v>-1.8075</v>
    </nc>
  </rcc>
  <rcc rId="4657" ua="false" sId="14">
    <oc r="C10" t="n">
      <v>0.49</v>
    </oc>
    <nc r="C10" t="n">
      <v>0.485</v>
    </nc>
  </rcc>
  <rcc rId="4658" ua="false" sId="14">
    <oc r="D10" t="n">
      <v>-1.93</v>
    </oc>
    <nc r="D10" t="n">
      <v>-1.86</v>
    </nc>
  </rcc>
  <rcc rId="4659" ua="false" sId="14">
    <oc r="C11" t="n">
      <v>0.5025</v>
    </oc>
    <nc r="C11" t="n">
      <v>0.495</v>
    </nc>
  </rcc>
  <rcc rId="4660" ua="false" sId="14">
    <oc r="D11" t="n">
      <v>-2.05</v>
    </oc>
    <nc r="D11" t="n">
      <v>-1.99</v>
    </nc>
  </rcc>
  <rcc rId="4661" ua="false" sId="15">
    <oc r="C2" t="n">
      <v>0.25</v>
    </oc>
    <nc r="C2" t="n">
      <v>0.22</v>
    </nc>
  </rcc>
  <rcc rId="4662" ua="false" sId="15">
    <oc r="D2" t="n">
      <v>0.02</v>
    </oc>
    <nc r="D2" t="n">
      <v>-0.04</v>
    </nc>
  </rcc>
  <rcc rId="4663" ua="false" sId="15">
    <oc r="C3" t="n">
      <v>0.255</v>
    </oc>
    <nc r="C3" t="n">
      <v>0.235</v>
    </nc>
  </rcc>
  <rcc rId="4664" ua="false" sId="15">
    <oc r="D3" t="n">
      <v>0.01</v>
    </oc>
    <nc r="D3" t="n">
      <v>-0.09</v>
    </nc>
  </rcc>
  <rcc rId="4665" ua="false" sId="15">
    <oc r="C4" t="n">
      <v>0.3</v>
    </oc>
    <nc r="C4" t="n">
      <v>0.255</v>
    </nc>
  </rcc>
  <rcc rId="4666" ua="false" sId="15">
    <oc r="D4" t="n">
      <v>-0.0675</v>
    </oc>
    <nc r="D4" t="n">
      <v>-0.1275</v>
    </nc>
  </rcc>
  <rcc rId="4667" ua="false" sId="15">
    <oc r="C5" t="n">
      <v>0.26</v>
    </oc>
    <nc r="C5" t="n">
      <v>0.255</v>
    </nc>
  </rcc>
  <rcc rId="4668" ua="false" sId="15">
    <oc r="D5" t="n">
      <v>-0.1675</v>
    </oc>
    <nc r="D5" t="n">
      <v>-0.215</v>
    </nc>
  </rcc>
  <rcc rId="4669" ua="false" sId="15">
    <oc r="D6" t="n">
      <v>-0.4225</v>
    </oc>
    <nc r="D6" t="n">
      <v>-0.4625</v>
    </nc>
  </rcc>
  <rcc rId="4670" ua="false" sId="15">
    <oc r="C7" t="n">
      <v>0.3</v>
    </oc>
    <nc r="C7" t="n">
      <v>0.3025</v>
    </nc>
  </rcc>
  <rcc rId="4671" ua="false" sId="15">
    <oc r="D7" t="n">
      <v>-0.64</v>
    </oc>
    <nc r="D7" t="n">
      <v>-0.6425</v>
    </nc>
  </rcc>
  <rcc rId="4672" ua="false" sId="15">
    <oc r="C8" t="n">
      <v>0.3525</v>
    </oc>
    <nc r="C8" t="n">
      <v>0.3375</v>
    </nc>
  </rcc>
  <rcc rId="4673" ua="false" sId="15">
    <oc r="C9" t="n">
      <v>0.375</v>
    </oc>
    <nc r="C9" t="n">
      <v>0.35</v>
    </nc>
  </rcc>
  <rcc rId="4674" ua="false" sId="15">
    <oc r="D9" t="n">
      <v>-1.1075</v>
    </oc>
    <nc r="D9" t="n">
      <v>-1.105</v>
    </nc>
  </rcc>
  <rcc rId="4675" ua="false" sId="15">
    <oc r="C10" t="n">
      <v>0.3775</v>
    </oc>
    <nc r="C10" t="n">
      <v>0.3625</v>
    </nc>
  </rcc>
  <rcc rId="4676" ua="false" sId="15">
    <oc r="D10" t="n">
      <v>-1.22</v>
    </oc>
    <nc r="D10" t="n">
      <v>-1.2075</v>
    </nc>
  </rcc>
  <rcc rId="4677" ua="false" sId="15">
    <oc r="C11" t="n">
      <v>0.4125</v>
    </oc>
    <nc r="C11" t="n">
      <v>0.405</v>
    </nc>
  </rcc>
  <rcc rId="4678" ua="false" sId="15">
    <oc r="D11" t="n">
      <v>-1.45</v>
    </oc>
    <nc r="D11" t="n">
      <v>-1.42</v>
    </nc>
  </rcc>
  <rcc rId="4679" ua="false" sId="16">
    <oc r="D2" t="n">
      <v>0.505</v>
    </oc>
    <nc r="D2" t="n">
      <v>0.4775</v>
    </nc>
  </rcc>
  <rcc rId="4680" ua="false" sId="16">
    <oc r="C3" t="n">
      <v>0.18</v>
    </oc>
    <nc r="C3" t="n">
      <v>0.19</v>
    </nc>
  </rcc>
  <rcc rId="4681" ua="false" sId="16">
    <oc r="D3" t="n">
      <v>0.545</v>
    </oc>
    <nc r="D3" t="n">
      <v>0.525</v>
    </nc>
  </rcc>
  <rcc rId="4682" ua="false" sId="16">
    <oc r="C4" t="n">
      <v>0.215</v>
    </oc>
    <nc r="C4" t="n">
      <v>0.22</v>
    </nc>
  </rcc>
  <rcc rId="4683" ua="false" sId="16">
    <oc r="D4" t="n">
      <v>0.625</v>
    </oc>
    <nc r="D4" t="n">
      <v>0.605</v>
    </nc>
  </rcc>
  <rcc rId="4684" ua="false" sId="16">
    <oc r="C5" t="n">
      <v>0.24</v>
    </oc>
    <nc r="C5" t="n">
      <v>0.245</v>
    </nc>
  </rcc>
  <rcc rId="4685" ua="false" sId="16">
    <oc r="C6" t="n">
      <v>0.2575</v>
    </oc>
    <nc r="C6" t="n">
      <v>0.26</v>
    </nc>
  </rcc>
  <rcc rId="4686" ua="false" sId="16">
    <oc r="D6" t="n">
      <v>0.8025</v>
    </oc>
    <nc r="D6" t="n">
      <v>0.8</v>
    </nc>
  </rcc>
  <rcc rId="4687" ua="false" sId="16">
    <oc r="C7" t="n">
      <v>0.29</v>
    </oc>
    <nc r="C7" t="n">
      <v>0.295</v>
    </nc>
  </rcc>
  <rcc rId="4688" ua="false" sId="16">
    <oc r="D7" t="n">
      <v>0.965</v>
    </oc>
    <nc r="D7" t="n">
      <v>0.97</v>
    </nc>
  </rcc>
  <rcc rId="4689" ua="false" sId="16">
    <oc r="C8" t="n">
      <v>0.325</v>
    </oc>
    <nc r="C8" t="n">
      <v>0.3275</v>
    </nc>
  </rcc>
  <rcc rId="4690" ua="false" sId="16">
    <oc r="D8" t="n">
      <v>1.0775</v>
    </oc>
    <nc r="D8" t="n">
      <v>1.0825</v>
    </nc>
  </rcc>
  <rcc rId="4691" ua="false" sId="16">
    <oc r="C9" t="n">
      <v>0.35</v>
    </oc>
    <nc r="C9" t="n">
      <v>0.355</v>
    </nc>
  </rcc>
  <rcc rId="4692" ua="false" sId="16">
    <oc r="D9" t="n">
      <v>1.165</v>
    </oc>
    <nc r="D9" t="n">
      <v>1.16</v>
    </nc>
  </rcc>
  <rcc rId="4693" ua="false" sId="16">
    <oc r="C10" t="n">
      <v>0.375</v>
    </oc>
    <nc r="C10" t="n">
      <v>0.38</v>
    </nc>
  </rcc>
  <rcc rId="4694" ua="false" sId="16">
    <oc r="D10" t="n">
      <v>1.26</v>
    </oc>
    <nc r="D10" t="n">
      <v>1.25</v>
    </nc>
  </rcc>
  <rcc rId="4695" ua="false" sId="19">
    <nc r="A64" t="n">
      <v>44265</v>
    </nc>
  </rcc>
  <rcc rId="4696" ua="false" sId="19">
    <nc r="B64" t="n">
      <v>21201</v>
    </nc>
  </rcc>
  <rcc rId="4697" ua="false" sId="19">
    <nc r="C64" t="n">
      <f>C62+B64</f>
    </nc>
  </rcc>
</revisions>
</file>

<file path=xl/revisions/revisionLog490.xml><?xml version="1.0" encoding="utf-8"?>
<revisions xmlns="http://schemas.openxmlformats.org/spreadsheetml/2006/main" xmlns:r="http://schemas.openxmlformats.org/officeDocument/2006/relationships">
  <rcc rId="4698" ua="false" sId="18">
    <oc r="B5" t="n">
      <v>-0.2</v>
    </oc>
    <nc r="B5" t="n">
      <v>0</v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7" activeCellId="0" sqref="E7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4" activeCellId="0" sqref="H4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inlineStr">
        <is>
          <t>PAIRS</t>
        </is>
      </c>
      <c r="B1" s="2" t="inlineStr">
        <is>
          <t>TENORS</t>
        </is>
      </c>
    </row>
    <row r="2" customFormat="false" ht="12.75" hidden="false" customHeight="false" outlineLevel="0" collapsed="false">
      <c r="A2" s="2" t="inlineStr">
        <is>
          <t>USDJPY</t>
        </is>
      </c>
      <c r="B2" s="2" t="inlineStr">
        <is>
          <t>1w</t>
        </is>
      </c>
    </row>
    <row r="3" customFormat="false" ht="12.75" hidden="false" customHeight="false" outlineLevel="0" collapsed="false">
      <c r="A3" s="2" t="inlineStr">
        <is>
          <t>USDCNH</t>
        </is>
      </c>
      <c r="B3" s="2" t="inlineStr">
        <is>
          <t>2w</t>
        </is>
      </c>
    </row>
    <row r="4" customFormat="false" ht="12.75" hidden="false" customHeight="false" outlineLevel="0" collapsed="false">
      <c r="A4" s="2" t="inlineStr">
        <is>
          <t>USDCNY</t>
        </is>
      </c>
      <c r="B4" s="2" t="inlineStr">
        <is>
          <t>3w</t>
        </is>
      </c>
    </row>
    <row r="5" customFormat="false" ht="12.75" hidden="false" customHeight="false" outlineLevel="0" collapsed="false">
      <c r="A5" s="2" t="inlineStr">
        <is>
          <t>EURUSD</t>
        </is>
      </c>
      <c r="B5" s="2" t="inlineStr">
        <is>
          <t>1m</t>
        </is>
      </c>
    </row>
    <row r="6" customFormat="false" ht="12.75" hidden="false" customHeight="false" outlineLevel="0" collapsed="false">
      <c r="A6" s="2" t="inlineStr">
        <is>
          <t>GBPUSD</t>
        </is>
      </c>
      <c r="B6" s="2" t="inlineStr">
        <is>
          <t>2m</t>
        </is>
      </c>
    </row>
    <row r="7" customFormat="false" ht="12.75" hidden="false" customHeight="false" outlineLevel="0" collapsed="false">
      <c r="A7" s="2" t="inlineStr">
        <is>
          <t>AUDUSD</t>
        </is>
      </c>
      <c r="B7" s="2" t="inlineStr">
        <is>
          <t>3m</t>
        </is>
      </c>
    </row>
    <row r="8" customFormat="false" ht="12.75" hidden="false" customHeight="false" outlineLevel="0" collapsed="false">
      <c r="A8" s="2" t="inlineStr">
        <is>
          <t>NZDUSD</t>
        </is>
      </c>
      <c r="B8" s="2" t="inlineStr">
        <is>
          <t>6m</t>
        </is>
      </c>
    </row>
    <row r="9" customFormat="false" ht="12.75" hidden="false" customHeight="false" outlineLevel="0" collapsed="false">
      <c r="A9" s="2" t="inlineStr">
        <is>
          <t>EURJPY</t>
        </is>
      </c>
      <c r="B9" s="2" t="inlineStr">
        <is>
          <t>9m</t>
        </is>
      </c>
    </row>
    <row r="10" customFormat="false" ht="12.75" hidden="false" customHeight="false" outlineLevel="0" collapsed="false">
      <c r="A10" s="2" t="inlineStr">
        <is>
          <t>AUDJPY</t>
        </is>
      </c>
      <c r="B10" s="2" t="inlineStr">
        <is>
          <t>1y</t>
        </is>
      </c>
    </row>
    <row r="11" customFormat="false" ht="12.75" hidden="false" customHeight="false" outlineLevel="0" collapsed="false">
      <c r="A11" s="2" t="inlineStr">
        <is>
          <t>EURGBP</t>
        </is>
      </c>
    </row>
    <row r="12" customFormat="false" ht="12.75" hidden="false" customHeight="false" outlineLevel="0" collapsed="false">
      <c r="A12" s="2" t="inlineStr">
        <is>
          <t>GBPNZD</t>
        </is>
      </c>
    </row>
    <row r="13" customFormat="false" ht="12.75" hidden="false" customHeight="false" outlineLevel="0" collapsed="false">
      <c r="A13" s="2" t="inlineStr">
        <is>
          <t>EURCNH</t>
        </is>
      </c>
    </row>
    <row r="14" customFormat="false" ht="12.75" hidden="false" customHeight="false" outlineLevel="0" collapsed="false">
      <c r="A14" s="2" t="inlineStr">
        <is>
          <t>GBPCNH</t>
        </is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3" t="n">
        <f aca="false">C2*2.8</f>
        <v>0.756</v>
      </c>
      <c r="C2" s="2" t="n">
        <v>0.27</v>
      </c>
      <c r="D2" s="2" t="n">
        <v>-0.955</v>
      </c>
      <c r="E2" s="3" t="n">
        <f aca="false">D2*1.8</f>
        <v>-1.719</v>
      </c>
    </row>
    <row r="3" customFormat="false" ht="12.75" hidden="false" customHeight="false" outlineLevel="0" collapsed="false">
      <c r="A3" s="2" t="s">
        <v>32</v>
      </c>
      <c r="B3" s="3" t="n">
        <f aca="false">C3*2.8</f>
        <v>0.791</v>
      </c>
      <c r="C3" s="2" t="n">
        <v>0.2825</v>
      </c>
      <c r="D3" s="2" t="n">
        <v>-1.0825</v>
      </c>
      <c r="E3" s="3" t="n">
        <f aca="false">D3*1.8</f>
        <v>-1.9485</v>
      </c>
    </row>
    <row r="4" customFormat="false" ht="12.75" hidden="false" customHeight="false" outlineLevel="0" collapsed="false">
      <c r="A4" s="2" t="s">
        <v>33</v>
      </c>
      <c r="B4" s="3" t="n">
        <f aca="false">C4*2.8</f>
        <v>0.847</v>
      </c>
      <c r="C4" s="2" t="n">
        <v>0.3025</v>
      </c>
      <c r="D4" s="2" t="n">
        <v>-1.24</v>
      </c>
      <c r="E4" s="3" t="n">
        <f aca="false">D4*1.9</f>
        <v>-2.356</v>
      </c>
    </row>
    <row r="5" customFormat="false" ht="12.75" hidden="false" customHeight="false" outlineLevel="0" collapsed="false">
      <c r="A5" s="2" t="s">
        <v>34</v>
      </c>
      <c r="B5" s="3" t="n">
        <f aca="false">C5*2.9</f>
        <v>0.90625</v>
      </c>
      <c r="C5" s="2" t="n">
        <v>0.3125</v>
      </c>
      <c r="D5" s="2" t="n">
        <v>-1.21</v>
      </c>
      <c r="E5" s="3" t="n">
        <f aca="false">D5*1.9</f>
        <v>-2.299</v>
      </c>
    </row>
    <row r="6" customFormat="false" ht="12.75" hidden="false" customHeight="false" outlineLevel="0" collapsed="false">
      <c r="A6" s="2" t="s">
        <v>35</v>
      </c>
      <c r="B6" s="3" t="n">
        <f aca="false">C6*3</f>
        <v>1.05</v>
      </c>
      <c r="C6" s="2" t="n">
        <v>0.35</v>
      </c>
      <c r="D6" s="2" t="n">
        <v>-1.34</v>
      </c>
      <c r="E6" s="3" t="n">
        <f aca="false">D6*1.9</f>
        <v>-2.546</v>
      </c>
    </row>
    <row r="7" customFormat="false" ht="12.75" hidden="false" customHeight="false" outlineLevel="0" collapsed="false">
      <c r="A7" s="2" t="s">
        <v>36</v>
      </c>
      <c r="B7" s="3" t="n">
        <f aca="false">C7*3</f>
        <v>1.125</v>
      </c>
      <c r="C7" s="2" t="n">
        <v>0.375</v>
      </c>
      <c r="D7" s="2" t="n">
        <v>-1.455</v>
      </c>
      <c r="E7" s="3" t="n">
        <f aca="false">D7*1.9</f>
        <v>-2.7645</v>
      </c>
    </row>
    <row r="8" customFormat="false" ht="12.75" hidden="false" customHeight="false" outlineLevel="0" collapsed="false">
      <c r="A8" s="2" t="s">
        <v>37</v>
      </c>
      <c r="B8" s="3" t="n">
        <f aca="false">C8*3.1</f>
        <v>1.26325</v>
      </c>
      <c r="C8" s="2" t="n">
        <v>0.4075</v>
      </c>
      <c r="D8" s="2" t="n">
        <v>-1.59</v>
      </c>
      <c r="E8" s="3" t="n">
        <f aca="false">D8*1.9</f>
        <v>-3.021</v>
      </c>
    </row>
    <row r="9" customFormat="false" ht="12.75" hidden="false" customHeight="false" outlineLevel="0" collapsed="false">
      <c r="A9" s="2" t="s">
        <v>38</v>
      </c>
      <c r="B9" s="3" t="n">
        <f aca="false">C9*3.1</f>
        <v>1.333</v>
      </c>
      <c r="C9" s="2" t="n">
        <v>0.43</v>
      </c>
      <c r="D9" s="2" t="n">
        <v>-1.65</v>
      </c>
      <c r="E9" s="3" t="n">
        <f aca="false">D9*1.9</f>
        <v>-3.135</v>
      </c>
    </row>
    <row r="10" customFormat="false" ht="12.75" hidden="false" customHeight="false" outlineLevel="0" collapsed="false">
      <c r="A10" s="2" t="s">
        <v>39</v>
      </c>
      <c r="B10" s="3" t="n">
        <f aca="false">C10*3.2</f>
        <v>1.416</v>
      </c>
      <c r="C10" s="2" t="n">
        <v>0.4425</v>
      </c>
      <c r="D10" s="2" t="n">
        <v>-1.71</v>
      </c>
      <c r="E10" s="3" t="n">
        <f aca="false">D10*1.9</f>
        <v>-3.249</v>
      </c>
    </row>
    <row r="11" customFormat="false" ht="12.75" hidden="false" customHeight="false" outlineLevel="0" collapsed="false">
      <c r="A11" s="2" t="s">
        <v>40</v>
      </c>
      <c r="B11" s="3" t="n">
        <f aca="false">C11*3.5</f>
        <v>1.46125</v>
      </c>
      <c r="C11" s="2" t="n">
        <v>0.4175</v>
      </c>
      <c r="D11" s="2" t="n">
        <v>-1.8525</v>
      </c>
      <c r="E11" s="3" t="n">
        <f aca="false">D11*1.9</f>
        <v>-3.51975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4" activeCellId="0" sqref="E24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3" t="n">
        <f aca="false">C2*3</f>
        <v>0.5775</v>
      </c>
      <c r="C2" s="2" t="n">
        <v>0.1925</v>
      </c>
      <c r="D2" s="2" t="n">
        <v>-0.445</v>
      </c>
      <c r="E2" s="3" t="n">
        <f aca="false">D2*1.85</f>
        <v>-0.82325</v>
      </c>
    </row>
    <row r="3" customFormat="false" ht="12.75" hidden="false" customHeight="false" outlineLevel="0" collapsed="false">
      <c r="A3" s="2" t="s">
        <v>32</v>
      </c>
      <c r="B3" s="3" t="n">
        <f aca="false">C3*3</f>
        <v>0.6</v>
      </c>
      <c r="C3" s="2" t="n">
        <v>0.2</v>
      </c>
      <c r="D3" s="2" t="n">
        <v>-0.5</v>
      </c>
      <c r="E3" s="3" t="n">
        <f aca="false">D3*1.85</f>
        <v>-0.925</v>
      </c>
    </row>
    <row r="4" customFormat="false" ht="12.75" hidden="false" customHeight="false" outlineLevel="0" collapsed="false">
      <c r="A4" s="2" t="s">
        <v>33</v>
      </c>
      <c r="B4" s="3" t="n">
        <f aca="false">C4*3</f>
        <v>0.585</v>
      </c>
      <c r="C4" s="2" t="n">
        <v>0.195</v>
      </c>
      <c r="D4" s="2" t="n">
        <v>-0.595</v>
      </c>
      <c r="E4" s="3" t="n">
        <f aca="false">D4*1.85</f>
        <v>-1.10075</v>
      </c>
    </row>
    <row r="5" customFormat="false" ht="12.75" hidden="false" customHeight="false" outlineLevel="0" collapsed="false">
      <c r="A5" s="2" t="s">
        <v>34</v>
      </c>
      <c r="B5" s="3" t="n">
        <f aca="false">C5*3.15</f>
        <v>0.693</v>
      </c>
      <c r="C5" s="2" t="n">
        <v>0.22</v>
      </c>
      <c r="D5" s="2" t="n">
        <v>-0.5825</v>
      </c>
      <c r="E5" s="3" t="n">
        <f aca="false">D5*1.85</f>
        <v>-1.077625</v>
      </c>
    </row>
    <row r="6" customFormat="false" ht="12.75" hidden="false" customHeight="false" outlineLevel="0" collapsed="false">
      <c r="A6" s="2" t="s">
        <v>35</v>
      </c>
      <c r="B6" s="3" t="n">
        <f aca="false">C6*3.15</f>
        <v>0.80325</v>
      </c>
      <c r="C6" s="2" t="n">
        <v>0.255</v>
      </c>
      <c r="D6" s="2" t="n">
        <v>-0.7425</v>
      </c>
      <c r="E6" s="3" t="n">
        <f aca="false">D6*1.85</f>
        <v>-1.373625</v>
      </c>
    </row>
    <row r="7" customFormat="false" ht="12.75" hidden="false" customHeight="false" outlineLevel="0" collapsed="false">
      <c r="A7" s="2" t="s">
        <v>36</v>
      </c>
      <c r="B7" s="3" t="n">
        <f aca="false">C7*3.2</f>
        <v>0.928</v>
      </c>
      <c r="C7" s="2" t="n">
        <v>0.29</v>
      </c>
      <c r="D7" s="2" t="n">
        <v>-0.8075</v>
      </c>
      <c r="E7" s="3" t="n">
        <f aca="false">D7*1.85</f>
        <v>-1.493875</v>
      </c>
    </row>
    <row r="8" customFormat="false" ht="12.75" hidden="false" customHeight="false" outlineLevel="0" collapsed="false">
      <c r="A8" s="2" t="s">
        <v>37</v>
      </c>
      <c r="B8" s="3" t="n">
        <f aca="false">C8*3.25</f>
        <v>1.18625</v>
      </c>
      <c r="C8" s="2" t="n">
        <v>0.365</v>
      </c>
      <c r="D8" s="2" t="n">
        <v>-0.94</v>
      </c>
      <c r="E8" s="3" t="n">
        <f aca="false">D8*1.875</f>
        <v>-1.7625</v>
      </c>
    </row>
    <row r="9" customFormat="false" ht="12.75" hidden="false" customHeight="false" outlineLevel="0" collapsed="false">
      <c r="A9" s="2" t="s">
        <v>38</v>
      </c>
      <c r="B9" s="3" t="n">
        <f aca="false">C9*3.25</f>
        <v>1.3</v>
      </c>
      <c r="C9" s="2" t="n">
        <v>0.4</v>
      </c>
      <c r="D9" s="2" t="n">
        <v>-1.08</v>
      </c>
      <c r="E9" s="3" t="n">
        <f aca="false">D9*1.875</f>
        <v>-2.025</v>
      </c>
    </row>
    <row r="10" customFormat="false" ht="12.75" hidden="false" customHeight="false" outlineLevel="0" collapsed="false">
      <c r="A10" s="2" t="s">
        <v>39</v>
      </c>
      <c r="B10" s="3" t="n">
        <f aca="false">C10*3.4</f>
        <v>1.411</v>
      </c>
      <c r="C10" s="2" t="n">
        <v>0.415</v>
      </c>
      <c r="D10" s="2" t="n">
        <v>-1.12</v>
      </c>
      <c r="E10" s="3" t="n">
        <f aca="false">D10*1.875</f>
        <v>-2.1</v>
      </c>
    </row>
    <row r="11" customFormat="false" ht="12.75" hidden="false" customHeight="false" outlineLevel="0" collapsed="false">
      <c r="A11" s="2" t="s">
        <v>40</v>
      </c>
      <c r="B11" s="3" t="n">
        <f aca="false">C11*3.4</f>
        <v>1.462</v>
      </c>
      <c r="C11" s="2" t="n">
        <v>0.43</v>
      </c>
      <c r="D11" s="2" t="n">
        <v>-1.2</v>
      </c>
      <c r="E11" s="3" t="n">
        <f aca="false">D11*1.875</f>
        <v>-2.25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3" t="n">
        <f aca="false">C2*3.75</f>
        <v>0.825</v>
      </c>
      <c r="C2" s="2" t="n">
        <v>0.22</v>
      </c>
      <c r="D2" s="2" t="n">
        <v>0.48</v>
      </c>
      <c r="E2" s="3" t="n">
        <f aca="false">D2*1.3</f>
        <v>0.624</v>
      </c>
    </row>
    <row r="3" customFormat="false" ht="12.75" hidden="false" customHeight="false" outlineLevel="0" collapsed="false">
      <c r="A3" s="2" t="s">
        <v>32</v>
      </c>
      <c r="B3" s="3" t="n">
        <f aca="false">C3*3.75</f>
        <v>0.834375</v>
      </c>
      <c r="C3" s="2" t="n">
        <v>0.2225</v>
      </c>
      <c r="D3" s="2" t="n">
        <v>0.505</v>
      </c>
      <c r="E3" s="3" t="n">
        <f aca="false">D3*1.8</f>
        <v>0.909</v>
      </c>
    </row>
    <row r="4" customFormat="false" ht="12.75" hidden="false" customHeight="false" outlineLevel="0" collapsed="false">
      <c r="A4" s="2" t="s">
        <v>33</v>
      </c>
      <c r="B4" s="3" t="n">
        <f aca="false">C4*3.75</f>
        <v>0.84375</v>
      </c>
      <c r="C4" s="2" t="n">
        <v>0.225</v>
      </c>
      <c r="D4" s="2" t="n">
        <v>0.52</v>
      </c>
      <c r="E4" s="3" t="n">
        <f aca="false">D4*1.8</f>
        <v>0.936</v>
      </c>
    </row>
    <row r="5" customFormat="false" ht="12.75" hidden="false" customHeight="false" outlineLevel="0" collapsed="false">
      <c r="A5" s="2" t="s">
        <v>34</v>
      </c>
      <c r="B5" s="3" t="n">
        <f aca="false">C5*3.75</f>
        <v>0.871875</v>
      </c>
      <c r="C5" s="2" t="n">
        <v>0.2325</v>
      </c>
      <c r="D5" s="2" t="n">
        <v>0.555</v>
      </c>
      <c r="E5" s="3" t="n">
        <f aca="false">D5*1.8</f>
        <v>0.999</v>
      </c>
    </row>
    <row r="6" customFormat="false" ht="12.75" hidden="false" customHeight="false" outlineLevel="0" collapsed="false">
      <c r="A6" s="2" t="s">
        <v>35</v>
      </c>
      <c r="B6" s="3" t="n">
        <f aca="false">C6*3.75</f>
        <v>0.95625</v>
      </c>
      <c r="C6" s="2" t="n">
        <v>0.255</v>
      </c>
      <c r="D6" s="2" t="n">
        <v>0.5625</v>
      </c>
      <c r="E6" s="3" t="n">
        <f aca="false">D6*1.8</f>
        <v>1.0125</v>
      </c>
    </row>
    <row r="7" customFormat="false" ht="12.75" hidden="false" customHeight="false" outlineLevel="0" collapsed="false">
      <c r="A7" s="2" t="s">
        <v>36</v>
      </c>
      <c r="B7" s="3" t="n">
        <f aca="false">C7*3.85</f>
        <v>1.126125</v>
      </c>
      <c r="C7" s="2" t="n">
        <v>0.2925</v>
      </c>
      <c r="D7" s="2" t="n">
        <v>0.5775</v>
      </c>
      <c r="E7" s="3" t="n">
        <f aca="false">D7*1.8</f>
        <v>1.0395</v>
      </c>
    </row>
    <row r="8" customFormat="false" ht="12.75" hidden="false" customHeight="false" outlineLevel="0" collapsed="false">
      <c r="A8" s="2" t="s">
        <v>37</v>
      </c>
      <c r="B8" s="3" t="n">
        <f aca="false">C8*3.85</f>
        <v>1.318625</v>
      </c>
      <c r="C8" s="2" t="n">
        <v>0.3425</v>
      </c>
      <c r="D8" s="2" t="n">
        <v>0.5575</v>
      </c>
      <c r="E8" s="3" t="n">
        <f aca="false">D8*1.8</f>
        <v>1.0035</v>
      </c>
    </row>
    <row r="9" customFormat="false" ht="12.75" hidden="false" customHeight="false" outlineLevel="0" collapsed="false">
      <c r="A9" s="2" t="s">
        <v>38</v>
      </c>
      <c r="B9" s="3" t="n">
        <f aca="false">C9*3.85</f>
        <v>1.52075</v>
      </c>
      <c r="C9" s="2" t="n">
        <v>0.395</v>
      </c>
      <c r="D9" s="2" t="n">
        <v>0.5875</v>
      </c>
      <c r="E9" s="3" t="n">
        <f aca="false">D9*1.8</f>
        <v>1.0575</v>
      </c>
    </row>
    <row r="10" customFormat="false" ht="12.75" hidden="false" customHeight="false" outlineLevel="0" collapsed="false">
      <c r="A10" s="2" t="s">
        <v>39</v>
      </c>
      <c r="B10" s="3" t="n">
        <f aca="false">C10*4</f>
        <v>1.6</v>
      </c>
      <c r="C10" s="2" t="n">
        <v>0.4</v>
      </c>
      <c r="D10" s="2" t="n">
        <v>0.58</v>
      </c>
      <c r="E10" s="3" t="n">
        <f aca="false">D10*1.8</f>
        <v>1.044</v>
      </c>
    </row>
    <row r="11" customFormat="false" ht="12.75" hidden="false" customHeight="false" outlineLevel="0" collapsed="false">
      <c r="A11" s="2" t="s">
        <v>40</v>
      </c>
      <c r="B11" s="3" t="n">
        <f aca="false">C11*4.1</f>
        <v>1.71175</v>
      </c>
      <c r="C11" s="2" t="n">
        <v>0.4175</v>
      </c>
      <c r="D11" s="2" t="n">
        <v>0.6625</v>
      </c>
      <c r="E11" s="3" t="n">
        <f aca="false">D11*1.8</f>
        <v>1.1925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3" t="n">
        <f aca="false">C2*3.1</f>
        <v>0.33325</v>
      </c>
      <c r="C2" s="2" t="n">
        <v>0.1075</v>
      </c>
      <c r="D2" s="2" t="n">
        <v>0.34</v>
      </c>
      <c r="E2" s="3" t="n">
        <f aca="false">D2*1.8</f>
        <v>0.612</v>
      </c>
    </row>
    <row r="3" customFormat="false" ht="12.75" hidden="false" customHeight="false" outlineLevel="0" collapsed="false">
      <c r="A3" s="2" t="s">
        <v>32</v>
      </c>
      <c r="B3" s="3" t="n">
        <f aca="false">C3*3.1</f>
        <v>0.3875</v>
      </c>
      <c r="C3" s="2" t="n">
        <v>0.125</v>
      </c>
      <c r="D3" s="2" t="n">
        <v>0.39</v>
      </c>
      <c r="E3" s="3" t="n">
        <f aca="false">D3*1.8</f>
        <v>0.702</v>
      </c>
    </row>
    <row r="4" customFormat="false" ht="12.75" hidden="false" customHeight="false" outlineLevel="0" collapsed="false">
      <c r="A4" s="2" t="s">
        <v>33</v>
      </c>
      <c r="B4" s="3" t="n">
        <f aca="false">C4*3.1</f>
        <v>0.465</v>
      </c>
      <c r="C4" s="2" t="n">
        <v>0.15</v>
      </c>
      <c r="D4" s="2" t="n">
        <v>0.425</v>
      </c>
      <c r="E4" s="3" t="n">
        <f aca="false">D4*1.8</f>
        <v>0.765</v>
      </c>
    </row>
    <row r="5" customFormat="false" ht="12.75" hidden="false" customHeight="false" outlineLevel="0" collapsed="false">
      <c r="A5" s="2" t="s">
        <v>34</v>
      </c>
      <c r="B5" s="3" t="n">
        <f aca="false">C5*3.1</f>
        <v>0.403</v>
      </c>
      <c r="C5" s="2" t="n">
        <v>0.13</v>
      </c>
      <c r="D5" s="2" t="n">
        <v>0.49</v>
      </c>
      <c r="E5" s="3" t="n">
        <f aca="false">D5*1.85</f>
        <v>0.9065</v>
      </c>
    </row>
    <row r="6" customFormat="false" ht="12.75" hidden="false" customHeight="false" outlineLevel="0" collapsed="false">
      <c r="A6" s="2" t="s">
        <v>35</v>
      </c>
      <c r="B6" s="3" t="n">
        <f aca="false">C6*3.1</f>
        <v>0.4805</v>
      </c>
      <c r="C6" s="2" t="n">
        <v>0.155</v>
      </c>
      <c r="D6" s="2" t="n">
        <v>0.575</v>
      </c>
      <c r="E6" s="3" t="n">
        <f aca="false">D6*1.85</f>
        <v>1.06375</v>
      </c>
    </row>
    <row r="7" customFormat="false" ht="12.75" hidden="false" customHeight="false" outlineLevel="0" collapsed="false">
      <c r="A7" s="2" t="s">
        <v>36</v>
      </c>
      <c r="B7" s="3" t="n">
        <f aca="false">C7*3.1</f>
        <v>0.558</v>
      </c>
      <c r="C7" s="2" t="n">
        <v>0.18</v>
      </c>
      <c r="D7" s="2" t="n">
        <v>0.6475</v>
      </c>
      <c r="E7" s="3" t="n">
        <f aca="false">D7*1.85</f>
        <v>1.197875</v>
      </c>
    </row>
    <row r="8" customFormat="false" ht="12.75" hidden="false" customHeight="false" outlineLevel="0" collapsed="false">
      <c r="A8" s="2" t="s">
        <v>37</v>
      </c>
      <c r="B8" s="3" t="n">
        <f aca="false">C8*3.1</f>
        <v>0.72075</v>
      </c>
      <c r="C8" s="2" t="n">
        <v>0.2325</v>
      </c>
      <c r="D8" s="2" t="n">
        <v>0.7875</v>
      </c>
      <c r="E8" s="3" t="n">
        <f aca="false">D8*1.85</f>
        <v>1.456875</v>
      </c>
    </row>
    <row r="9" customFormat="false" ht="12.75" hidden="false" customHeight="false" outlineLevel="0" collapsed="false">
      <c r="A9" s="2" t="s">
        <v>38</v>
      </c>
      <c r="B9" s="3" t="n">
        <f aca="false">C9*3.1</f>
        <v>0.79825</v>
      </c>
      <c r="C9" s="2" t="n">
        <v>0.2575</v>
      </c>
      <c r="D9" s="2" t="n">
        <v>0.8625</v>
      </c>
      <c r="E9" s="3" t="n">
        <f aca="false">D9*1.85</f>
        <v>1.595625</v>
      </c>
    </row>
    <row r="10" customFormat="false" ht="12.75" hidden="false" customHeight="false" outlineLevel="0" collapsed="false">
      <c r="A10" s="2" t="s">
        <v>39</v>
      </c>
      <c r="B10" s="3" t="n">
        <f aca="false">C10*3.2</f>
        <v>0.84</v>
      </c>
      <c r="C10" s="2" t="n">
        <v>0.2625</v>
      </c>
      <c r="D10" s="2" t="n">
        <v>0.9125</v>
      </c>
      <c r="E10" s="3" t="n">
        <f aca="false">D10*1.85</f>
        <v>1.688125</v>
      </c>
    </row>
    <row r="11" customFormat="false" ht="12.75" hidden="false" customHeight="false" outlineLevel="0" collapsed="false">
      <c r="A11" s="2" t="s">
        <v>40</v>
      </c>
      <c r="B11" s="3" t="n">
        <f aca="false">C11*3.2</f>
        <v>1.08</v>
      </c>
      <c r="C11" s="2" t="n">
        <v>0.3375</v>
      </c>
      <c r="D11" s="2" t="n">
        <v>0.8675</v>
      </c>
      <c r="E11" s="3" t="n">
        <f aca="false">D11*1.85</f>
        <v>1.604875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3" t="n">
        <f aca="false">C2*3.75</f>
        <v>0.703125</v>
      </c>
      <c r="C2" s="2" t="n">
        <v>0.1875</v>
      </c>
      <c r="D2" s="2" t="n">
        <v>0.095</v>
      </c>
      <c r="E2" s="3" t="n">
        <f aca="false">D2*1.3</f>
        <v>0.1235</v>
      </c>
    </row>
    <row r="3" customFormat="false" ht="12.75" hidden="false" customHeight="false" outlineLevel="0" collapsed="false">
      <c r="A3" s="2" t="s">
        <v>32</v>
      </c>
      <c r="B3" s="3" t="n">
        <f aca="false">C3*3.75</f>
        <v>0.73125</v>
      </c>
      <c r="C3" s="2" t="n">
        <v>0.195</v>
      </c>
      <c r="D3" s="2" t="n">
        <v>0.14</v>
      </c>
      <c r="E3" s="3" t="n">
        <f aca="false">D3*1.8</f>
        <v>0.252</v>
      </c>
    </row>
    <row r="4" customFormat="false" ht="12.75" hidden="false" customHeight="false" outlineLevel="0" collapsed="false">
      <c r="A4" s="2" t="s">
        <v>33</v>
      </c>
      <c r="B4" s="3" t="n">
        <f aca="false">C4*3.75</f>
        <v>0.75</v>
      </c>
      <c r="C4" s="2" t="n">
        <v>0.2</v>
      </c>
      <c r="D4" s="2" t="n">
        <v>0.145</v>
      </c>
      <c r="E4" s="3" t="n">
        <f aca="false">D4*1.8</f>
        <v>0.261</v>
      </c>
    </row>
    <row r="5" customFormat="false" ht="12.75" hidden="false" customHeight="false" outlineLevel="0" collapsed="false">
      <c r="A5" s="2" t="s">
        <v>34</v>
      </c>
      <c r="B5" s="3" t="n">
        <f aca="false">C5*3.75</f>
        <v>0.75</v>
      </c>
      <c r="C5" s="2" t="n">
        <v>0.2</v>
      </c>
      <c r="D5" s="2" t="n">
        <v>0.1575</v>
      </c>
      <c r="E5" s="3" t="n">
        <f aca="false">D5*1.8</f>
        <v>0.2835</v>
      </c>
    </row>
    <row r="6" customFormat="false" ht="12.75" hidden="false" customHeight="false" outlineLevel="0" collapsed="false">
      <c r="A6" s="2" t="s">
        <v>35</v>
      </c>
      <c r="B6" s="3" t="n">
        <f aca="false">C6*3.75</f>
        <v>0.834375</v>
      </c>
      <c r="C6" s="2" t="n">
        <v>0.2225</v>
      </c>
      <c r="D6" s="2" t="n">
        <v>0.185</v>
      </c>
      <c r="E6" s="3" t="n">
        <f aca="false">D6*1.8</f>
        <v>0.333</v>
      </c>
    </row>
    <row r="7" customFormat="false" ht="12.75" hidden="false" customHeight="false" outlineLevel="0" collapsed="false">
      <c r="A7" s="2" t="s">
        <v>36</v>
      </c>
      <c r="B7" s="3" t="n">
        <f aca="false">C7*3.85</f>
        <v>1.001</v>
      </c>
      <c r="C7" s="2" t="n">
        <v>0.26</v>
      </c>
      <c r="D7" s="2" t="n">
        <v>0.23</v>
      </c>
      <c r="E7" s="3" t="n">
        <f aca="false">D7*1.8</f>
        <v>0.414</v>
      </c>
    </row>
    <row r="8" customFormat="false" ht="12.75" hidden="false" customHeight="false" outlineLevel="0" collapsed="false">
      <c r="A8" s="2" t="s">
        <v>37</v>
      </c>
      <c r="B8" s="3" t="n">
        <f aca="false">C8*3.85</f>
        <v>1.155</v>
      </c>
      <c r="C8" s="2" t="n">
        <v>0.3</v>
      </c>
      <c r="D8" s="2" t="n">
        <v>0.355</v>
      </c>
      <c r="E8" s="3" t="n">
        <f aca="false">D8*1.8</f>
        <v>0.639</v>
      </c>
    </row>
    <row r="9" customFormat="false" ht="12.75" hidden="false" customHeight="false" outlineLevel="0" collapsed="false">
      <c r="A9" s="2" t="s">
        <v>38</v>
      </c>
      <c r="B9" s="3" t="n">
        <f aca="false">C9*3.85</f>
        <v>1.36675</v>
      </c>
      <c r="C9" s="2" t="n">
        <v>0.355</v>
      </c>
      <c r="D9" s="2" t="n">
        <v>0.375</v>
      </c>
      <c r="E9" s="3" t="n">
        <f aca="false">D9*1.8</f>
        <v>0.675</v>
      </c>
    </row>
    <row r="10" customFormat="false" ht="12.75" hidden="false" customHeight="false" outlineLevel="0" collapsed="false">
      <c r="A10" s="2" t="s">
        <v>39</v>
      </c>
      <c r="B10" s="3" t="n">
        <f aca="false">C10*4</f>
        <v>1.45</v>
      </c>
      <c r="C10" s="2" t="n">
        <v>0.3625</v>
      </c>
      <c r="D10" s="2" t="n">
        <v>0.46</v>
      </c>
      <c r="E10" s="3" t="n">
        <f aca="false">D10*1.8</f>
        <v>0.828</v>
      </c>
    </row>
    <row r="11" customFormat="false" ht="12.75" hidden="false" customHeight="false" outlineLevel="0" collapsed="false">
      <c r="A11" s="2" t="s">
        <v>40</v>
      </c>
      <c r="B11" s="3" t="n">
        <f aca="false">C11*4.1</f>
        <v>1.64</v>
      </c>
      <c r="C11" s="2" t="n">
        <v>0.4</v>
      </c>
      <c r="D11" s="2" t="n">
        <v>0.435</v>
      </c>
      <c r="E11" s="3" t="n">
        <f aca="false">D11*1.8</f>
        <v>0.783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2421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2421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2421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3" activeCellId="0" sqref="D13"/>
    </sheetView>
  </sheetViews>
  <sheetFormatPr defaultColWidth="8.82421875" defaultRowHeight="12.75" zeroHeight="false" outlineLevelRow="0" outlineLevelCol="0"/>
  <cols>
    <col collapsed="false" customWidth="true" hidden="false" outlineLevel="0" max="2" min="2" style="2" width="8.29"/>
    <col collapsed="false" customWidth="true" hidden="false" outlineLevel="0" max="11" min="11" style="2" width="13.57"/>
  </cols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4" t="n">
        <f aca="false">C2*3.4</f>
        <v>0.476</v>
      </c>
      <c r="C2" s="2" t="n">
        <v>0.14</v>
      </c>
      <c r="D2" s="2" t="n">
        <v>0.0475</v>
      </c>
      <c r="E2" s="4" t="n">
        <f aca="false">D2*2.6</f>
        <v>0.1235</v>
      </c>
    </row>
    <row r="3" customFormat="false" ht="12.75" hidden="false" customHeight="false" outlineLevel="0" collapsed="false">
      <c r="A3" s="2" t="s">
        <v>32</v>
      </c>
      <c r="B3" s="4" t="n">
        <f aca="false">C3*3.4</f>
        <v>0.4675</v>
      </c>
      <c r="C3" s="2" t="n">
        <v>0.1375</v>
      </c>
      <c r="D3" s="2" t="n">
        <v>0.1225</v>
      </c>
      <c r="E3" s="4" t="n">
        <f aca="false">D3*1.8</f>
        <v>0.2205</v>
      </c>
    </row>
    <row r="4" customFormat="false" ht="12.75" hidden="false" customHeight="false" outlineLevel="0" collapsed="false">
      <c r="A4" s="2" t="s">
        <v>34</v>
      </c>
      <c r="B4" s="4" t="n">
        <f aca="false">C4*3.4</f>
        <v>0.5695</v>
      </c>
      <c r="C4" s="2" t="n">
        <v>0.1675</v>
      </c>
      <c r="D4" s="2" t="n">
        <v>0.26</v>
      </c>
      <c r="E4" s="4" t="n">
        <f aca="false">D4*1.8</f>
        <v>0.468</v>
      </c>
    </row>
    <row r="5" customFormat="false" ht="12.75" hidden="false" customHeight="false" outlineLevel="0" collapsed="false">
      <c r="A5" s="2" t="s">
        <v>35</v>
      </c>
      <c r="B5" s="4" t="n">
        <f aca="false">C5*3.4</f>
        <v>0.663</v>
      </c>
      <c r="C5" s="2" t="n">
        <v>0.195</v>
      </c>
      <c r="D5" s="2" t="n">
        <v>0.36</v>
      </c>
      <c r="E5" s="4" t="n">
        <f aca="false">D5*1.8</f>
        <v>0.648</v>
      </c>
    </row>
    <row r="6" customFormat="false" ht="12.75" hidden="false" customHeight="false" outlineLevel="0" collapsed="false">
      <c r="A6" s="2" t="s">
        <v>36</v>
      </c>
      <c r="B6" s="4" t="n">
        <f aca="false">C6*3.4</f>
        <v>0.765</v>
      </c>
      <c r="C6" s="2" t="n">
        <v>0.225</v>
      </c>
      <c r="D6" s="2" t="n">
        <v>0.4625</v>
      </c>
      <c r="E6" s="4" t="n">
        <f aca="false">D6*1.8</f>
        <v>0.8325</v>
      </c>
    </row>
    <row r="7" customFormat="false" ht="12.75" hidden="false" customHeight="false" outlineLevel="0" collapsed="false">
      <c r="A7" s="2" t="s">
        <v>37</v>
      </c>
      <c r="B7" s="4" t="n">
        <f aca="false">C7*3.4</f>
        <v>0.867</v>
      </c>
      <c r="C7" s="2" t="n">
        <v>0.255</v>
      </c>
      <c r="D7" s="2" t="n">
        <v>0.6775</v>
      </c>
      <c r="E7" s="4" t="n">
        <f aca="false">D7*1.8</f>
        <v>1.2195</v>
      </c>
    </row>
    <row r="8" customFormat="false" ht="12.75" hidden="false" customHeight="false" outlineLevel="0" collapsed="false">
      <c r="A8" s="2" t="s">
        <v>38</v>
      </c>
      <c r="B8" s="4" t="n">
        <f aca="false">C8*3.4</f>
        <v>1.02</v>
      </c>
      <c r="C8" s="2" t="n">
        <v>0.3</v>
      </c>
      <c r="D8" s="2" t="n">
        <v>0.57</v>
      </c>
      <c r="E8" s="4" t="n">
        <f aca="false">D8*1.8</f>
        <v>1.026</v>
      </c>
    </row>
    <row r="9" customFormat="false" ht="12.75" hidden="false" customHeight="false" outlineLevel="0" collapsed="false">
      <c r="A9" s="2" t="s">
        <v>39</v>
      </c>
      <c r="B9" s="4" t="n">
        <f aca="false">C9*3.4</f>
        <v>1.122</v>
      </c>
      <c r="C9" s="2" t="n">
        <v>0.33</v>
      </c>
      <c r="D9" s="2" t="n">
        <v>0.925</v>
      </c>
      <c r="E9" s="4" t="n">
        <f aca="false">D9*1.8</f>
        <v>1.665</v>
      </c>
    </row>
    <row r="10" customFormat="false" ht="12.75" hidden="false" customHeight="false" outlineLevel="0" collapsed="false">
      <c r="A10" s="2" t="s">
        <v>40</v>
      </c>
      <c r="B10" s="4" t="n">
        <f aca="false">C10*3.4</f>
        <v>1.207</v>
      </c>
      <c r="C10" s="2" t="n">
        <v>0.355</v>
      </c>
      <c r="D10" s="2" t="n">
        <v>1.1225</v>
      </c>
      <c r="E10" s="4" t="n">
        <f aca="false">D10*1.8</f>
        <v>2.0205</v>
      </c>
    </row>
    <row r="20" customFormat="false" ht="12.75" hidden="false" customHeight="false" outlineLevel="0" collapsed="false">
      <c r="K20" s="5"/>
    </row>
    <row r="21" customFormat="false" ht="12.75" hidden="false" customHeight="false" outlineLevel="0" collapsed="false">
      <c r="K21" s="5"/>
    </row>
    <row r="22" customFormat="false" ht="12.75" hidden="false" customHeight="false" outlineLevel="0" collapsed="false">
      <c r="K2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9" activeCellId="0" sqref="G9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6" t="n">
        <f aca="false">C2*3.25</f>
        <v>0.706875</v>
      </c>
      <c r="C2" s="2" t="n">
        <v>0.2175</v>
      </c>
      <c r="D2" s="2" t="n">
        <v>-1.25</v>
      </c>
      <c r="E2" s="6" t="n">
        <f aca="false">D2*1.825</f>
        <v>-2.28125</v>
      </c>
    </row>
    <row r="3" customFormat="false" ht="12.75" hidden="false" customHeight="false" outlineLevel="0" collapsed="false">
      <c r="A3" s="2" t="s">
        <v>32</v>
      </c>
      <c r="B3" s="6" t="n">
        <f aca="false">C3*3.25</f>
        <v>0.755625</v>
      </c>
      <c r="C3" s="2" t="n">
        <v>0.2325</v>
      </c>
      <c r="D3" s="2" t="n">
        <v>-1.2925</v>
      </c>
      <c r="E3" s="6" t="n">
        <f aca="false">D3*1.825</f>
        <v>-2.3588125</v>
      </c>
    </row>
    <row r="4" customFormat="false" ht="12.75" hidden="false" customHeight="false" outlineLevel="0" collapsed="false">
      <c r="A4" s="2" t="s">
        <v>33</v>
      </c>
      <c r="B4" s="6" t="n">
        <f aca="false">C4*3.25</f>
        <v>1.105</v>
      </c>
      <c r="C4" s="2" t="n">
        <v>0.34</v>
      </c>
      <c r="D4" s="2" t="n">
        <v>-1.2975</v>
      </c>
      <c r="E4" s="6" t="n">
        <f aca="false">D4*1.825</f>
        <v>-2.3679375</v>
      </c>
    </row>
    <row r="5" customFormat="false" ht="12.75" hidden="false" customHeight="false" outlineLevel="0" collapsed="false">
      <c r="A5" s="2" t="s">
        <v>34</v>
      </c>
      <c r="B5" s="6" t="n">
        <f aca="false">C5*3.75</f>
        <v>0.965625</v>
      </c>
      <c r="C5" s="2" t="n">
        <v>0.2575</v>
      </c>
      <c r="D5" s="2" t="n">
        <v>-1.47</v>
      </c>
      <c r="E5" s="6" t="n">
        <f aca="false">D5*1.825</f>
        <v>-2.68275</v>
      </c>
    </row>
    <row r="6" customFormat="false" ht="12.75" hidden="false" customHeight="false" outlineLevel="0" collapsed="false">
      <c r="A6" s="2" t="s">
        <v>35</v>
      </c>
      <c r="B6" s="6" t="n">
        <f aca="false">4*C6</f>
        <v>1.26</v>
      </c>
      <c r="C6" s="2" t="n">
        <v>0.315</v>
      </c>
      <c r="D6" s="2" t="n">
        <v>-1.84</v>
      </c>
      <c r="E6" s="6" t="n">
        <f aca="false">D6*1.825</f>
        <v>-3.358</v>
      </c>
    </row>
    <row r="7" customFormat="false" ht="12.75" hidden="false" customHeight="false" outlineLevel="0" collapsed="false">
      <c r="A7" s="2" t="s">
        <v>36</v>
      </c>
      <c r="B7" s="6" t="n">
        <f aca="false">4*C7</f>
        <v>1.41</v>
      </c>
      <c r="C7" s="2" t="n">
        <v>0.3525</v>
      </c>
      <c r="D7" s="2" t="n">
        <v>-2.1575</v>
      </c>
      <c r="E7" s="6" t="n">
        <f aca="false">D7*1.825</f>
        <v>-3.9374375</v>
      </c>
    </row>
    <row r="8" customFormat="false" ht="12.75" hidden="false" customHeight="false" outlineLevel="0" collapsed="false">
      <c r="A8" s="2" t="s">
        <v>37</v>
      </c>
      <c r="B8" s="6" t="n">
        <f aca="false">4*C8</f>
        <v>1.68</v>
      </c>
      <c r="C8" s="2" t="n">
        <v>0.42</v>
      </c>
      <c r="D8" s="2" t="n">
        <v>-2.5675</v>
      </c>
      <c r="E8" s="6" t="n">
        <f aca="false">D8*1.825</f>
        <v>-4.6856875</v>
      </c>
    </row>
    <row r="9" customFormat="false" ht="12.75" hidden="false" customHeight="false" outlineLevel="0" collapsed="false">
      <c r="A9" s="2" t="s">
        <v>38</v>
      </c>
      <c r="B9" s="6" t="n">
        <f aca="false">4*C9</f>
        <v>1.87</v>
      </c>
      <c r="C9" s="2" t="n">
        <v>0.4675</v>
      </c>
      <c r="D9" s="2" t="n">
        <v>-2.735</v>
      </c>
      <c r="E9" s="6" t="n">
        <f aca="false">D9*1.825</f>
        <v>-4.991375</v>
      </c>
    </row>
    <row r="10" customFormat="false" ht="12.75" hidden="false" customHeight="false" outlineLevel="0" collapsed="false">
      <c r="A10" s="2" t="s">
        <v>39</v>
      </c>
      <c r="B10" s="6" t="n">
        <f aca="false">4.25*C10</f>
        <v>2.135625</v>
      </c>
      <c r="C10" s="2" t="n">
        <v>0.5025</v>
      </c>
      <c r="D10" s="2" t="n">
        <v>-2.875</v>
      </c>
      <c r="E10" s="6" t="n">
        <f aca="false">D10*1.825</f>
        <v>-5.246875</v>
      </c>
    </row>
    <row r="11" customFormat="false" ht="12.75" hidden="false" customHeight="false" outlineLevel="0" collapsed="false">
      <c r="A11" s="2" t="s">
        <v>40</v>
      </c>
      <c r="B11" s="6" t="n">
        <f aca="false">4.25*C11</f>
        <v>2.295</v>
      </c>
      <c r="C11" s="2" t="n">
        <v>0.54</v>
      </c>
      <c r="D11" s="2" t="n">
        <v>-3.34</v>
      </c>
      <c r="E11" s="6" t="n">
        <f aca="false">D11*1.825</f>
        <v>-6.0955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8" activeCellId="0" sqref="E8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6" t="n">
        <f aca="false">3.25*C2</f>
        <v>0.6175</v>
      </c>
      <c r="C2" s="2" t="n">
        <v>0.19</v>
      </c>
      <c r="D2" s="2" t="n">
        <v>-0.43</v>
      </c>
      <c r="E2" s="6" t="n">
        <f aca="false">D2*1.8</f>
        <v>-0.774</v>
      </c>
    </row>
    <row r="3" customFormat="false" ht="12.75" hidden="false" customHeight="false" outlineLevel="0" collapsed="false">
      <c r="A3" s="2" t="s">
        <v>32</v>
      </c>
      <c r="B3" s="6" t="n">
        <f aca="false">3.25*C3</f>
        <v>0.65</v>
      </c>
      <c r="C3" s="2" t="n">
        <v>0.2</v>
      </c>
      <c r="D3" s="2" t="n">
        <v>-0.415</v>
      </c>
      <c r="E3" s="6" t="n">
        <f aca="false">D3*1.8</f>
        <v>-0.747</v>
      </c>
    </row>
    <row r="4" customFormat="false" ht="12.75" hidden="false" customHeight="false" outlineLevel="0" collapsed="false">
      <c r="A4" s="2" t="s">
        <v>33</v>
      </c>
      <c r="B4" s="6" t="n">
        <f aca="false">3.25*C4</f>
        <v>0.6175</v>
      </c>
      <c r="C4" s="2" t="n">
        <v>0.19</v>
      </c>
      <c r="D4" s="2" t="n">
        <v>-0.37</v>
      </c>
      <c r="E4" s="6" t="n">
        <f aca="false">D4*1.8</f>
        <v>-0.666</v>
      </c>
    </row>
    <row r="5" customFormat="false" ht="12.75" hidden="false" customHeight="false" outlineLevel="0" collapsed="false">
      <c r="A5" s="2" t="s">
        <v>34</v>
      </c>
      <c r="B5" s="6" t="n">
        <f aca="false">3.25*C5</f>
        <v>0.76375</v>
      </c>
      <c r="C5" s="2" t="n">
        <v>0.235</v>
      </c>
      <c r="D5" s="2" t="n">
        <v>-0.475</v>
      </c>
      <c r="E5" s="6" t="n">
        <f aca="false">D5*1.8</f>
        <v>-0.855</v>
      </c>
    </row>
    <row r="6" customFormat="false" ht="12.75" hidden="false" customHeight="false" outlineLevel="0" collapsed="false">
      <c r="A6" s="2" t="s">
        <v>35</v>
      </c>
      <c r="B6" s="6" t="n">
        <f aca="false">3.25*C6</f>
        <v>0.869375</v>
      </c>
      <c r="C6" s="2" t="n">
        <v>0.2675</v>
      </c>
      <c r="D6" s="2" t="n">
        <v>-0.6625</v>
      </c>
      <c r="E6" s="6" t="n">
        <f aca="false">D6*1.8</f>
        <v>-1.1925</v>
      </c>
    </row>
    <row r="7" customFormat="false" ht="12.75" hidden="false" customHeight="false" outlineLevel="0" collapsed="false">
      <c r="A7" s="2" t="s">
        <v>36</v>
      </c>
      <c r="B7" s="6" t="n">
        <f aca="false">3.25*C7</f>
        <v>0.950625</v>
      </c>
      <c r="C7" s="2" t="n">
        <v>0.2925</v>
      </c>
      <c r="D7" s="2" t="n">
        <v>-0.8275</v>
      </c>
      <c r="E7" s="6" t="n">
        <f aca="false">D7*1.825</f>
        <v>-1.5101875</v>
      </c>
    </row>
    <row r="8" customFormat="false" ht="12.75" hidden="false" customHeight="false" outlineLevel="0" collapsed="false">
      <c r="A8" s="2" t="s">
        <v>37</v>
      </c>
      <c r="B8" s="6" t="n">
        <f aca="false">3.25*C8</f>
        <v>1.129375</v>
      </c>
      <c r="C8" s="2" t="n">
        <v>0.3475</v>
      </c>
      <c r="D8" s="2" t="n">
        <v>-1.0925</v>
      </c>
      <c r="E8" s="6" t="n">
        <f aca="false">D8*1.825</f>
        <v>-1.9938125</v>
      </c>
    </row>
    <row r="9" customFormat="false" ht="12.75" hidden="false" customHeight="false" outlineLevel="0" collapsed="false">
      <c r="A9" s="2" t="s">
        <v>38</v>
      </c>
      <c r="B9" s="6" t="n">
        <f aca="false">3.25*C9</f>
        <v>1.259375</v>
      </c>
      <c r="C9" s="2" t="n">
        <v>0.3875</v>
      </c>
      <c r="D9" s="2" t="n">
        <v>-1.2925</v>
      </c>
      <c r="E9" s="6" t="n">
        <f aca="false">D9*1.825</f>
        <v>-2.3588125</v>
      </c>
    </row>
    <row r="10" customFormat="false" ht="12.75" hidden="false" customHeight="false" outlineLevel="0" collapsed="false">
      <c r="A10" s="2" t="s">
        <v>39</v>
      </c>
      <c r="B10" s="6" t="n">
        <f aca="false">3.25*C10</f>
        <v>1.291875</v>
      </c>
      <c r="C10" s="2" t="n">
        <v>0.3975</v>
      </c>
      <c r="D10" s="2" t="n">
        <v>-1.3775</v>
      </c>
      <c r="E10" s="6" t="n">
        <f aca="false">D10*1.825</f>
        <v>-2.5139375</v>
      </c>
    </row>
    <row r="11" customFormat="false" ht="12.75" hidden="false" customHeight="false" outlineLevel="0" collapsed="false">
      <c r="A11" s="2" t="s">
        <v>40</v>
      </c>
      <c r="B11" s="6" t="n">
        <f aca="false">3.25*C11</f>
        <v>1.3975</v>
      </c>
      <c r="C11" s="2" t="n">
        <v>0.43</v>
      </c>
      <c r="D11" s="2" t="n">
        <v>-1.685</v>
      </c>
      <c r="E11" s="7" t="n">
        <f aca="false">D11*1.75</f>
        <v>-2.94875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7" activeCellId="0" sqref="G7"/>
    </sheetView>
  </sheetViews>
  <sheetFormatPr defaultColWidth="8.859375" defaultRowHeight="12.75" zeroHeight="false" outlineLevelRow="0" outlineLevelCol="0"/>
  <cols>
    <col collapsed="false" customWidth="true" hidden="false" outlineLevel="0" max="1" min="1" style="2" width="6.42"/>
    <col collapsed="false" customWidth="true" hidden="false" outlineLevel="0" max="3" min="2" style="2" width="7.71"/>
    <col collapsed="false" customWidth="true" hidden="false" outlineLevel="0" max="5" min="4" style="2" width="7.87"/>
  </cols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3" t="n">
        <f aca="false">C2*3</f>
        <v>0.4425</v>
      </c>
      <c r="C2" s="2" t="n">
        <v>0.1475</v>
      </c>
      <c r="D2" s="2" t="n">
        <v>-0.18</v>
      </c>
      <c r="E2" s="3" t="n">
        <f aca="false">D2*1.75</f>
        <v>-0.315</v>
      </c>
    </row>
    <row r="3" customFormat="false" ht="12.75" hidden="false" customHeight="false" outlineLevel="0" collapsed="false">
      <c r="A3" s="2" t="s">
        <v>32</v>
      </c>
      <c r="B3" s="3" t="n">
        <f aca="false">C3*3</f>
        <v>0.4575</v>
      </c>
      <c r="C3" s="2" t="n">
        <v>0.1525</v>
      </c>
      <c r="D3" s="2" t="n">
        <v>-0.165</v>
      </c>
      <c r="E3" s="3" t="n">
        <f aca="false">D3*1.75</f>
        <v>-0.28875</v>
      </c>
    </row>
    <row r="4" customFormat="false" ht="12.75" hidden="false" customHeight="false" outlineLevel="0" collapsed="false">
      <c r="A4" s="2" t="s">
        <v>33</v>
      </c>
      <c r="B4" s="3" t="n">
        <f aca="false">C4*3</f>
        <v>0.4875</v>
      </c>
      <c r="C4" s="2" t="n">
        <v>0.1625</v>
      </c>
      <c r="D4" s="2" t="n">
        <v>-0.1775</v>
      </c>
      <c r="E4" s="3" t="n">
        <f aca="false">D4*1.75</f>
        <v>-0.310625</v>
      </c>
    </row>
    <row r="5" customFormat="false" ht="12.75" hidden="false" customHeight="false" outlineLevel="0" collapsed="false">
      <c r="A5" s="2" t="s">
        <v>34</v>
      </c>
      <c r="B5" s="3" t="n">
        <f aca="false">C5*3</f>
        <v>0.5175</v>
      </c>
      <c r="C5" s="2" t="n">
        <v>0.1725</v>
      </c>
      <c r="D5" s="2" t="n">
        <v>-0.1225</v>
      </c>
      <c r="E5" s="3" t="n">
        <f aca="false">D5*1.75</f>
        <v>-0.214375</v>
      </c>
    </row>
    <row r="6" customFormat="false" ht="12.75" hidden="false" customHeight="false" outlineLevel="0" collapsed="false">
      <c r="A6" s="2" t="s">
        <v>35</v>
      </c>
      <c r="B6" s="3" t="n">
        <f aca="false">C6*3</f>
        <v>0.585</v>
      </c>
      <c r="C6" s="2" t="n">
        <v>0.195</v>
      </c>
      <c r="D6" s="2" t="n">
        <v>-0.1025</v>
      </c>
      <c r="E6" s="3" t="n">
        <f aca="false">D6*1.75</f>
        <v>-0.179375</v>
      </c>
    </row>
    <row r="7" customFormat="false" ht="12.75" hidden="false" customHeight="false" outlineLevel="0" collapsed="false">
      <c r="A7" s="2" t="s">
        <v>36</v>
      </c>
      <c r="B7" s="3" t="n">
        <f aca="false">C7*3</f>
        <v>0.6375</v>
      </c>
      <c r="C7" s="2" t="n">
        <v>0.2125</v>
      </c>
      <c r="D7" s="2" t="n">
        <v>-0.0925</v>
      </c>
      <c r="E7" s="3" t="n">
        <f aca="false">D7*1.8</f>
        <v>-0.1665</v>
      </c>
    </row>
    <row r="8" customFormat="false" ht="12.75" hidden="false" customHeight="false" outlineLevel="0" collapsed="false">
      <c r="A8" s="2" t="s">
        <v>37</v>
      </c>
      <c r="B8" s="3" t="n">
        <f aca="false">C8*3.25</f>
        <v>0.8775</v>
      </c>
      <c r="C8" s="2" t="n">
        <v>0.27</v>
      </c>
      <c r="D8" s="2" t="n">
        <v>-0.04</v>
      </c>
      <c r="E8" s="3" t="n">
        <f aca="false">D8*1.8</f>
        <v>-0.072</v>
      </c>
    </row>
    <row r="9" customFormat="false" ht="12.75" hidden="false" customHeight="false" outlineLevel="0" collapsed="false">
      <c r="A9" s="2" t="s">
        <v>38</v>
      </c>
      <c r="B9" s="3" t="n">
        <f aca="false">C9*3.5</f>
        <v>1.04125</v>
      </c>
      <c r="C9" s="2" t="n">
        <v>0.2975</v>
      </c>
      <c r="D9" s="2" t="n">
        <v>0.0025</v>
      </c>
      <c r="E9" s="3" t="n">
        <f aca="false">D9*1.825</f>
        <v>0.0045625</v>
      </c>
    </row>
    <row r="10" customFormat="false" ht="12.75" hidden="false" customHeight="false" outlineLevel="0" collapsed="false">
      <c r="A10" s="2" t="s">
        <v>39</v>
      </c>
      <c r="B10" s="3" t="n">
        <f aca="false">C10*3.55</f>
        <v>1.144875</v>
      </c>
      <c r="C10" s="2" t="n">
        <v>0.3225</v>
      </c>
      <c r="D10" s="2" t="n">
        <v>0.025</v>
      </c>
      <c r="E10" s="3" t="n">
        <f aca="false">D10*1.85</f>
        <v>0.04625</v>
      </c>
    </row>
    <row r="11" customFormat="false" ht="12.75" hidden="false" customHeight="false" outlineLevel="0" collapsed="false">
      <c r="A11" s="2" t="s">
        <v>40</v>
      </c>
      <c r="B11" s="3" t="n">
        <f aca="false">C11*3.55</f>
        <v>1.207</v>
      </c>
      <c r="C11" s="2" t="n">
        <v>0.34</v>
      </c>
      <c r="D11" s="2" t="n">
        <v>-0.055</v>
      </c>
      <c r="E11" s="3" t="n">
        <f aca="false">D11*2.15</f>
        <v>-0.11825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3" activeCellId="0" sqref="F13"/>
    </sheetView>
  </sheetViews>
  <sheetFormatPr defaultColWidth="8.859375" defaultRowHeight="12.75" zeroHeight="false" outlineLevelRow="0" outlineLevelCol="0"/>
  <cols>
    <col collapsed="false" customWidth="true" hidden="false" outlineLevel="0" max="1" min="1" style="2" width="6.42"/>
    <col collapsed="false" customWidth="true" hidden="false" outlineLevel="0" max="3" min="2" style="2" width="7.71"/>
    <col collapsed="false" customWidth="true" hidden="false" outlineLevel="0" max="5" min="4" style="2" width="7.87"/>
  </cols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6" t="n">
        <f aca="false">C2*3</f>
        <v>0.8175</v>
      </c>
      <c r="C2" s="2" t="n">
        <v>0.2725</v>
      </c>
      <c r="D2" s="2" t="n">
        <v>-0.9175</v>
      </c>
      <c r="E2" s="6" t="n">
        <f aca="false">D2*1.8</f>
        <v>-1.6515</v>
      </c>
    </row>
    <row r="3" customFormat="false" ht="12.75" hidden="false" customHeight="false" outlineLevel="0" collapsed="false">
      <c r="A3" s="2" t="s">
        <v>32</v>
      </c>
      <c r="B3" s="6" t="n">
        <f aca="false">C3*3</f>
        <v>0.8775</v>
      </c>
      <c r="C3" s="2" t="n">
        <v>0.2925</v>
      </c>
      <c r="D3" s="2" t="n">
        <v>-1.0425</v>
      </c>
      <c r="E3" s="6" t="n">
        <f aca="false">D3*1.8</f>
        <v>-1.8765</v>
      </c>
    </row>
    <row r="4" customFormat="false" ht="12.75" hidden="false" customHeight="false" outlineLevel="0" collapsed="false">
      <c r="A4" s="2" t="s">
        <v>33</v>
      </c>
      <c r="B4" s="6" t="n">
        <f aca="false">C4*3</f>
        <v>0.93</v>
      </c>
      <c r="C4" s="2" t="n">
        <v>0.31</v>
      </c>
      <c r="D4" s="2" t="n">
        <v>-1.205</v>
      </c>
      <c r="E4" s="6" t="n">
        <f aca="false">D4*1.8</f>
        <v>-2.169</v>
      </c>
    </row>
    <row r="5" customFormat="false" ht="12.75" hidden="false" customHeight="false" outlineLevel="0" collapsed="false">
      <c r="A5" s="2" t="s">
        <v>34</v>
      </c>
      <c r="B5" s="6" t="n">
        <f aca="false">C5*3</f>
        <v>1.02</v>
      </c>
      <c r="C5" s="2" t="n">
        <v>0.34</v>
      </c>
      <c r="D5" s="2" t="n">
        <v>-1.295</v>
      </c>
      <c r="E5" s="6" t="n">
        <f aca="false">D5*1.825</f>
        <v>-2.363375</v>
      </c>
    </row>
    <row r="6" customFormat="false" ht="12.75" hidden="false" customHeight="false" outlineLevel="0" collapsed="false">
      <c r="A6" s="2" t="s">
        <v>35</v>
      </c>
      <c r="B6" s="6" t="n">
        <f aca="false">C6*3</f>
        <v>1.11</v>
      </c>
      <c r="C6" s="2" t="n">
        <v>0.37</v>
      </c>
      <c r="D6" s="2" t="n">
        <v>-1.425</v>
      </c>
      <c r="E6" s="6" t="n">
        <f aca="false">D6*1.825</f>
        <v>-2.600625</v>
      </c>
    </row>
    <row r="7" customFormat="false" ht="12.75" hidden="false" customHeight="false" outlineLevel="0" collapsed="false">
      <c r="A7" s="2" t="s">
        <v>36</v>
      </c>
      <c r="B7" s="6" t="n">
        <f aca="false">C7*3</f>
        <v>1.1925</v>
      </c>
      <c r="C7" s="2" t="n">
        <v>0.3975</v>
      </c>
      <c r="D7" s="2" t="n">
        <v>-1.4875</v>
      </c>
      <c r="E7" s="6" t="n">
        <f aca="false">D7*1.825</f>
        <v>-2.7146875</v>
      </c>
    </row>
    <row r="8" customFormat="false" ht="12.75" hidden="false" customHeight="false" outlineLevel="0" collapsed="false">
      <c r="A8" s="2" t="s">
        <v>37</v>
      </c>
      <c r="B8" s="6" t="n">
        <f aca="false">C8*3</f>
        <v>1.3125</v>
      </c>
      <c r="C8" s="2" t="n">
        <v>0.4375</v>
      </c>
      <c r="D8" s="2" t="n">
        <v>-1.6475</v>
      </c>
      <c r="E8" s="6" t="n">
        <f aca="false">D8*1.825</f>
        <v>-3.0066875</v>
      </c>
    </row>
    <row r="9" customFormat="false" ht="12.75" hidden="false" customHeight="false" outlineLevel="0" collapsed="false">
      <c r="A9" s="2" t="s">
        <v>38</v>
      </c>
      <c r="B9" s="6" t="n">
        <f aca="false">C9*3</f>
        <v>1.3575</v>
      </c>
      <c r="C9" s="2" t="n">
        <v>0.4525</v>
      </c>
      <c r="D9" s="2" t="n">
        <v>-1.7175</v>
      </c>
      <c r="E9" s="6" t="n">
        <f aca="false">D9*1.85</f>
        <v>-3.177375</v>
      </c>
    </row>
    <row r="10" customFormat="false" ht="12.75" hidden="false" customHeight="false" outlineLevel="0" collapsed="false">
      <c r="A10" s="2" t="s">
        <v>39</v>
      </c>
      <c r="B10" s="6" t="n">
        <f aca="false">C10*3</f>
        <v>1.4025</v>
      </c>
      <c r="C10" s="2" t="n">
        <v>0.4675</v>
      </c>
      <c r="D10" s="2" t="n">
        <v>-1.7675</v>
      </c>
      <c r="E10" s="6" t="n">
        <f aca="false">D10*1.85</f>
        <v>-3.269875</v>
      </c>
    </row>
    <row r="11" customFormat="false" ht="12.75" hidden="false" customHeight="false" outlineLevel="0" collapsed="false">
      <c r="A11" s="2" t="s">
        <v>40</v>
      </c>
      <c r="B11" s="6" t="n">
        <f aca="false">C11*3</f>
        <v>1.47</v>
      </c>
      <c r="C11" s="2" t="n">
        <v>0.49</v>
      </c>
      <c r="D11" s="2" t="n">
        <v>-1.75</v>
      </c>
      <c r="E11" s="6" t="n">
        <f aca="false">D11*1.85</f>
        <v>-3.2375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7" activeCellId="0" sqref="K7"/>
    </sheetView>
  </sheetViews>
  <sheetFormatPr defaultColWidth="8.859375" defaultRowHeight="12.75" zeroHeight="false" outlineLevelRow="0" outlineLevelCol="0"/>
  <cols>
    <col collapsed="false" customWidth="true" hidden="false" outlineLevel="0" max="1" min="1" style="2" width="6.42"/>
    <col collapsed="false" customWidth="true" hidden="false" outlineLevel="0" max="3" min="2" style="2" width="7.71"/>
    <col collapsed="false" customWidth="true" hidden="false" outlineLevel="0" max="5" min="4" style="2" width="7.87"/>
  </cols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4" t="n">
        <f aca="false">C2*3</f>
        <v>0.6525</v>
      </c>
      <c r="C2" s="2" t="n">
        <v>0.2175</v>
      </c>
      <c r="D2" s="2" t="n">
        <v>-0.0275</v>
      </c>
      <c r="E2" s="3" t="n">
        <f aca="false">1.85*D2</f>
        <v>-0.050875</v>
      </c>
    </row>
    <row r="3" customFormat="false" ht="12.75" hidden="false" customHeight="false" outlineLevel="0" collapsed="false">
      <c r="A3" s="2" t="s">
        <v>32</v>
      </c>
      <c r="B3" s="4" t="n">
        <f aca="false">C3*3</f>
        <v>0.675</v>
      </c>
      <c r="C3" s="2" t="n">
        <v>0.225</v>
      </c>
      <c r="D3" s="2" t="n">
        <v>-0.11</v>
      </c>
      <c r="E3" s="3" t="n">
        <f aca="false">1.85*D3</f>
        <v>-0.2035</v>
      </c>
    </row>
    <row r="4" customFormat="false" ht="12.75" hidden="false" customHeight="false" outlineLevel="0" collapsed="false">
      <c r="A4" s="2" t="s">
        <v>33</v>
      </c>
      <c r="B4" s="4" t="n">
        <f aca="false">C4*3</f>
        <v>0.735</v>
      </c>
      <c r="C4" s="2" t="n">
        <v>0.245</v>
      </c>
      <c r="D4" s="2" t="n">
        <v>-0.1475</v>
      </c>
      <c r="E4" s="3" t="n">
        <f aca="false">1.85*D4</f>
        <v>-0.272875</v>
      </c>
    </row>
    <row r="5" customFormat="false" ht="12.75" hidden="false" customHeight="false" outlineLevel="0" collapsed="false">
      <c r="A5" s="2" t="s">
        <v>34</v>
      </c>
      <c r="B5" s="4" t="n">
        <f aca="false">C5*3</f>
        <v>0.72</v>
      </c>
      <c r="C5" s="2" t="n">
        <v>0.24</v>
      </c>
      <c r="D5" s="2" t="n">
        <v>-0.24</v>
      </c>
      <c r="E5" s="3" t="n">
        <f aca="false">1.85*D5</f>
        <v>-0.444</v>
      </c>
    </row>
    <row r="6" customFormat="false" ht="12.75" hidden="false" customHeight="false" outlineLevel="0" collapsed="false">
      <c r="A6" s="2" t="s">
        <v>35</v>
      </c>
      <c r="B6" s="4" t="n">
        <f aca="false">C6*3</f>
        <v>0.8025</v>
      </c>
      <c r="C6" s="2" t="n">
        <v>0.2675</v>
      </c>
      <c r="D6" s="2" t="n">
        <v>-0.4575</v>
      </c>
      <c r="E6" s="3" t="n">
        <f aca="false">1.85*D6</f>
        <v>-0.846375</v>
      </c>
    </row>
    <row r="7" customFormat="false" ht="12.75" hidden="false" customHeight="false" outlineLevel="0" collapsed="false">
      <c r="A7" s="2" t="s">
        <v>36</v>
      </c>
      <c r="B7" s="4" t="n">
        <f aca="false">C7*3</f>
        <v>0.87</v>
      </c>
      <c r="C7" s="2" t="n">
        <v>0.29</v>
      </c>
      <c r="D7" s="2" t="n">
        <v>-0.645</v>
      </c>
      <c r="E7" s="3" t="n">
        <f aca="false">1.85*D7</f>
        <v>-1.19325</v>
      </c>
    </row>
    <row r="8" customFormat="false" ht="12.75" hidden="false" customHeight="false" outlineLevel="0" collapsed="false">
      <c r="A8" s="2" t="s">
        <v>37</v>
      </c>
      <c r="B8" s="4" t="n">
        <f aca="false">C8*3</f>
        <v>0.99</v>
      </c>
      <c r="C8" s="2" t="n">
        <v>0.33</v>
      </c>
      <c r="D8" s="2" t="n">
        <v>-0.9575</v>
      </c>
      <c r="E8" s="7" t="n">
        <f aca="false">D8*2</f>
        <v>-1.915</v>
      </c>
    </row>
    <row r="9" customFormat="false" ht="12.75" hidden="false" customHeight="false" outlineLevel="0" collapsed="false">
      <c r="A9" s="2" t="s">
        <v>38</v>
      </c>
      <c r="B9" s="4" t="n">
        <f aca="false">C9*3</f>
        <v>1.065</v>
      </c>
      <c r="C9" s="2" t="n">
        <v>0.355</v>
      </c>
      <c r="D9" s="2" t="n">
        <v>-1.0925</v>
      </c>
      <c r="E9" s="3" t="n">
        <f aca="false">1.875*D9</f>
        <v>-2.0484375</v>
      </c>
    </row>
    <row r="10" customFormat="false" ht="12.75" hidden="false" customHeight="false" outlineLevel="0" collapsed="false">
      <c r="A10" s="2" t="s">
        <v>39</v>
      </c>
      <c r="B10" s="8" t="n">
        <f aca="false">3.25*C10</f>
        <v>1.2025</v>
      </c>
      <c r="C10" s="2" t="n">
        <v>0.37</v>
      </c>
      <c r="D10" s="2" t="n">
        <v>-1.19</v>
      </c>
      <c r="E10" s="3" t="n">
        <f aca="false">1.875*D10</f>
        <v>-2.23125</v>
      </c>
    </row>
    <row r="11" customFormat="false" ht="12.75" hidden="false" customHeight="false" outlineLevel="0" collapsed="false">
      <c r="A11" s="2" t="s">
        <v>40</v>
      </c>
      <c r="B11" s="8" t="n">
        <f aca="false">3.5*C11</f>
        <v>1.4525</v>
      </c>
      <c r="C11" s="2" t="n">
        <v>0.415</v>
      </c>
      <c r="D11" s="2" t="n">
        <v>-1.42</v>
      </c>
      <c r="E11" s="3" t="n">
        <f aca="false">1.875*D11</f>
        <v>-2.6625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15" activeCellId="0" sqref="I15"/>
    </sheetView>
  </sheetViews>
  <sheetFormatPr defaultColWidth="8.859375" defaultRowHeight="12.75" zeroHeight="false" outlineLevelRow="0" outlineLevelCol="0"/>
  <cols>
    <col collapsed="false" customWidth="true" hidden="false" outlineLevel="0" max="1" min="1" style="2" width="6.42"/>
    <col collapsed="false" customWidth="true" hidden="false" outlineLevel="0" max="3" min="2" style="2" width="7.71"/>
    <col collapsed="false" customWidth="true" hidden="false" outlineLevel="0" max="5" min="4" style="2" width="7.87"/>
    <col collapsed="false" customWidth="true" hidden="false" outlineLevel="0" max="8" min="8" style="2" width="10.29"/>
    <col collapsed="false" customWidth="true" hidden="false" outlineLevel="0" max="12" min="12" style="2" width="12.86"/>
    <col collapsed="false" customWidth="true" hidden="false" outlineLevel="0" max="13" min="13" style="2" width="15"/>
    <col collapsed="false" customWidth="true" hidden="false" outlineLevel="0" max="15" min="15" style="2" width="12.86"/>
  </cols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9" t="n">
        <f aca="false">+C2*3.4</f>
        <v>0.6205</v>
      </c>
      <c r="C2" s="10" t="n">
        <v>0.1825</v>
      </c>
      <c r="D2" s="10" t="n">
        <v>0.385</v>
      </c>
      <c r="E2" s="9" t="n">
        <f aca="false">+D2*2.05</f>
        <v>0.78925</v>
      </c>
    </row>
    <row r="3" customFormat="false" ht="12.75" hidden="false" customHeight="false" outlineLevel="0" collapsed="false">
      <c r="A3" s="2" t="s">
        <v>32</v>
      </c>
      <c r="B3" s="9" t="n">
        <f aca="false">+C3*3.4</f>
        <v>0.6375</v>
      </c>
      <c r="C3" s="10" t="n">
        <v>0.1875</v>
      </c>
      <c r="D3" s="10" t="n">
        <v>0.45</v>
      </c>
      <c r="E3" s="9" t="n">
        <f aca="false">+D3*2.15</f>
        <v>0.9675</v>
      </c>
    </row>
    <row r="4" customFormat="false" ht="12.75" hidden="false" customHeight="false" outlineLevel="0" collapsed="false">
      <c r="A4" s="2" t="s">
        <v>34</v>
      </c>
      <c r="B4" s="9" t="n">
        <f aca="false">+C4*3.4</f>
        <v>0.731</v>
      </c>
      <c r="C4" s="10" t="n">
        <v>0.215</v>
      </c>
      <c r="D4" s="10" t="n">
        <v>0.525</v>
      </c>
      <c r="E4" s="9" t="n">
        <f aca="false">+D4*2.3</f>
        <v>1.2075</v>
      </c>
    </row>
    <row r="5" customFormat="false" ht="12.75" hidden="false" customHeight="false" outlineLevel="0" collapsed="false">
      <c r="A5" s="2" t="s">
        <v>35</v>
      </c>
      <c r="B5" s="9" t="n">
        <f aca="false">+C5*3.4</f>
        <v>0.816</v>
      </c>
      <c r="C5" s="10" t="n">
        <v>0.24</v>
      </c>
      <c r="D5" s="10" t="n">
        <v>0.66</v>
      </c>
      <c r="E5" s="9" t="n">
        <f aca="false">+D5*2.3</f>
        <v>1.518</v>
      </c>
    </row>
    <row r="6" customFormat="false" ht="12.75" hidden="false" customHeight="false" outlineLevel="0" collapsed="false">
      <c r="A6" s="2" t="s">
        <v>36</v>
      </c>
      <c r="B6" s="9" t="n">
        <f aca="false">+C6*3.4</f>
        <v>0.867</v>
      </c>
      <c r="C6" s="10" t="n">
        <v>0.255</v>
      </c>
      <c r="D6" s="10" t="n">
        <v>0.74</v>
      </c>
      <c r="E6" s="9" t="n">
        <f aca="false">+D6*2.3</f>
        <v>1.702</v>
      </c>
      <c r="L6" s="11"/>
    </row>
    <row r="7" customFormat="false" ht="12.75" hidden="false" customHeight="false" outlineLevel="0" collapsed="false">
      <c r="A7" s="2" t="s">
        <v>37</v>
      </c>
      <c r="B7" s="9" t="n">
        <f aca="false">+C7*3.4</f>
        <v>0.986</v>
      </c>
      <c r="C7" s="10" t="n">
        <v>0.29</v>
      </c>
      <c r="D7" s="10" t="n">
        <v>0.95</v>
      </c>
      <c r="E7" s="9" t="n">
        <f aca="false">+D7*2.3</f>
        <v>2.185</v>
      </c>
    </row>
    <row r="8" customFormat="false" ht="12.75" hidden="false" customHeight="false" outlineLevel="0" collapsed="false">
      <c r="A8" s="2" t="s">
        <v>38</v>
      </c>
      <c r="B8" s="9" t="n">
        <f aca="false">+C8*3.4</f>
        <v>1.122</v>
      </c>
      <c r="C8" s="10" t="n">
        <v>0.33</v>
      </c>
      <c r="D8" s="10" t="n">
        <v>1.07</v>
      </c>
      <c r="E8" s="9" t="n">
        <f aca="false">+D8*2.3</f>
        <v>2.461</v>
      </c>
      <c r="L8" s="12"/>
    </row>
    <row r="9" customFormat="false" ht="12.75" hidden="false" customHeight="false" outlineLevel="0" collapsed="false">
      <c r="A9" s="2" t="s">
        <v>39</v>
      </c>
      <c r="B9" s="9" t="n">
        <f aca="false">+C9*3.4</f>
        <v>1.207</v>
      </c>
      <c r="C9" s="10" t="n">
        <v>0.355</v>
      </c>
      <c r="D9" s="10" t="n">
        <v>1.15</v>
      </c>
      <c r="E9" s="9" t="n">
        <f aca="false">+D9*2.3</f>
        <v>2.645</v>
      </c>
      <c r="O9" s="13"/>
    </row>
    <row r="10" customFormat="false" ht="12.75" hidden="false" customHeight="false" outlineLevel="0" collapsed="false">
      <c r="A10" s="2" t="s">
        <v>40</v>
      </c>
      <c r="B10" s="9" t="n">
        <f aca="false">+C10*3.4</f>
        <v>1.292</v>
      </c>
      <c r="C10" s="10" t="n">
        <v>0.38</v>
      </c>
      <c r="D10" s="10" t="n">
        <v>1.25</v>
      </c>
      <c r="E10" s="9" t="n">
        <f aca="false">+D10*2.3</f>
        <v>2.875</v>
      </c>
      <c r="O10" s="14"/>
    </row>
    <row r="12" customFormat="false" ht="12.75" hidden="false" customHeight="false" outlineLevel="0" collapsed="false">
      <c r="T12" s="12"/>
      <c r="U12" s="15"/>
    </row>
    <row r="13" customFormat="false" ht="12.75" hidden="false" customHeight="false" outlineLevel="0" collapsed="false">
      <c r="T13" s="12"/>
    </row>
    <row r="19" customFormat="false" ht="12.75" hidden="false" customHeight="false" outlineLevel="0" collapsed="false">
      <c r="J19" s="16"/>
    </row>
    <row r="20" customFormat="false" ht="12.75" hidden="false" customHeight="false" outlineLevel="0" collapsed="false">
      <c r="L20" s="12"/>
    </row>
    <row r="21" customFormat="false" ht="12.75" hidden="false" customHeight="false" outlineLevel="0" collapsed="false">
      <c r="L21" s="17"/>
    </row>
    <row r="30" customFormat="false" ht="12.75" hidden="false" customHeight="false" outlineLevel="0" collapsed="false">
      <c r="L30" s="1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5" activeCellId="0" sqref="E5"/>
    </sheetView>
  </sheetViews>
  <sheetFormatPr defaultColWidth="8.82421875" defaultRowHeight="12.75" zeroHeight="false" outlineLevelRow="0" outlineLevelCol="0"/>
  <sheetData>
    <row r="1" customFormat="false" ht="12.7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customFormat="false" ht="12.75" hidden="false" customHeight="false" outlineLevel="0" collapsed="false">
      <c r="A2" s="2" t="s">
        <v>31</v>
      </c>
      <c r="B2" s="9" t="n">
        <f aca="false">C2*1.4</f>
        <v>0.546</v>
      </c>
      <c r="C2" s="10" t="n">
        <v>0.39</v>
      </c>
      <c r="D2" s="10" t="n">
        <v>0.5</v>
      </c>
      <c r="E2" s="9" t="n">
        <f aca="false">D2*1.2</f>
        <v>0.6</v>
      </c>
    </row>
    <row r="3" customFormat="false" ht="12.75" hidden="false" customHeight="false" outlineLevel="0" collapsed="false">
      <c r="A3" s="2" t="s">
        <v>32</v>
      </c>
      <c r="B3" s="9" t="n">
        <f aca="false">C3*1.4</f>
        <v>0.546</v>
      </c>
      <c r="C3" s="10" t="n">
        <v>0.39</v>
      </c>
      <c r="D3" s="10" t="n">
        <v>0.515</v>
      </c>
      <c r="E3" s="9" t="n">
        <f aca="false">D3*1.2</f>
        <v>0.618</v>
      </c>
    </row>
    <row r="4" customFormat="false" ht="12.75" hidden="false" customHeight="false" outlineLevel="0" collapsed="false">
      <c r="A4" s="2" t="s">
        <v>34</v>
      </c>
      <c r="B4" s="9" t="n">
        <f aca="false">C4*1.4</f>
        <v>0.546</v>
      </c>
      <c r="C4" s="10" t="n">
        <v>0.39</v>
      </c>
      <c r="D4" s="10" t="n">
        <v>0.55</v>
      </c>
      <c r="E4" s="9" t="n">
        <f aca="false">D4*1.2</f>
        <v>0.66</v>
      </c>
    </row>
    <row r="5" customFormat="false" ht="12.75" hidden="false" customHeight="false" outlineLevel="0" collapsed="false">
      <c r="A5" s="2" t="s">
        <v>35</v>
      </c>
      <c r="B5" s="9" t="n">
        <f aca="false">C5*1.4</f>
        <v>0.546</v>
      </c>
      <c r="C5" s="10" t="n">
        <v>0.39</v>
      </c>
      <c r="D5" s="10" t="n">
        <v>0.525</v>
      </c>
      <c r="E5" s="9" t="n">
        <f aca="false">D5*1.2</f>
        <v>0.63</v>
      </c>
    </row>
    <row r="6" customFormat="false" ht="12.75" hidden="false" customHeight="false" outlineLevel="0" collapsed="false">
      <c r="A6" s="2" t="s">
        <v>36</v>
      </c>
      <c r="B6" s="9" t="n">
        <f aca="false">C6*1.55</f>
        <v>0.6045</v>
      </c>
      <c r="C6" s="10" t="n">
        <v>0.39</v>
      </c>
      <c r="D6" s="10" t="n">
        <v>0.525</v>
      </c>
      <c r="E6" s="9" t="n">
        <f aca="false">D6*1.3</f>
        <v>0.6825</v>
      </c>
    </row>
    <row r="7" customFormat="false" ht="12.75" hidden="false" customHeight="false" outlineLevel="0" collapsed="false">
      <c r="A7" s="2" t="s">
        <v>37</v>
      </c>
      <c r="B7" s="9" t="n">
        <f aca="false">C7*1.65</f>
        <v>0.6435</v>
      </c>
      <c r="C7" s="10" t="n">
        <v>0.39</v>
      </c>
      <c r="D7" s="10" t="n">
        <v>0.6</v>
      </c>
      <c r="E7" s="9" t="n">
        <f aca="false">D7*1.4</f>
        <v>0.84</v>
      </c>
    </row>
    <row r="8" customFormat="false" ht="12.75" hidden="false" customHeight="false" outlineLevel="0" collapsed="false">
      <c r="A8" s="2" t="s">
        <v>38</v>
      </c>
      <c r="B8" s="9" t="n">
        <f aca="false">C8*1.75</f>
        <v>0.6825</v>
      </c>
      <c r="C8" s="10" t="n">
        <v>0.39</v>
      </c>
      <c r="D8" s="10" t="n">
        <v>0.625</v>
      </c>
      <c r="E8" s="9" t="n">
        <f aca="false">D8*1.5</f>
        <v>0.9375</v>
      </c>
    </row>
    <row r="9" customFormat="false" ht="12.75" hidden="false" customHeight="false" outlineLevel="0" collapsed="false">
      <c r="A9" s="2" t="s">
        <v>39</v>
      </c>
      <c r="B9" s="9" t="n">
        <f aca="false">C9*1.75</f>
        <v>0.6825</v>
      </c>
      <c r="C9" s="10" t="n">
        <v>0.39</v>
      </c>
      <c r="D9" s="10" t="n">
        <v>0.65</v>
      </c>
      <c r="E9" s="9" t="n">
        <f aca="false">D9*1.5</f>
        <v>0.975</v>
      </c>
    </row>
    <row r="10" customFormat="false" ht="12.75" hidden="false" customHeight="false" outlineLevel="0" collapsed="false">
      <c r="A10" s="2" t="s">
        <v>40</v>
      </c>
      <c r="B10" s="9" t="n">
        <f aca="false">C10*1.75</f>
        <v>0.6825</v>
      </c>
      <c r="C10" s="10" t="n">
        <v>0.39</v>
      </c>
      <c r="D10" s="10" t="n">
        <v>0.65</v>
      </c>
      <c r="E10" s="9" t="n">
        <f aca="false">D10*1.5</f>
        <v>0.975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1" activeCellId="0" sqref="B11"/>
    </sheetView>
  </sheetViews>
  <sheetFormatPr defaultColWidth="11.78515625" defaultRowHeight="12.75" zeroHeight="false" outlineLevelRow="0" outlineLevelCol="0"/>
  <cols>
    <col collapsed="false" customWidth="true" hidden="false" outlineLevel="0" max="1" min="1" style="19" width="15.15"/>
    <col collapsed="false" customWidth="true" hidden="false" outlineLevel="0" max="5" min="2" style="2" width="10.85"/>
    <col collapsed="false" customWidth="true" hidden="false" outlineLevel="0" max="6" min="6" style="20" width="10.85"/>
    <col collapsed="false" customWidth="true" hidden="false" outlineLevel="0" max="14" min="7" style="2" width="10.85"/>
  </cols>
  <sheetData>
    <row r="1" customFormat="false" ht="12.75" hidden="false" customHeight="false" outlineLevel="0" collapsed="false">
      <c r="B1" s="2" t="s">
        <v>10</v>
      </c>
      <c r="C1" s="2" t="s">
        <v>15</v>
      </c>
      <c r="D1" s="2" t="s">
        <v>5</v>
      </c>
      <c r="E1" s="2" t="s">
        <v>8</v>
      </c>
      <c r="F1" s="20" t="s">
        <v>16</v>
      </c>
      <c r="G1" s="2" t="s">
        <v>12</v>
      </c>
      <c r="H1" s="2" t="s">
        <v>11</v>
      </c>
      <c r="I1" s="2" t="s">
        <v>13</v>
      </c>
      <c r="J1" s="2" t="s">
        <v>17</v>
      </c>
      <c r="K1" s="2" t="s">
        <v>3</v>
      </c>
      <c r="L1" s="2" t="s">
        <v>4</v>
      </c>
      <c r="M1" s="2" t="s">
        <v>6</v>
      </c>
      <c r="N1" s="2" t="s">
        <v>7</v>
      </c>
    </row>
    <row r="2" customFormat="false" ht="12.75" hidden="false" customHeight="false" outlineLevel="0" collapsed="false">
      <c r="A2" s="21" t="s">
        <v>41</v>
      </c>
      <c r="B2" s="2" t="n">
        <v>4.9</v>
      </c>
      <c r="C2" s="2" t="n">
        <v>5</v>
      </c>
      <c r="D2" s="2" t="n">
        <v>0.42</v>
      </c>
      <c r="E2" s="2" t="n">
        <v>0.5</v>
      </c>
      <c r="F2" s="20" t="n">
        <v>6.05</v>
      </c>
      <c r="G2" s="2" t="n">
        <v>6.25</v>
      </c>
      <c r="H2" s="2" t="n">
        <v>10.9</v>
      </c>
      <c r="I2" s="2" t="n">
        <v>7.75</v>
      </c>
      <c r="J2" s="2" t="n">
        <v>10.9</v>
      </c>
      <c r="K2" s="2" t="n">
        <v>0.37</v>
      </c>
      <c r="L2" s="2" t="n">
        <v>0.405</v>
      </c>
      <c r="M2" s="2" t="n">
        <v>0.705</v>
      </c>
      <c r="N2" s="2" t="n">
        <v>0.57</v>
      </c>
    </row>
    <row r="3" customFormat="false" ht="12.75" hidden="false" customHeight="false" outlineLevel="0" collapsed="false">
      <c r="A3" s="21" t="s">
        <v>42</v>
      </c>
      <c r="B3" s="2" t="n">
        <v>6.8</v>
      </c>
      <c r="C3" s="2" t="n">
        <v>4.95</v>
      </c>
      <c r="D3" s="2" t="n">
        <v>0.39</v>
      </c>
      <c r="E3" s="2" t="n">
        <v>0.375</v>
      </c>
      <c r="F3" s="20" t="n">
        <v>7.65</v>
      </c>
      <c r="G3" s="2" t="n">
        <v>6.95</v>
      </c>
      <c r="H3" s="2" t="n">
        <v>10.65</v>
      </c>
      <c r="I3" s="2" t="n">
        <v>9.03</v>
      </c>
      <c r="J3" s="2" t="n">
        <v>10.77</v>
      </c>
      <c r="K3" s="2" t="n">
        <v>0.19</v>
      </c>
      <c r="L3" s="2" t="n">
        <v>0.395</v>
      </c>
      <c r="M3" s="2" t="n">
        <v>0.54</v>
      </c>
      <c r="N3" s="2" t="n">
        <v>0.54</v>
      </c>
    </row>
    <row r="4" customFormat="false" ht="12.75" hidden="false" customHeight="false" outlineLevel="0" collapsed="false">
      <c r="A4" s="21" t="s">
        <v>43</v>
      </c>
      <c r="B4" s="2" t="n">
        <v>0</v>
      </c>
      <c r="C4" s="2" t="n">
        <v>0</v>
      </c>
      <c r="D4" s="2" t="n">
        <v>0</v>
      </c>
      <c r="E4" s="2" t="n">
        <v>0</v>
      </c>
      <c r="F4" s="20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customFormat="false" ht="12.75" hidden="false" customHeight="false" outlineLevel="0" collapsed="false">
      <c r="A5" s="21" t="s">
        <v>44</v>
      </c>
      <c r="B5" s="2" t="n">
        <v>0</v>
      </c>
      <c r="C5" s="2" t="n">
        <v>-0.25</v>
      </c>
      <c r="D5" s="2" t="n">
        <v>0</v>
      </c>
      <c r="E5" s="2" t="n">
        <v>0.6</v>
      </c>
      <c r="F5" s="20" t="n">
        <v>0.7</v>
      </c>
      <c r="G5" s="2" t="n">
        <v>0.6</v>
      </c>
      <c r="H5" s="2" t="n">
        <v>1.1</v>
      </c>
      <c r="I5" s="2" t="n">
        <v>0.8</v>
      </c>
      <c r="J5" s="2" t="n">
        <v>1.2</v>
      </c>
      <c r="K5" s="2" t="n">
        <v>1.5</v>
      </c>
      <c r="L5" s="2" t="n">
        <v>-0.2</v>
      </c>
      <c r="M5" s="2" t="n">
        <v>0</v>
      </c>
      <c r="N5" s="2" t="n">
        <v>0</v>
      </c>
    </row>
    <row r="6" customFormat="false" ht="12.75" hidden="false" customHeight="false" outlineLevel="0" collapsed="false">
      <c r="A6" s="21" t="s">
        <v>45</v>
      </c>
      <c r="B6" s="2" t="n">
        <v>4.5</v>
      </c>
      <c r="C6" s="2" t="n">
        <v>3.5</v>
      </c>
      <c r="D6" s="2" t="n">
        <v>3</v>
      </c>
      <c r="E6" s="2" t="n">
        <v>3</v>
      </c>
      <c r="F6" s="20" t="n">
        <v>5</v>
      </c>
      <c r="G6" s="2" t="n">
        <v>6</v>
      </c>
      <c r="H6" s="2" t="n">
        <v>6.5</v>
      </c>
      <c r="I6" s="2" t="n">
        <v>6</v>
      </c>
      <c r="J6" s="2" t="n">
        <v>6.5</v>
      </c>
      <c r="K6" s="2" t="n">
        <v>5.5</v>
      </c>
      <c r="L6" s="2" t="n">
        <v>5</v>
      </c>
      <c r="M6" s="2" t="n">
        <v>4</v>
      </c>
      <c r="N6" s="2" t="n">
        <v>4</v>
      </c>
    </row>
    <row r="7" customFormat="false" ht="12.75" hidden="false" customHeight="false" outlineLevel="0" collapsed="false">
      <c r="A7" s="21" t="s">
        <v>46</v>
      </c>
      <c r="B7" s="2" t="n">
        <v>0</v>
      </c>
      <c r="C7" s="2" t="n">
        <v>0</v>
      </c>
      <c r="D7" s="2" t="n">
        <v>0</v>
      </c>
      <c r="E7" s="2" t="n">
        <v>0</v>
      </c>
      <c r="F7" s="20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</row>
    <row r="8" customFormat="false" ht="12.75" hidden="false" customHeight="false" outlineLevel="0" collapsed="false">
      <c r="A8" s="21" t="s">
        <v>47</v>
      </c>
      <c r="B8" s="2" t="n">
        <v>50</v>
      </c>
      <c r="C8" s="2" t="n">
        <v>50</v>
      </c>
      <c r="D8" s="2" t="n">
        <v>50</v>
      </c>
      <c r="E8" s="2" t="n">
        <v>50</v>
      </c>
      <c r="F8" s="20" t="n">
        <v>50</v>
      </c>
      <c r="G8" s="2" t="n">
        <v>50</v>
      </c>
      <c r="H8" s="2" t="n">
        <v>50</v>
      </c>
      <c r="I8" s="2" t="n">
        <v>50</v>
      </c>
      <c r="J8" s="2" t="n">
        <v>50</v>
      </c>
      <c r="K8" s="2" t="n">
        <v>50</v>
      </c>
      <c r="L8" s="2" t="n">
        <v>50</v>
      </c>
      <c r="M8" s="2" t="n">
        <v>50</v>
      </c>
      <c r="N8" s="2" t="n">
        <v>50</v>
      </c>
    </row>
    <row r="9" s="2" customFormat="true" ht="12.75" hidden="false" customHeight="false" outlineLevel="0" collapsed="false">
      <c r="A9" s="19" t="s">
        <v>48</v>
      </c>
      <c r="B9" s="2" t="n">
        <v>2</v>
      </c>
      <c r="C9" s="2" t="n">
        <v>0</v>
      </c>
      <c r="D9" s="2" t="n">
        <v>0</v>
      </c>
      <c r="E9" s="2" t="n">
        <v>0</v>
      </c>
      <c r="F9" s="2" t="n">
        <v>5.5</v>
      </c>
      <c r="G9" s="2" t="n">
        <v>5.5</v>
      </c>
      <c r="H9" s="2" t="n">
        <v>6.5</v>
      </c>
      <c r="I9" s="2" t="n">
        <v>6</v>
      </c>
      <c r="J9" s="2" t="n">
        <v>6.5</v>
      </c>
      <c r="K9" s="2" t="n">
        <v>0</v>
      </c>
      <c r="L9" s="2" t="n">
        <v>0</v>
      </c>
      <c r="M9" s="2" t="n">
        <v>0</v>
      </c>
      <c r="N9" s="2" t="n">
        <v>0</v>
      </c>
    </row>
    <row r="10" s="2" customFormat="true" ht="12.75" hidden="false" customHeight="false" outlineLevel="0" collapsed="false">
      <c r="A10" s="19" t="s">
        <v>49</v>
      </c>
      <c r="B10" s="2" t="n">
        <v>5</v>
      </c>
      <c r="C10" s="2" t="n">
        <v>0</v>
      </c>
      <c r="D10" s="2" t="n">
        <v>0</v>
      </c>
      <c r="E10" s="2" t="n">
        <v>0</v>
      </c>
      <c r="F10" s="2" t="n">
        <v>5.5</v>
      </c>
      <c r="G10" s="2" t="n">
        <v>5.5</v>
      </c>
      <c r="H10" s="2" t="n">
        <v>6.5</v>
      </c>
      <c r="I10" s="2" t="n">
        <v>6</v>
      </c>
      <c r="J10" s="2" t="n">
        <v>6.5</v>
      </c>
      <c r="K10" s="2" t="n">
        <v>0</v>
      </c>
      <c r="L10" s="2" t="n">
        <v>0</v>
      </c>
      <c r="M10" s="2" t="n">
        <v>0</v>
      </c>
      <c r="N10" s="2" t="n">
        <v>0</v>
      </c>
    </row>
    <row r="13" customFormat="false" ht="12.75" hidden="false" customHeight="false" outlineLevel="0" collapsed="false">
      <c r="E13" s="12"/>
    </row>
    <row r="16" customFormat="false" ht="15" hidden="false" customHeight="false" outlineLevel="0" collapsed="false">
      <c r="S16" s="22"/>
    </row>
    <row r="17" customFormat="false" ht="12.75" hidden="false" customHeight="false" outlineLevel="0" collapsed="false">
      <c r="P17" s="12"/>
    </row>
    <row r="18" customFormat="false" ht="12.75" hidden="false" customHeight="false" outlineLevel="0" collapsed="false">
      <c r="P18" s="12"/>
    </row>
    <row r="19" customFormat="false" ht="12.75" hidden="false" customHeight="false" outlineLevel="0" collapsed="false">
      <c r="P19" s="12"/>
    </row>
    <row r="20" customFormat="false" ht="12.75" hidden="false" customHeight="false" outlineLevel="0" collapsed="false">
      <c r="E20" s="12"/>
    </row>
    <row r="21" customFormat="false" ht="12.75" hidden="false" customHeight="false" outlineLevel="0" collapsed="false">
      <c r="E21" s="12"/>
    </row>
    <row r="22" customFormat="false" ht="12.75" hidden="false" customHeight="false" outlineLevel="0" collapsed="false">
      <c r="E22" s="12"/>
    </row>
    <row r="23" customFormat="false" ht="12.75" hidden="false" customHeight="false" outlineLevel="0" collapsed="false">
      <c r="E23" s="12"/>
      <c r="I23" s="12"/>
    </row>
    <row r="25" customFormat="false" ht="12.75" hidden="false" customHeight="false" outlineLevel="0" collapsed="false">
      <c r="M25" s="12"/>
    </row>
    <row r="26" customFormat="false" ht="12.75" hidden="false" customHeight="false" outlineLevel="0" collapsed="false">
      <c r="M26" s="1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40" activeCellId="0" sqref="A40"/>
    </sheetView>
  </sheetViews>
  <sheetFormatPr defaultColWidth="8.82421875" defaultRowHeight="12.75" zeroHeight="false" outlineLevelRow="0" outlineLevelCol="0"/>
  <cols>
    <col collapsed="false" customWidth="true" hidden="false" outlineLevel="0" max="1" min="1" style="23" width="15.15"/>
    <col collapsed="false" customWidth="true" hidden="false" outlineLevel="0" max="2" min="2" style="12" width="11.3"/>
    <col collapsed="false" customWidth="true" hidden="false" outlineLevel="0" max="3" min="3" style="12" width="12.86"/>
    <col collapsed="false" customWidth="true" hidden="false" outlineLevel="0" max="6" min="6" style="2" width="11.57"/>
    <col collapsed="false" customWidth="true" hidden="false" outlineLevel="0" max="13" min="13" style="2" width="12.86"/>
  </cols>
  <sheetData>
    <row r="1" customFormat="false" ht="12.75" hidden="false" customHeight="false" outlineLevel="0" collapsed="false">
      <c r="A1" s="23" t="s">
        <v>50</v>
      </c>
      <c r="B1" s="12" t="s">
        <v>51</v>
      </c>
      <c r="C1" s="12" t="s">
        <v>52</v>
      </c>
    </row>
    <row r="2" customFormat="false" ht="12.75" hidden="false" customHeight="false" outlineLevel="0" collapsed="false">
      <c r="A2" s="24" t="n">
        <v>44209</v>
      </c>
      <c r="B2" s="12" t="n">
        <v>0</v>
      </c>
      <c r="C2" s="12" t="n">
        <v>1500000</v>
      </c>
    </row>
    <row r="3" customFormat="false" ht="12.75" hidden="false" customHeight="false" outlineLevel="0" collapsed="false">
      <c r="A3" s="24" t="n">
        <v>44210</v>
      </c>
      <c r="B3" s="12" t="n">
        <v>1788</v>
      </c>
      <c r="C3" s="12" t="n">
        <f aca="false">C2+B3</f>
        <v>1501788</v>
      </c>
    </row>
    <row r="4" customFormat="false" ht="12.75" hidden="false" customHeight="false" outlineLevel="0" collapsed="false">
      <c r="A4" s="24" t="n">
        <v>44211</v>
      </c>
      <c r="B4" s="12" t="n">
        <v>88251</v>
      </c>
      <c r="C4" s="12" t="n">
        <f aca="false">C3+B4</f>
        <v>1590039</v>
      </c>
    </row>
    <row r="5" customFormat="false" ht="12.75" hidden="false" customHeight="false" outlineLevel="0" collapsed="false">
      <c r="A5" s="24" t="n">
        <v>44214</v>
      </c>
      <c r="B5" s="12" t="n">
        <f aca="false">332875</f>
        <v>332875</v>
      </c>
      <c r="C5" s="12" t="n">
        <f aca="false">C4+B5</f>
        <v>1922914</v>
      </c>
      <c r="E5" s="2"/>
    </row>
    <row r="6" customFormat="false" ht="12.75" hidden="false" customHeight="false" outlineLevel="0" collapsed="false">
      <c r="A6" s="24" t="n">
        <v>44215</v>
      </c>
      <c r="B6" s="12" t="n">
        <v>5327</v>
      </c>
      <c r="C6" s="12" t="n">
        <f aca="false">C5+B6</f>
        <v>1928241</v>
      </c>
      <c r="E6" s="2"/>
      <c r="N6" s="12"/>
    </row>
    <row r="7" customFormat="false" ht="12.75" hidden="false" customHeight="false" outlineLevel="0" collapsed="false">
      <c r="A7" s="24" t="n">
        <v>44216</v>
      </c>
      <c r="B7" s="12" t="n">
        <v>289118</v>
      </c>
      <c r="C7" s="12" t="n">
        <f aca="false">C6+B7</f>
        <v>2217359</v>
      </c>
      <c r="N7" s="12"/>
    </row>
    <row r="8" customFormat="false" ht="12.75" hidden="false" customHeight="false" outlineLevel="0" collapsed="false">
      <c r="A8" s="24" t="n">
        <v>44217</v>
      </c>
      <c r="B8" s="12" t="n">
        <v>240028</v>
      </c>
      <c r="C8" s="12" t="n">
        <f aca="false">C7+B8</f>
        <v>2457387</v>
      </c>
      <c r="N8" s="12"/>
    </row>
    <row r="9" customFormat="false" ht="12.75" hidden="false" customHeight="false" outlineLevel="0" collapsed="false">
      <c r="A9" s="23" t="n">
        <v>44218</v>
      </c>
      <c r="B9" s="12" t="n">
        <v>684479</v>
      </c>
      <c r="C9" s="12" t="n">
        <f aca="false">C8+B9</f>
        <v>3141866</v>
      </c>
    </row>
    <row r="10" customFormat="false" ht="12.75" hidden="false" customHeight="false" outlineLevel="0" collapsed="false">
      <c r="A10" s="23" t="n">
        <v>44221</v>
      </c>
      <c r="B10" s="12" t="n">
        <v>60818</v>
      </c>
      <c r="C10" s="12" t="n">
        <f aca="false">C9+B10</f>
        <v>3202684</v>
      </c>
    </row>
    <row r="11" customFormat="false" ht="12.75" hidden="false" customHeight="false" outlineLevel="0" collapsed="false">
      <c r="A11" s="23" t="n">
        <v>44222</v>
      </c>
      <c r="B11" s="12" t="n">
        <v>27441</v>
      </c>
      <c r="C11" s="12" t="n">
        <f aca="false">C10+B11</f>
        <v>3230125</v>
      </c>
    </row>
    <row r="12" customFormat="false" ht="12.75" hidden="false" customHeight="false" outlineLevel="0" collapsed="false">
      <c r="A12" s="23" t="n">
        <v>44223</v>
      </c>
      <c r="B12" s="12" t="n">
        <v>2993</v>
      </c>
      <c r="C12" s="12" t="n">
        <f aca="false">C11+B12</f>
        <v>3233118</v>
      </c>
    </row>
    <row r="13" customFormat="false" ht="12.75" hidden="false" customHeight="false" outlineLevel="0" collapsed="false">
      <c r="A13" s="23" t="n">
        <v>44224</v>
      </c>
      <c r="B13" s="12" t="n">
        <v>27335</v>
      </c>
      <c r="C13" s="12" t="n">
        <f aca="false">C12+B13</f>
        <v>3260453</v>
      </c>
      <c r="N13" s="12"/>
    </row>
    <row r="14" customFormat="false" ht="12.75" hidden="false" customHeight="false" outlineLevel="0" collapsed="false">
      <c r="A14" s="23" t="n">
        <v>44225</v>
      </c>
      <c r="B14" s="12" t="n">
        <v>393956</v>
      </c>
      <c r="C14" s="12" t="n">
        <f aca="false">C13+B14</f>
        <v>3654409</v>
      </c>
      <c r="M14" s="25"/>
    </row>
    <row r="15" customFormat="false" ht="12.75" hidden="false" customHeight="false" outlineLevel="0" collapsed="false">
      <c r="A15" s="23" t="n">
        <v>44228</v>
      </c>
      <c r="B15" s="12" t="n">
        <v>14926</v>
      </c>
      <c r="C15" s="12" t="n">
        <f aca="false">C14+B15</f>
        <v>3669335</v>
      </c>
    </row>
    <row r="16" customFormat="false" ht="12.75" hidden="false" customHeight="false" outlineLevel="0" collapsed="false">
      <c r="A16" s="23" t="n">
        <v>44229</v>
      </c>
      <c r="B16" s="12" t="n">
        <v>10778</v>
      </c>
      <c r="C16" s="12" t="n">
        <f aca="false">C15+B16</f>
        <v>3680113</v>
      </c>
    </row>
    <row r="17" customFormat="false" ht="12.75" hidden="false" customHeight="false" outlineLevel="0" collapsed="false">
      <c r="A17" s="23" t="n">
        <v>44230</v>
      </c>
      <c r="B17" s="12" t="n">
        <v>1277</v>
      </c>
      <c r="C17" s="12" t="n">
        <f aca="false">C16+B17</f>
        <v>3681390</v>
      </c>
      <c r="P17" s="12"/>
    </row>
    <row r="18" customFormat="false" ht="12.75" hidden="false" customHeight="false" outlineLevel="0" collapsed="false">
      <c r="A18" s="23" t="n">
        <v>44231</v>
      </c>
      <c r="B18" s="12" t="n">
        <v>799207</v>
      </c>
      <c r="C18" s="12" t="n">
        <f aca="false">C17+B18</f>
        <v>4480597</v>
      </c>
      <c r="P18" s="12"/>
    </row>
    <row r="19" customFormat="false" ht="12.75" hidden="false" customHeight="false" outlineLevel="0" collapsed="false">
      <c r="A19" s="23" t="n">
        <v>44232</v>
      </c>
      <c r="B19" s="12" t="n">
        <v>294861</v>
      </c>
      <c r="C19" s="12" t="n">
        <f aca="false">C18+B19</f>
        <v>4775458</v>
      </c>
      <c r="P19" s="12"/>
    </row>
    <row r="20" customFormat="false" ht="12.75" hidden="false" customHeight="false" outlineLevel="0" collapsed="false">
      <c r="A20" s="23" t="n">
        <v>44235</v>
      </c>
      <c r="B20" s="12" t="n">
        <v>73054</v>
      </c>
      <c r="C20" s="12" t="n">
        <f aca="false">C19+B20</f>
        <v>4848512</v>
      </c>
      <c r="N20" s="12"/>
    </row>
    <row r="21" customFormat="false" ht="12.75" hidden="false" customHeight="false" outlineLevel="0" collapsed="false">
      <c r="A21" s="23" t="n">
        <v>44236</v>
      </c>
      <c r="B21" s="12" t="n">
        <v>395464</v>
      </c>
      <c r="C21" s="12" t="n">
        <f aca="false">C20+B21</f>
        <v>5243976</v>
      </c>
      <c r="N21" s="12"/>
    </row>
    <row r="22" customFormat="false" ht="12.75" hidden="false" customHeight="false" outlineLevel="0" collapsed="false">
      <c r="A22" s="23" t="n">
        <v>44237</v>
      </c>
      <c r="B22" s="12" t="n">
        <v>1023759</v>
      </c>
      <c r="C22" s="12" t="n">
        <f aca="false">C21+B22</f>
        <v>6267735</v>
      </c>
      <c r="N22" s="12"/>
    </row>
    <row r="23" customFormat="false" ht="12.75" hidden="false" customHeight="false" outlineLevel="0" collapsed="false">
      <c r="A23" s="23" t="n">
        <v>44238</v>
      </c>
      <c r="B23" s="12" t="n">
        <v>887</v>
      </c>
      <c r="C23" s="12" t="n">
        <f aca="false">C22+B23</f>
        <v>6268622</v>
      </c>
      <c r="J23" s="12"/>
      <c r="N23" s="12"/>
    </row>
    <row r="24" customFormat="false" ht="12.75" hidden="false" customHeight="false" outlineLevel="0" collapsed="false">
      <c r="A24" s="23" t="n">
        <v>44245</v>
      </c>
      <c r="B24" s="12" t="n">
        <v>135508</v>
      </c>
      <c r="C24" s="12" t="n">
        <f aca="false">C23+B24</f>
        <v>6404130</v>
      </c>
    </row>
    <row r="25" customFormat="false" ht="12.75" hidden="false" customHeight="false" outlineLevel="0" collapsed="false">
      <c r="A25" s="23" t="n">
        <v>44246</v>
      </c>
      <c r="B25" s="12" t="n">
        <v>547551</v>
      </c>
      <c r="C25" s="12" t="n">
        <f aca="false">C24+B25</f>
        <v>6951681</v>
      </c>
      <c r="L25" s="12"/>
    </row>
    <row r="26" customFormat="false" ht="12.75" hidden="false" customHeight="false" outlineLevel="0" collapsed="false">
      <c r="A26" s="23" t="n">
        <v>44247</v>
      </c>
      <c r="B26" s="12" t="n">
        <v>142388</v>
      </c>
      <c r="C26" s="12" t="n">
        <f aca="false">C25+B26</f>
        <v>7094069</v>
      </c>
      <c r="L26" s="12"/>
    </row>
    <row r="27" customFormat="false" ht="12.75" hidden="false" customHeight="false" outlineLevel="0" collapsed="false">
      <c r="A27" s="23" t="n">
        <v>44250</v>
      </c>
      <c r="B27" s="12" t="n">
        <v>7800</v>
      </c>
      <c r="C27" s="12" t="n">
        <f aca="false">C26+B27</f>
        <v>7101869</v>
      </c>
    </row>
    <row r="28" customFormat="false" ht="12.75" hidden="false" customHeight="false" outlineLevel="0" collapsed="false">
      <c r="A28" s="23" t="n">
        <v>44251</v>
      </c>
      <c r="B28" s="12" t="n">
        <v>15182</v>
      </c>
      <c r="C28" s="12" t="n">
        <f aca="false">C27+B28</f>
        <v>7117051</v>
      </c>
    </row>
    <row r="29" customFormat="false" ht="12.75" hidden="false" customHeight="false" outlineLevel="0" collapsed="false">
      <c r="A29" s="23" t="n">
        <v>44252</v>
      </c>
      <c r="B29" s="12" t="n">
        <v>72930</v>
      </c>
      <c r="C29" s="12" t="n">
        <f aca="false">C28+B29</f>
        <v>7189981</v>
      </c>
    </row>
    <row r="30" customFormat="false" ht="12.75" hidden="false" customHeight="false" outlineLevel="0" collapsed="false">
      <c r="A30" s="23" t="n">
        <v>44253</v>
      </c>
      <c r="B30" s="12" t="n">
        <v>355319</v>
      </c>
      <c r="C30" s="12" t="n">
        <f aca="false">C29+B30</f>
        <v>7545300</v>
      </c>
    </row>
    <row r="31" customFormat="false" ht="12.75" hidden="false" customHeight="false" outlineLevel="0" collapsed="false">
      <c r="A31" s="23" t="n">
        <v>44256</v>
      </c>
      <c r="B31" s="12" t="n">
        <v>53944</v>
      </c>
      <c r="C31" s="12" t="n">
        <f aca="false">C30+B31</f>
        <v>7599244</v>
      </c>
    </row>
    <row r="32" customFormat="false" ht="12.75" hidden="false" customHeight="false" outlineLevel="0" collapsed="false">
      <c r="A32" s="23" t="n">
        <v>44257</v>
      </c>
      <c r="B32" s="12" t="n">
        <v>82223</v>
      </c>
      <c r="C32" s="12" t="n">
        <f aca="false">C31+B32</f>
        <v>7681467</v>
      </c>
    </row>
    <row r="33" customFormat="false" ht="12.75" hidden="false" customHeight="false" outlineLevel="0" collapsed="false">
      <c r="A33" s="23" t="n">
        <v>44258</v>
      </c>
      <c r="B33" s="12" t="n">
        <v>223373</v>
      </c>
      <c r="C33" s="12" t="n">
        <f aca="false">C32+B33</f>
        <v>7904840</v>
      </c>
    </row>
    <row r="34" customFormat="false" ht="12.75" hidden="false" customHeight="false" outlineLevel="0" collapsed="false">
      <c r="A34" s="23" t="n">
        <v>44259</v>
      </c>
      <c r="B34" s="12" t="n">
        <v>29125</v>
      </c>
      <c r="C34" s="12" t="n">
        <f aca="false">C33+B34</f>
        <v>7933965</v>
      </c>
    </row>
    <row r="35" customFormat="false" ht="12.75" hidden="false" customHeight="false" outlineLevel="0" collapsed="false">
      <c r="A35" s="23" t="n">
        <v>44260</v>
      </c>
      <c r="B35" s="12" t="n">
        <v>143283</v>
      </c>
      <c r="C35" s="12" t="n">
        <f aca="false">C34+B35</f>
        <v>8077248</v>
      </c>
    </row>
    <row r="36" customFormat="false" ht="12.75" hidden="false" customHeight="false" outlineLevel="0" collapsed="false">
      <c r="A36" s="23" t="n">
        <v>44263</v>
      </c>
      <c r="B36" s="12" t="n">
        <v>207645</v>
      </c>
      <c r="C36" s="12" t="n">
        <f aca="false">C35+B36</f>
        <v>8284893</v>
      </c>
    </row>
    <row r="37" customFormat="false" ht="12.75" hidden="false" customHeight="false" outlineLevel="0" collapsed="false">
      <c r="A37" s="23" t="n">
        <v>44264</v>
      </c>
      <c r="B37" s="12" t="n">
        <v>217531</v>
      </c>
      <c r="C37" s="12" t="n">
        <f aca="false">C36+B37</f>
        <v>8502424</v>
      </c>
    </row>
    <row r="38" customFormat="false" ht="12.75" hidden="false" customHeight="false" outlineLevel="0" collapsed="false">
      <c r="A38" s="23" t="n">
        <v>44265</v>
      </c>
      <c r="B38" s="12" t="n">
        <v>21201</v>
      </c>
      <c r="C38" s="12" t="n">
        <f aca="false">C37+B38</f>
        <v>8523625</v>
      </c>
    </row>
    <row r="39" customFormat="false" ht="12.75" hidden="false" customHeight="false" outlineLevel="0" collapsed="false">
      <c r="A39" s="23" t="n">
        <v>44266</v>
      </c>
      <c r="B39" s="12" t="n">
        <v>3231</v>
      </c>
      <c r="C39" s="12" t="n">
        <f aca="false">C38+B39</f>
        <v>8526856</v>
      </c>
    </row>
    <row r="40" customFormat="false" ht="12.75" hidden="false" customHeight="false" outlineLevel="0" collapsed="false">
      <c r="A40" s="23" t="n">
        <v>44267</v>
      </c>
      <c r="B40" s="12" t="n">
        <v>127599</v>
      </c>
      <c r="C40" s="12" t="n">
        <f aca="false">C39+B40</f>
        <v>8654455</v>
      </c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4" activeCellId="0" sqref="G24"/>
    </sheetView>
  </sheetViews>
  <sheetFormatPr defaultColWidth="8.82421875" defaultRowHeight="12.75" zeroHeight="false" outlineLevelRow="0" outlineLevelCol="0"/>
  <cols>
    <col collapsed="false" customWidth="true" hidden="false" outlineLevel="0" max="2" min="2" style="2" width="9.85"/>
  </cols>
  <sheetData>
    <row r="1" customFormat="false" ht="14.25" hidden="false" customHeight="false" outlineLevel="0" collapsed="false">
      <c r="A1" s="26"/>
      <c r="B1" s="26" t="s">
        <v>10</v>
      </c>
    </row>
    <row r="2" customFormat="false" ht="14.25" hidden="false" customHeight="false" outlineLevel="0" collapsed="false">
      <c r="A2" s="26" t="s">
        <v>14</v>
      </c>
      <c r="B2" s="26" t="n">
        <v>2.6</v>
      </c>
    </row>
    <row r="3" customFormat="false" ht="14.25" hidden="false" customHeight="false" outlineLevel="0" collapsed="false">
      <c r="A3" s="26" t="s">
        <v>18</v>
      </c>
      <c r="B3" s="26" t="n">
        <v>2.3</v>
      </c>
    </row>
    <row r="4" customFormat="false" ht="14.25" hidden="false" customHeight="false" outlineLevel="0" collapsed="false">
      <c r="A4" s="26" t="s">
        <v>20</v>
      </c>
      <c r="B4" s="26" t="n">
        <v>1.85</v>
      </c>
    </row>
    <row r="5" customFormat="false" ht="14.25" hidden="false" customHeight="false" outlineLevel="0" collapsed="false">
      <c r="A5" s="26" t="s">
        <v>21</v>
      </c>
      <c r="B5" s="26" t="n">
        <v>1.6</v>
      </c>
    </row>
    <row r="6" customFormat="false" ht="14.25" hidden="false" customHeight="false" outlineLevel="0" collapsed="false">
      <c r="A6" s="26" t="s">
        <v>22</v>
      </c>
      <c r="B6" s="26" t="n">
        <v>1.45</v>
      </c>
    </row>
    <row r="7" customFormat="false" ht="14.25" hidden="false" customHeight="false" outlineLevel="0" collapsed="false">
      <c r="A7" s="26" t="s">
        <v>23</v>
      </c>
      <c r="B7" s="26" t="n">
        <v>1.2</v>
      </c>
    </row>
    <row r="8" customFormat="false" ht="14.25" hidden="false" customHeight="false" outlineLevel="0" collapsed="false">
      <c r="A8" s="26" t="s">
        <v>24</v>
      </c>
      <c r="B8" s="26" t="n">
        <v>1.1</v>
      </c>
    </row>
    <row r="9" customFormat="false" ht="14.25" hidden="false" customHeight="false" outlineLevel="0" collapsed="false">
      <c r="A9" s="26" t="s">
        <v>25</v>
      </c>
      <c r="B9" s="26" t="n">
        <v>1</v>
      </c>
    </row>
    <row r="10" customFormat="false" ht="14.25" hidden="false" customHeight="false" outlineLevel="0" collapsed="false">
      <c r="A10" s="26" t="s">
        <v>53</v>
      </c>
      <c r="B10" s="26" t="n">
        <v>0.9</v>
      </c>
    </row>
    <row r="11" customFormat="false" ht="14.25" hidden="false" customHeight="false" outlineLevel="0" collapsed="false">
      <c r="A11" s="26" t="s">
        <v>54</v>
      </c>
      <c r="B11" s="26" t="n">
        <v>0.85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2021-01-25T13:32:54Z</dcterms:created>
  <dc:creator>openpyxl</dc:creator>
  <dc:description/>
  <dc:language>en-US</dc:language>
  <cp:lastModifiedBy/>
  <cp:lastPrinted>2020-10-26T03:48:28Z</cp:lastPrinted>
  <dcterms:modified xsi:type="dcterms:W3CDTF">2024-02-17T20:24:08Z</dcterms:modified>
  <cp:revision>221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